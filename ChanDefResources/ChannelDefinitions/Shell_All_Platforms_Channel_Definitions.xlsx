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https://bmtglobal.sharepoint.com/sites/CI-AMDataServices-CI-AMDataAnalysis/Shared Documents/CI-AM Data Analysis/Deep Configurations_Device Mapping/Shell/channel_definitions/"/>
    </mc:Choice>
  </mc:AlternateContent>
  <xr:revisionPtr revIDLastSave="4844" documentId="8_{64451C1C-F0E0-4429-8CF9-0C8EBA1F61F3}" xr6:coauthVersionLast="47" xr6:coauthVersionMax="47" xr10:uidLastSave="{2E06136C-ECB8-4443-A1F2-21DC4548CDD8}"/>
  <bookViews>
    <workbookView xWindow="10920" yWindow="345" windowWidth="16230" windowHeight="14310" tabRatio="723" firstSheet="4" activeTab="5" xr2:uid="{00000000-000D-0000-FFFF-FFFF00000000}"/>
  </bookViews>
  <sheets>
    <sheet name="Appomattox MIS Channels Apr2024" sheetId="2" r:id="rId1"/>
    <sheet name="Auger MIS Channels Apr2024" sheetId="3" r:id="rId2"/>
    <sheet name="Mars MIS Channels Apr2024" sheetId="5" r:id="rId3"/>
    <sheet name="Olympus MIS Channels Apr2024" sheetId="4" r:id="rId4"/>
    <sheet name="Perdido MIS Channels Apr2024" sheetId="6" r:id="rId5"/>
    <sheet name="Stones IMMS Channels Apr2024" sheetId="7" r:id="rId6"/>
    <sheet name="Ursa MIS Channels Apr2024" sheetId="8"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82" i="4" l="1"/>
  <c r="H1481" i="4"/>
  <c r="H1480" i="4"/>
  <c r="H1479" i="4"/>
  <c r="H1478" i="4"/>
  <c r="H1477" i="4"/>
  <c r="H1476" i="4"/>
  <c r="H1475" i="4"/>
  <c r="H1474" i="4"/>
  <c r="H1473" i="4"/>
  <c r="H422" i="5"/>
  <c r="H423" i="5"/>
  <c r="H424" i="5"/>
  <c r="H425" i="5"/>
  <c r="H426" i="5"/>
  <c r="H427" i="5"/>
  <c r="H428" i="5"/>
  <c r="H429" i="5"/>
  <c r="H430" i="5"/>
  <c r="H431" i="5"/>
  <c r="H432" i="5"/>
  <c r="H433" i="5"/>
  <c r="H434" i="5"/>
  <c r="H435" i="5"/>
  <c r="H436" i="5"/>
  <c r="H437" i="5"/>
  <c r="H421" i="5"/>
  <c r="H55" i="5"/>
  <c r="H56" i="5"/>
  <c r="H57" i="5"/>
  <c r="H58" i="5"/>
  <c r="H59" i="5"/>
  <c r="H60" i="5"/>
  <c r="H61" i="5"/>
  <c r="H62" i="5"/>
  <c r="H63" i="5"/>
  <c r="H64" i="5"/>
  <c r="H65" i="5"/>
  <c r="H66" i="5"/>
  <c r="H67" i="5"/>
  <c r="H68" i="5"/>
  <c r="H69" i="5"/>
  <c r="H70" i="5"/>
  <c r="H71" i="5"/>
  <c r="H72" i="5"/>
  <c r="H73" i="5"/>
  <c r="H74" i="5"/>
  <c r="H75" i="5"/>
  <c r="H76" i="5"/>
  <c r="H77" i="5"/>
  <c r="H78" i="5"/>
  <c r="H79" i="5"/>
  <c r="H80" i="5"/>
  <c r="H54" i="5"/>
  <c r="H159" i="3"/>
  <c r="H158" i="3"/>
  <c r="H157" i="3"/>
  <c r="H156" i="3"/>
  <c r="H155" i="3"/>
  <c r="H154" i="3"/>
  <c r="H143" i="3"/>
  <c r="H142" i="3"/>
  <c r="H141" i="3"/>
  <c r="H140" i="3"/>
  <c r="H139" i="3"/>
  <c r="H138" i="3"/>
  <c r="H125" i="3"/>
  <c r="H124" i="3"/>
  <c r="H123" i="3"/>
  <c r="H122" i="3"/>
  <c r="H121" i="3"/>
  <c r="H120" i="3"/>
  <c r="H105" i="3"/>
  <c r="H108" i="3"/>
  <c r="H109" i="3"/>
  <c r="H110" i="3"/>
  <c r="H570" i="2"/>
  <c r="H107" i="3"/>
  <c r="H106" i="3"/>
  <c r="H252" i="3"/>
  <c r="H251" i="3"/>
  <c r="H283" i="3"/>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497"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32"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195"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57" i="4"/>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625"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53" i="3"/>
  <c r="H250" i="3"/>
  <c r="H249" i="3"/>
  <c r="H215" i="3"/>
  <c r="H216" i="3"/>
  <c r="H217" i="3"/>
  <c r="H218" i="3"/>
  <c r="H219" i="3"/>
  <c r="H220" i="3"/>
  <c r="H221" i="3"/>
  <c r="H222" i="3"/>
  <c r="H223" i="3"/>
  <c r="H224" i="3"/>
  <c r="H225" i="3"/>
  <c r="H214" i="3"/>
  <c r="H197" i="3"/>
  <c r="H198" i="3"/>
  <c r="H199" i="3"/>
  <c r="H200" i="3"/>
  <c r="H201" i="3"/>
  <c r="H202" i="3"/>
  <c r="H203" i="3"/>
  <c r="H204" i="3"/>
  <c r="H205" i="3"/>
  <c r="H206" i="3"/>
  <c r="H207" i="3"/>
  <c r="H208" i="3"/>
  <c r="H209" i="3"/>
  <c r="H210" i="3"/>
  <c r="H211" i="3"/>
  <c r="H196" i="3"/>
  <c r="H181" i="3"/>
  <c r="H182" i="3"/>
  <c r="H183" i="3"/>
  <c r="H184" i="3"/>
  <c r="H185" i="3"/>
  <c r="H186" i="3"/>
  <c r="H187" i="3"/>
  <c r="H188" i="3"/>
  <c r="H189" i="3"/>
  <c r="H190" i="3"/>
  <c r="H191" i="3"/>
  <c r="H180" i="3"/>
  <c r="H172" i="3"/>
  <c r="H173" i="3"/>
  <c r="H174" i="3"/>
  <c r="H175" i="3"/>
  <c r="H176" i="3"/>
  <c r="H177" i="3"/>
  <c r="H178" i="3"/>
  <c r="H179" i="3"/>
  <c r="H171" i="3"/>
  <c r="H160" i="3"/>
  <c r="H161" i="3"/>
  <c r="H162" i="3"/>
  <c r="H163" i="3"/>
  <c r="H164" i="3"/>
  <c r="H165" i="3"/>
  <c r="H166" i="3"/>
  <c r="H167" i="3"/>
  <c r="H168" i="3"/>
  <c r="H169" i="3"/>
  <c r="H170" i="3"/>
  <c r="H137" i="3"/>
  <c r="H136" i="3"/>
  <c r="H135" i="3"/>
  <c r="H127" i="3"/>
  <c r="H128" i="3"/>
  <c r="H129" i="3"/>
  <c r="H130" i="3"/>
  <c r="H131" i="3"/>
  <c r="H132" i="3"/>
  <c r="H133" i="3"/>
  <c r="H134" i="3"/>
  <c r="H126" i="3"/>
  <c r="H115" i="3"/>
  <c r="H112" i="3"/>
  <c r="H113" i="3"/>
  <c r="H114" i="3"/>
  <c r="H116" i="3"/>
  <c r="H117" i="3"/>
  <c r="H118" i="3"/>
  <c r="H119" i="3"/>
  <c r="H111" i="3"/>
  <c r="H14" i="3"/>
  <c r="H586" i="2"/>
  <c r="H587" i="2"/>
  <c r="H579" i="2"/>
  <c r="H578" i="2"/>
  <c r="H571" i="2"/>
  <c r="H563" i="2"/>
  <c r="H562" i="2"/>
  <c r="H555" i="2"/>
  <c r="H554" i="2"/>
  <c r="H547" i="2"/>
  <c r="H546" i="2"/>
  <c r="H539" i="2"/>
  <c r="H538" i="2"/>
  <c r="H531" i="2"/>
  <c r="H530" i="2"/>
  <c r="H523" i="2"/>
  <c r="H522" i="2"/>
  <c r="H515" i="2"/>
  <c r="H514" i="2"/>
  <c r="H507" i="2"/>
  <c r="H506" i="2"/>
  <c r="H499" i="2"/>
  <c r="H498" i="2"/>
  <c r="H491" i="2"/>
  <c r="H490" i="2"/>
  <c r="H483" i="2"/>
  <c r="H482" i="2"/>
  <c r="H467" i="2"/>
  <c r="H466" i="2"/>
  <c r="H475" i="2"/>
  <c r="H474" i="2"/>
  <c r="H246" i="3"/>
  <c r="H247" i="3"/>
  <c r="H245" i="3"/>
  <c r="H227" i="3"/>
  <c r="H228" i="3"/>
  <c r="H229" i="3"/>
  <c r="H230" i="3"/>
  <c r="H231" i="3"/>
  <c r="H232" i="3"/>
  <c r="H233" i="3"/>
  <c r="H234" i="3"/>
  <c r="H235" i="3"/>
  <c r="H236" i="3"/>
  <c r="H237" i="3"/>
  <c r="H226" i="3"/>
  <c r="H117" i="5"/>
  <c r="H116" i="5"/>
  <c r="H115" i="5"/>
  <c r="H95" i="5"/>
  <c r="H96" i="5"/>
  <c r="H97" i="5"/>
  <c r="H98" i="5"/>
  <c r="H99" i="5"/>
  <c r="H100" i="5"/>
  <c r="H101" i="5"/>
  <c r="H102" i="5"/>
  <c r="H103" i="5"/>
  <c r="H104" i="5"/>
  <c r="H105" i="5"/>
  <c r="H94" i="5"/>
  <c r="H641" i="4"/>
  <c r="H642" i="4"/>
  <c r="H643" i="4"/>
  <c r="H644" i="4"/>
  <c r="H645" i="4"/>
  <c r="H646" i="4"/>
  <c r="H647" i="4"/>
  <c r="H648" i="4"/>
  <c r="H649" i="4"/>
  <c r="H650" i="4"/>
  <c r="H651" i="4"/>
  <c r="H652" i="4"/>
  <c r="H653" i="4"/>
  <c r="H654" i="4"/>
  <c r="H655" i="4"/>
  <c r="H656" i="4"/>
  <c r="H657" i="4"/>
  <c r="H658" i="4"/>
  <c r="H640" i="4"/>
  <c r="H663" i="6"/>
  <c r="H664" i="6"/>
  <c r="H662" i="6"/>
  <c r="H93" i="8"/>
  <c r="H94" i="8"/>
  <c r="H95" i="8"/>
  <c r="H96" i="8"/>
  <c r="H97" i="8"/>
  <c r="H98" i="8"/>
  <c r="H99" i="8"/>
  <c r="H100" i="8"/>
  <c r="H101" i="8"/>
  <c r="H102" i="8"/>
  <c r="H103" i="8"/>
  <c r="H104" i="8"/>
  <c r="H105" i="8"/>
  <c r="H106" i="8"/>
  <c r="H107" i="8"/>
  <c r="H108" i="8"/>
  <c r="H109" i="8"/>
  <c r="H91" i="8"/>
  <c r="H92" i="8"/>
  <c r="H419" i="8"/>
  <c r="H486" i="8"/>
  <c r="H487" i="8"/>
  <c r="H488" i="8"/>
  <c r="H489" i="8"/>
  <c r="H490" i="8"/>
  <c r="H491" i="8"/>
  <c r="H492" i="8"/>
  <c r="H493" i="8"/>
  <c r="H494" i="8"/>
  <c r="H495" i="8"/>
  <c r="H496" i="8"/>
  <c r="H497" i="8"/>
  <c r="H498" i="8"/>
  <c r="H499" i="8"/>
  <c r="H485" i="8"/>
  <c r="H110"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49"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605" i="7"/>
  <c r="H606" i="7"/>
  <c r="H607" i="7"/>
  <c r="H608" i="7"/>
  <c r="H609" i="7"/>
  <c r="H610" i="7"/>
  <c r="H611" i="7"/>
  <c r="H612" i="7"/>
  <c r="H613" i="7"/>
  <c r="H614" i="7"/>
  <c r="H615" i="7"/>
  <c r="H616" i="7"/>
  <c r="H617" i="7"/>
  <c r="H618" i="7"/>
  <c r="H619" i="7"/>
  <c r="H620" i="7"/>
  <c r="H621" i="7"/>
  <c r="H622" i="7"/>
  <c r="H623" i="7"/>
  <c r="H624" i="7"/>
  <c r="H625"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435" i="7"/>
  <c r="H436" i="7"/>
  <c r="H437" i="7"/>
  <c r="H438" i="7"/>
  <c r="H439" i="7"/>
  <c r="H440" i="7"/>
  <c r="H441" i="7"/>
  <c r="H442" i="7"/>
  <c r="H443" i="7"/>
  <c r="H444" i="7"/>
  <c r="H445" i="7"/>
  <c r="H446" i="7"/>
  <c r="H447" i="7"/>
  <c r="H448" i="7"/>
  <c r="H449" i="7"/>
  <c r="H450" i="7"/>
  <c r="H451" i="7"/>
  <c r="H452" i="7"/>
  <c r="H453" i="7"/>
  <c r="H45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386" i="7"/>
  <c r="H387" i="7"/>
  <c r="H388" i="7"/>
  <c r="H389" i="7"/>
  <c r="H390" i="7"/>
  <c r="H391" i="7"/>
  <c r="H392" i="7"/>
  <c r="H393" i="7"/>
  <c r="H394"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15" i="7"/>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193" i="6"/>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70"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892"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370" i="2"/>
  <c r="H371" i="2"/>
  <c r="H372" i="2"/>
  <c r="H373" i="2"/>
  <c r="H374" i="2"/>
  <c r="H375" i="2"/>
  <c r="H376" i="2"/>
  <c r="H377" i="2"/>
  <c r="H378" i="2"/>
  <c r="H379" i="2"/>
  <c r="H380" i="2"/>
  <c r="H381" i="2"/>
  <c r="H382" i="2"/>
  <c r="H383" i="2"/>
  <c r="H384" i="2"/>
  <c r="H385" i="2"/>
  <c r="H369"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271" i="2"/>
  <c r="H243" i="2"/>
  <c r="H244" i="2"/>
  <c r="H245" i="2"/>
  <c r="H246" i="2"/>
  <c r="H247" i="2"/>
  <c r="H248" i="2"/>
  <c r="H249" i="2"/>
  <c r="H250" i="2"/>
  <c r="H251" i="2"/>
  <c r="H252" i="2"/>
  <c r="H253" i="2"/>
  <c r="H254" i="2"/>
  <c r="H255" i="2"/>
  <c r="H256" i="2"/>
  <c r="H257" i="2"/>
  <c r="H258" i="2"/>
  <c r="H259" i="2"/>
  <c r="H228" i="2"/>
  <c r="H229" i="2"/>
  <c r="H230" i="2"/>
  <c r="H231" i="2"/>
  <c r="H232" i="2"/>
  <c r="H233" i="2"/>
  <c r="H234" i="2"/>
  <c r="H235" i="2"/>
  <c r="H236" i="2"/>
  <c r="H237" i="2"/>
  <c r="H238" i="2"/>
  <c r="H239" i="2"/>
  <c r="H240" i="2"/>
  <c r="H241" i="2"/>
  <c r="H242" i="2"/>
  <c r="H227" i="2"/>
  <c r="H196" i="2"/>
  <c r="H197" i="2"/>
  <c r="H198" i="2"/>
  <c r="H199" i="2"/>
  <c r="H200" i="2"/>
  <c r="H201" i="2"/>
  <c r="H202" i="2"/>
  <c r="H203" i="2"/>
  <c r="H204" i="2"/>
  <c r="H205" i="2"/>
  <c r="H206" i="2"/>
  <c r="H207" i="2"/>
  <c r="H208" i="2"/>
  <c r="H209" i="2"/>
  <c r="H210" i="2"/>
  <c r="H211" i="2"/>
  <c r="H212" i="2"/>
  <c r="H213" i="2"/>
  <c r="H214" i="2"/>
  <c r="H195"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69" i="2"/>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091"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956"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864"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5" i="6"/>
  <c r="H666" i="6"/>
  <c r="H667" i="6"/>
  <c r="H668" i="6"/>
  <c r="H669" i="6"/>
  <c r="H670" i="6"/>
  <c r="H671" i="6"/>
  <c r="H672" i="6"/>
  <c r="H673" i="6"/>
  <c r="H674" i="6"/>
  <c r="H675" i="6"/>
  <c r="H676" i="6"/>
  <c r="H677" i="6"/>
  <c r="H392" i="6"/>
  <c r="H374" i="6"/>
  <c r="H375" i="6"/>
  <c r="H376" i="6"/>
  <c r="H377" i="6"/>
  <c r="H378" i="6"/>
  <c r="H379" i="6"/>
  <c r="H380" i="6"/>
  <c r="H381" i="6"/>
  <c r="H373" i="6"/>
  <c r="H346" i="6"/>
  <c r="H347" i="6"/>
  <c r="H348" i="6"/>
  <c r="H349" i="6"/>
  <c r="H350" i="6"/>
  <c r="H351" i="6"/>
  <c r="H352" i="6"/>
  <c r="H353" i="6"/>
  <c r="H354" i="6"/>
  <c r="H355" i="6"/>
  <c r="H356" i="6"/>
  <c r="H357" i="6"/>
  <c r="H358" i="6"/>
  <c r="H359" i="6"/>
  <c r="H360" i="6"/>
  <c r="H361" i="6"/>
  <c r="H362" i="6"/>
  <c r="H363" i="6"/>
  <c r="H364" i="6"/>
  <c r="H365" i="6"/>
  <c r="H366" i="6"/>
  <c r="H345"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20" i="6"/>
  <c r="H525" i="5"/>
  <c r="H526" i="5"/>
  <c r="H527" i="5"/>
  <c r="H528" i="5"/>
  <c r="H529" i="5"/>
  <c r="H530" i="5"/>
  <c r="H531" i="5"/>
  <c r="H532" i="5"/>
  <c r="H533" i="5"/>
  <c r="H534" i="5"/>
  <c r="H535" i="5"/>
  <c r="H536" i="5"/>
  <c r="H537" i="5"/>
  <c r="H538" i="5"/>
  <c r="H539" i="5"/>
  <c r="H540" i="5"/>
  <c r="H541" i="5"/>
  <c r="H542" i="5"/>
  <c r="H543" i="5"/>
  <c r="H524" i="5"/>
  <c r="H617" i="3"/>
  <c r="H618" i="3"/>
  <c r="H619" i="3"/>
  <c r="H620" i="3"/>
  <c r="H621" i="3"/>
  <c r="H622" i="3"/>
  <c r="H623" i="3"/>
  <c r="H624" i="3"/>
  <c r="H616" i="3"/>
  <c r="H1453" i="4"/>
  <c r="H1452" i="4"/>
  <c r="H1451" i="4"/>
  <c r="H1450" i="4"/>
  <c r="H1449" i="4"/>
  <c r="H1446" i="4"/>
  <c r="H1447" i="4"/>
  <c r="H1448" i="4"/>
  <c r="H1445"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280" i="4"/>
  <c r="H192" i="3"/>
  <c r="H193" i="3"/>
  <c r="H194" i="3"/>
  <c r="H195" i="3"/>
  <c r="H144" i="3"/>
  <c r="H145" i="3"/>
  <c r="H146" i="3"/>
  <c r="H147" i="3"/>
  <c r="H148" i="3"/>
  <c r="H149" i="3"/>
  <c r="H150" i="3"/>
  <c r="H151" i="3"/>
  <c r="H152" i="3"/>
  <c r="H153" i="3"/>
  <c r="H579" i="4"/>
  <c r="H580" i="4"/>
  <c r="H581" i="4"/>
  <c r="H582" i="4"/>
  <c r="H583" i="4"/>
  <c r="H584" i="4"/>
  <c r="H585" i="4"/>
  <c r="H586" i="4"/>
  <c r="H578"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931" i="4"/>
  <c r="H932" i="4"/>
  <c r="H933" i="4"/>
  <c r="H934" i="4"/>
  <c r="H935" i="4"/>
  <c r="H936" i="4"/>
  <c r="H937" i="4"/>
  <c r="H938" i="4"/>
  <c r="H939" i="4"/>
  <c r="H940" i="4"/>
  <c r="H941" i="4"/>
  <c r="H942" i="4"/>
  <c r="H943" i="4"/>
  <c r="H944" i="4"/>
  <c r="H945" i="4"/>
  <c r="H930" i="4"/>
  <c r="H1279"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48"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385"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07" i="4"/>
  <c r="H194" i="4"/>
  <c r="H193" i="4"/>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478" i="5"/>
  <c r="H82" i="5"/>
  <c r="H83" i="5"/>
  <c r="H84" i="5"/>
  <c r="H85" i="5"/>
  <c r="H86" i="5"/>
  <c r="H87" i="5"/>
  <c r="H88" i="5"/>
  <c r="H89" i="5"/>
  <c r="H90" i="5"/>
  <c r="H91" i="5"/>
  <c r="H92" i="5"/>
  <c r="H93" i="5"/>
  <c r="H106" i="5"/>
  <c r="H107" i="5"/>
  <c r="H108" i="5"/>
  <c r="H109" i="5"/>
  <c r="H110" i="5"/>
  <c r="H111" i="5"/>
  <c r="H112" i="5"/>
  <c r="H113" i="5"/>
  <c r="H114"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81" i="5"/>
  <c r="H15" i="5"/>
  <c r="H16" i="5"/>
  <c r="H17" i="5"/>
  <c r="H18" i="5"/>
  <c r="H19" i="5"/>
  <c r="H20" i="5"/>
  <c r="H21" i="5"/>
  <c r="H22" i="5"/>
  <c r="H23" i="5"/>
  <c r="H24" i="5"/>
  <c r="H25" i="5"/>
  <c r="H26" i="5"/>
  <c r="H27" i="5"/>
  <c r="H28" i="5"/>
  <c r="H29" i="5"/>
  <c r="H30" i="5"/>
  <c r="H14" i="5"/>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18" i="8"/>
  <c r="H420" i="8"/>
  <c r="H421" i="8"/>
  <c r="H422" i="8"/>
  <c r="H423" i="8"/>
  <c r="H424" i="8"/>
  <c r="H425" i="8"/>
  <c r="H426" i="8"/>
  <c r="H427" i="8"/>
  <c r="H428" i="8"/>
  <c r="H429" i="8"/>
  <c r="H417"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27" i="8"/>
  <c r="H18" i="8"/>
  <c r="H19" i="8"/>
  <c r="H20" i="8"/>
  <c r="H21" i="8"/>
  <c r="H22" i="8"/>
  <c r="H23" i="8"/>
  <c r="H24" i="8"/>
  <c r="H25" i="8"/>
  <c r="H26" i="8"/>
  <c r="H28" i="8"/>
  <c r="H29" i="8"/>
  <c r="H30" i="8"/>
  <c r="H14" i="8"/>
  <c r="H17" i="8"/>
  <c r="H16" i="8"/>
  <c r="H15" i="8"/>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alcChain>
</file>

<file path=xl/sharedStrings.xml><?xml version="1.0" encoding="utf-8"?>
<sst xmlns="http://schemas.openxmlformats.org/spreadsheetml/2006/main" count="43379" uniqueCount="7093">
  <si>
    <t>Device</t>
  </si>
  <si>
    <t>CH #</t>
  </si>
  <si>
    <t>Name</t>
  </si>
  <si>
    <t>Unit</t>
  </si>
  <si>
    <t>deg</t>
  </si>
  <si>
    <t>m</t>
  </si>
  <si>
    <t>deg/s</t>
  </si>
  <si>
    <t>m/s^2</t>
  </si>
  <si>
    <t>code</t>
  </si>
  <si>
    <t>degT</t>
  </si>
  <si>
    <t>m/s</t>
  </si>
  <si>
    <t>degC</t>
  </si>
  <si>
    <t>percent</t>
  </si>
  <si>
    <t>knots</t>
  </si>
  <si>
    <t>DegMin</t>
  </si>
  <si>
    <t>DecMin</t>
  </si>
  <si>
    <t>#</t>
  </si>
  <si>
    <t>sec</t>
  </si>
  <si>
    <t>s</t>
  </si>
  <si>
    <t>none</t>
  </si>
  <si>
    <t>bool</t>
  </si>
  <si>
    <t>ratio</t>
  </si>
  <si>
    <t>Description</t>
  </si>
  <si>
    <t>Measured roll angular rate, +ve Roll is Starboard Down.</t>
  </si>
  <si>
    <t>Measured pitch angular rate, +ve Pitch is Bow Down.</t>
  </si>
  <si>
    <t>Measured yaw angular rate, +ve Yaw is Bow towards Port.</t>
  </si>
  <si>
    <t>Measured surge acceleration, +ve Surge is along longitudinal (x) axis.</t>
  </si>
  <si>
    <t>Measured sway acceleration, +ve Sway is along transverse (y) axis.</t>
  </si>
  <si>
    <t>Measured heave acceleration, +ve Heave is along vertical (z) axis.</t>
  </si>
  <si>
    <t>The status flag value of the Attitude and Heading Reference measurement device.</t>
  </si>
  <si>
    <t>Measured heading of the vessel, +ve heading is vessel Bow (x-axis) clockwise of True North.</t>
  </si>
  <si>
    <t>counter</t>
  </si>
  <si>
    <t>Measured air temperature at sensor location.</t>
  </si>
  <si>
    <t>Measured relative humidity at sensor location.</t>
  </si>
  <si>
    <t>Measured wind speed at the sensor location.</t>
  </si>
  <si>
    <t>Altitude measurement at the antenna location in terms of integer meters</t>
  </si>
  <si>
    <t>Altitude measurement at the antenna location in terms of integer centimeters</t>
  </si>
  <si>
    <t>Number of Satellites available for position measurement.</t>
  </si>
  <si>
    <t>Time lag of the correction signal in seconds.</t>
  </si>
  <si>
    <t>Measured wave steepness.</t>
  </si>
  <si>
    <t>Measured significant wave height.</t>
  </si>
  <si>
    <t>Measured maximum wave height.</t>
  </si>
  <si>
    <t>Measured principal wave peak period.</t>
  </si>
  <si>
    <t>Measured average wave zero up-crossing period.</t>
  </si>
  <si>
    <t>SW Roll</t>
  </si>
  <si>
    <t>SW Pitch</t>
  </si>
  <si>
    <t>SW X Rate</t>
  </si>
  <si>
    <t>SW Y Rate</t>
  </si>
  <si>
    <t>SW Z Rate</t>
  </si>
  <si>
    <t>SW Accel X</t>
  </si>
  <si>
    <t>SW Accel Y</t>
  </si>
  <si>
    <t>SW Accel Z</t>
  </si>
  <si>
    <t>SW Status</t>
  </si>
  <si>
    <t>HELI Roll</t>
  </si>
  <si>
    <t>HELI Pitch</t>
  </si>
  <si>
    <t>HELI X Rate</t>
  </si>
  <si>
    <t>HELI Y Rate</t>
  </si>
  <si>
    <t>HELI Z Rate</t>
  </si>
  <si>
    <t>HELI Accel X</t>
  </si>
  <si>
    <t>HELI Accel Y</t>
  </si>
  <si>
    <t>HELI Accel Z</t>
  </si>
  <si>
    <t>HELI DMS Status</t>
  </si>
  <si>
    <t>Hem Latitude DegMin</t>
  </si>
  <si>
    <t>Hem Latitude DecMin</t>
  </si>
  <si>
    <t>Hem Latitude DecMin2</t>
  </si>
  <si>
    <t>Hem Longitude DegMin</t>
  </si>
  <si>
    <t>Hem Longitude DecMin</t>
  </si>
  <si>
    <t>Hem Longitude DecMin2</t>
  </si>
  <si>
    <t>Hem Altitude 1</t>
  </si>
  <si>
    <t>Hem Altitude 2</t>
  </si>
  <si>
    <t>Hem GPS Quality</t>
  </si>
  <si>
    <t>Hem Number of Sats</t>
  </si>
  <si>
    <t>Hem HDOP</t>
  </si>
  <si>
    <t>Hem Age of Diff Corr</t>
  </si>
  <si>
    <t>Platform Heading</t>
  </si>
  <si>
    <t>Fugro Latitude DegMin</t>
  </si>
  <si>
    <t>Fugro Latitude DecMin</t>
  </si>
  <si>
    <t>Fugro Latitude DecMin2</t>
  </si>
  <si>
    <t>Fugro Longitude DegMin</t>
  </si>
  <si>
    <t>Fugro Longitude DecMin</t>
  </si>
  <si>
    <t>Fugro Longitude DecMin2</t>
  </si>
  <si>
    <t>Fugro Altitude 1</t>
  </si>
  <si>
    <t>Fugro Altitude 2</t>
  </si>
  <si>
    <t>Fugro GPS Quality</t>
  </si>
  <si>
    <t>Fugro Number of Sats</t>
  </si>
  <si>
    <t>Fugro HDOP</t>
  </si>
  <si>
    <t>Fugro Age of Diff Corr</t>
  </si>
  <si>
    <t>North Raw Airgap</t>
  </si>
  <si>
    <t>East Raw Airgap</t>
  </si>
  <si>
    <t>South Raw Airgap</t>
  </si>
  <si>
    <t>West Raw Airgap</t>
  </si>
  <si>
    <t>AWS Cloud Height 1</t>
  </si>
  <si>
    <t>AWS Sky Cond 1</t>
  </si>
  <si>
    <t>AWS Cloud Height 2</t>
  </si>
  <si>
    <t>AWS Sky Cond 2</t>
  </si>
  <si>
    <t>AWS Cloud Height 3</t>
  </si>
  <si>
    <t>AWS Sky Cond 3</t>
  </si>
  <si>
    <t>AWS Visibility</t>
  </si>
  <si>
    <t>AWS Precipitation</t>
  </si>
  <si>
    <t>AWS Air Temp</t>
  </si>
  <si>
    <t>AWS Dew Point</t>
  </si>
  <si>
    <t>AWS 2min Wind Dir</t>
  </si>
  <si>
    <t>AWS 2min Wind Spd</t>
  </si>
  <si>
    <t>AWS QNH</t>
  </si>
  <si>
    <t>AWS Density Alt</t>
  </si>
  <si>
    <t>AWS Baro Pressure</t>
  </si>
  <si>
    <t>AWS Present Weather 1</t>
  </si>
  <si>
    <t>AWS Present Weather 2</t>
  </si>
  <si>
    <t>AWS Present Weather 3</t>
  </si>
  <si>
    <t>AWS Rel Humidity</t>
  </si>
  <si>
    <t>AWS 2min Wind Spd Gust</t>
  </si>
  <si>
    <t>LT0350A1</t>
  </si>
  <si>
    <t>ILT0455A1</t>
  </si>
  <si>
    <t>LT0455B1</t>
  </si>
  <si>
    <t>LT0390A1</t>
  </si>
  <si>
    <t>LT0610A1</t>
  </si>
  <si>
    <t>LT0651A1</t>
  </si>
  <si>
    <t>LT2700A1</t>
  </si>
  <si>
    <t>LT0420A1</t>
  </si>
  <si>
    <t>LT0420B1</t>
  </si>
  <si>
    <t>LT0310A1</t>
  </si>
  <si>
    <t>LT0160A1</t>
  </si>
  <si>
    <t>LT0320A1</t>
  </si>
  <si>
    <t>LT0300A1</t>
  </si>
  <si>
    <t>LT2120A1</t>
  </si>
  <si>
    <t>LT0150A1</t>
  </si>
  <si>
    <t>ILT0150B1</t>
  </si>
  <si>
    <t>LT4015A1</t>
  </si>
  <si>
    <t>LT4035A1</t>
  </si>
  <si>
    <t>LT4055A1</t>
  </si>
  <si>
    <t>ILT0100B1</t>
  </si>
  <si>
    <t>LT0100B1</t>
  </si>
  <si>
    <t>ILT0490A1</t>
  </si>
  <si>
    <t>LT1800A1</t>
  </si>
  <si>
    <t>LT1805A1</t>
  </si>
  <si>
    <t>LT1810A1</t>
  </si>
  <si>
    <t>LT1820A1</t>
  </si>
  <si>
    <t>LT1825A1</t>
  </si>
  <si>
    <t>LT1900A1</t>
  </si>
  <si>
    <t>LT1905A1</t>
  </si>
  <si>
    <t>LT2211A1</t>
  </si>
  <si>
    <t>LT2212A1</t>
  </si>
  <si>
    <t>LT2213A1</t>
  </si>
  <si>
    <t>LT2214A1</t>
  </si>
  <si>
    <t>LT2650A1</t>
  </si>
  <si>
    <t>LT2670A1</t>
  </si>
  <si>
    <t>LT2701A1</t>
  </si>
  <si>
    <t>LT2706A1</t>
  </si>
  <si>
    <t>LT2746A1</t>
  </si>
  <si>
    <t>LT2796A1</t>
  </si>
  <si>
    <t>LT2801A1</t>
  </si>
  <si>
    <t>LT2804A1</t>
  </si>
  <si>
    <t>LT2807A1</t>
  </si>
  <si>
    <t>LT2810A1</t>
  </si>
  <si>
    <t>LT2820A1</t>
  </si>
  <si>
    <t>LT2881A1</t>
  </si>
  <si>
    <t>LT2885A1</t>
  </si>
  <si>
    <t>LT5120A1</t>
  </si>
  <si>
    <t>LT5220A1</t>
  </si>
  <si>
    <t>LT5320A1</t>
  </si>
  <si>
    <t>LT5420A1</t>
  </si>
  <si>
    <t>EPN-BE Level</t>
  </si>
  <si>
    <t>EPN-BW Level</t>
  </si>
  <si>
    <t>EPS-BE Level</t>
  </si>
  <si>
    <t>EPS-BW Level</t>
  </si>
  <si>
    <t>LTNE0</t>
  </si>
  <si>
    <t>NE0-B Level</t>
  </si>
  <si>
    <t>NE1-VNE Void</t>
  </si>
  <si>
    <t>NE1-VS Void</t>
  </si>
  <si>
    <t>NE1-VW Void</t>
  </si>
  <si>
    <t>NE2-VNE Void</t>
  </si>
  <si>
    <t>NE2-VS Void</t>
  </si>
  <si>
    <t>NE2-VW Void</t>
  </si>
  <si>
    <t>LTNE3CNE</t>
  </si>
  <si>
    <t>NE3-V Void</t>
  </si>
  <si>
    <t>LTNE3VA1</t>
  </si>
  <si>
    <t>LTNE3VB1</t>
  </si>
  <si>
    <t>LTNE3VC1</t>
  </si>
  <si>
    <t>NPE-BN Level</t>
  </si>
  <si>
    <t>NPE-BS Level</t>
  </si>
  <si>
    <t>NPW-BN Level</t>
  </si>
  <si>
    <t>NPW-BS Level</t>
  </si>
  <si>
    <t>LTNW0</t>
  </si>
  <si>
    <t>NW0-B Level</t>
  </si>
  <si>
    <t>NW1-VE Void</t>
  </si>
  <si>
    <t>NW1-VNW Void</t>
  </si>
  <si>
    <t>NW1-VS Void</t>
  </si>
  <si>
    <t>NW2-VE Void</t>
  </si>
  <si>
    <t>NW2-VNW Void</t>
  </si>
  <si>
    <t>NW2-VS Void</t>
  </si>
  <si>
    <t>LTNW3CNW</t>
  </si>
  <si>
    <t>NW3-V Void</t>
  </si>
  <si>
    <t>LTSE0</t>
  </si>
  <si>
    <t>SE0-B Level</t>
  </si>
  <si>
    <t>SE1-VE Void</t>
  </si>
  <si>
    <t>SE1-VN Void</t>
  </si>
  <si>
    <t>SE1-VS Void</t>
  </si>
  <si>
    <t>SE1-VW Void</t>
  </si>
  <si>
    <t>SE2-VE Void</t>
  </si>
  <si>
    <t>SE2-VN Void</t>
  </si>
  <si>
    <t>SE2-VS Void</t>
  </si>
  <si>
    <t>SE2-VW Void</t>
  </si>
  <si>
    <t>LTSE3CSE</t>
  </si>
  <si>
    <t>SE3-V Void</t>
  </si>
  <si>
    <t>SPE-BN Level</t>
  </si>
  <si>
    <t>SPE-BS Level</t>
  </si>
  <si>
    <t>SPW-BN Level</t>
  </si>
  <si>
    <t>SPW-BS Level</t>
  </si>
  <si>
    <t>LTSW0</t>
  </si>
  <si>
    <t>SW0-B Level</t>
  </si>
  <si>
    <t>SW1-VE Void</t>
  </si>
  <si>
    <t>SW1-VN Void</t>
  </si>
  <si>
    <t>SW1-VS Void</t>
  </si>
  <si>
    <t>SW1-VW Void</t>
  </si>
  <si>
    <t>SW2-VE Void</t>
  </si>
  <si>
    <t>SW2-VN Void</t>
  </si>
  <si>
    <t>SW2-VS Void</t>
  </si>
  <si>
    <t>SW2-VW Void</t>
  </si>
  <si>
    <t>LTSW3CSW</t>
  </si>
  <si>
    <t>SW3-V Void</t>
  </si>
  <si>
    <t>WPN-BE Level</t>
  </si>
  <si>
    <t>WPN-BW Level</t>
  </si>
  <si>
    <t>WPS-BE Level</t>
  </si>
  <si>
    <t>WPS-BW Level</t>
  </si>
  <si>
    <t>DCS Watchdog</t>
  </si>
  <si>
    <t>VADCP Max Current Spd</t>
  </si>
  <si>
    <t>VADCP Max Current Dir</t>
  </si>
  <si>
    <t>VADCP Temperature</t>
  </si>
  <si>
    <t>HADCP Temperature</t>
  </si>
  <si>
    <t>HADCP Surface Curr Spd</t>
  </si>
  <si>
    <t>HADCP Surface Curr Dir</t>
  </si>
  <si>
    <t>MAS WatchDog</t>
  </si>
  <si>
    <t>MAS Calculation Flag</t>
  </si>
  <si>
    <t>Phantom Weight</t>
  </si>
  <si>
    <t>Phantom Weight CG EW</t>
  </si>
  <si>
    <t>Phantom Weight CG NS</t>
  </si>
  <si>
    <t>KG Margin</t>
  </si>
  <si>
    <t>NPW-BN Advisor Level</t>
  </si>
  <si>
    <t>NPW-BS Advisor Level</t>
  </si>
  <si>
    <t>NPE-BN Advisor Level</t>
  </si>
  <si>
    <t>NPE-BS Advisor Level</t>
  </si>
  <si>
    <t>EPN-BW Advisor Level</t>
  </si>
  <si>
    <t>EPN-BE Advisor Level</t>
  </si>
  <si>
    <t>EPS-BW Advisor Level</t>
  </si>
  <si>
    <t>EPS-BE Advisor Level</t>
  </si>
  <si>
    <t>NW0-B Advisor Level</t>
  </si>
  <si>
    <t>NE0-B Advisor Level</t>
  </si>
  <si>
    <t>SPE-BN Advisor Level</t>
  </si>
  <si>
    <t>SPE-BS Advisor Level</t>
  </si>
  <si>
    <t>SPW-BN Advisor Level</t>
  </si>
  <si>
    <t>SPW-BS Advisor Level</t>
  </si>
  <si>
    <t>WPS-BW Advisor Level</t>
  </si>
  <si>
    <t>WPS-BE Advisor Level</t>
  </si>
  <si>
    <t>WPN-BW Advisor Level</t>
  </si>
  <si>
    <t>WPN-BE Advisor Level</t>
  </si>
  <si>
    <t>SW0-B Advisor Level</t>
  </si>
  <si>
    <t>SE0-B Advisor Level</t>
  </si>
  <si>
    <t>Phantom Weight 20min</t>
  </si>
  <si>
    <t>Phantom Weight CG EW 20min</t>
  </si>
  <si>
    <t>Phantom Weight CG NS 20min</t>
  </si>
  <si>
    <t>LPF Moment EW 20min</t>
  </si>
  <si>
    <t>LPF Moment NS 20min</t>
  </si>
  <si>
    <t>Predicted LPF</t>
  </si>
  <si>
    <t>Predicted LPF Dir</t>
  </si>
  <si>
    <t>Predicted Draft</t>
  </si>
  <si>
    <t>Predicted Heel</t>
  </si>
  <si>
    <t>Predicted Trim</t>
  </si>
  <si>
    <t>Predicted PQ Northings</t>
  </si>
  <si>
    <t>Predicted PQ Eastings</t>
  </si>
  <si>
    <t>ML1 Predicted Tension</t>
  </si>
  <si>
    <t>ML2 Predicted Tension</t>
  </si>
  <si>
    <t>ML3 Predicted Tension</t>
  </si>
  <si>
    <t>ML4 Predicted Tension</t>
  </si>
  <si>
    <t>ML5 Predicted Tension</t>
  </si>
  <si>
    <t>ML6 Predicted Tension</t>
  </si>
  <si>
    <t>ML7 Predicted Tension</t>
  </si>
  <si>
    <t>ML8 Predicted Tension</t>
  </si>
  <si>
    <t>ML9 Predicted Tension</t>
  </si>
  <si>
    <t>ML10 Predicted Tension</t>
  </si>
  <si>
    <t>ML11 Predicted Tension</t>
  </si>
  <si>
    <t>ML12 Predicted Tension</t>
  </si>
  <si>
    <t>ML13 Predicted Tension</t>
  </si>
  <si>
    <t>ML14 Predicted Tension</t>
  </si>
  <si>
    <t>ML15 Predicted Tension</t>
  </si>
  <si>
    <t>ML16 Predicted Tension</t>
  </si>
  <si>
    <t>ML1 Predicted Angle</t>
  </si>
  <si>
    <t>ML2 Predicted Angle</t>
  </si>
  <si>
    <t>ML3 Predicted Angle</t>
  </si>
  <si>
    <t>ML4 Predicted Angle</t>
  </si>
  <si>
    <t>ML5 Predicted Angle</t>
  </si>
  <si>
    <t>ML6 Predicted Angle</t>
  </si>
  <si>
    <t>ML7 Predicted Angle</t>
  </si>
  <si>
    <t>ML8 Predicted Angle</t>
  </si>
  <si>
    <t>ML9 Predicted Angle</t>
  </si>
  <si>
    <t>ML10 Predicted Angle</t>
  </si>
  <si>
    <t>ML11 Predicted Angle</t>
  </si>
  <si>
    <t>ML12 Predicted Angle</t>
  </si>
  <si>
    <t>ML13 Predicted Angle</t>
  </si>
  <si>
    <t>ML14 Predicted Angle</t>
  </si>
  <si>
    <t>ML15 Predicted Angle</t>
  </si>
  <si>
    <t>ML16 Predicted Angle</t>
  </si>
  <si>
    <t>Calculation_Status</t>
  </si>
  <si>
    <t>Discrepancy_Wt_HI</t>
  </si>
  <si>
    <t>Discrepancy_Wt_LO</t>
  </si>
  <si>
    <t>Discrepancy_Wt_CG_EW</t>
  </si>
  <si>
    <t>Discrepancy_Wt_CG_NS</t>
  </si>
  <si>
    <t>Apparent_Wt_HI</t>
  </si>
  <si>
    <t>Apparent_Wt_LO</t>
  </si>
  <si>
    <t>Displacement_HI</t>
  </si>
  <si>
    <t>Displacement_LO</t>
  </si>
  <si>
    <t>VCG</t>
  </si>
  <si>
    <t>LCG</t>
  </si>
  <si>
    <t>TCG</t>
  </si>
  <si>
    <t>FSt_HI</t>
  </si>
  <si>
    <t>FSt_LO</t>
  </si>
  <si>
    <t>FSl_HI</t>
  </si>
  <si>
    <t>FSl_LO</t>
  </si>
  <si>
    <t>KG_Corrected</t>
  </si>
  <si>
    <t>Max_KG</t>
  </si>
  <si>
    <t>Non_Exempt_LS_percent</t>
  </si>
  <si>
    <t>MR_Location</t>
  </si>
  <si>
    <t>MR_Long_Offset</t>
  </si>
  <si>
    <t>MR_Transv_Offset</t>
  </si>
  <si>
    <t>Lightship_Changes_Wt_HI</t>
  </si>
  <si>
    <t>Lightship_Changes_Wt_LO</t>
  </si>
  <si>
    <t>Lightship_Changes_LCG</t>
  </si>
  <si>
    <t>Lightship_Changes_TCG</t>
  </si>
  <si>
    <t>Lightship_Changes_VCG</t>
  </si>
  <si>
    <t>Ballast_Tks_GP_Ttl_Wt_HI</t>
  </si>
  <si>
    <t>Ballast_Tks_GP_Ttl_Wt_LO</t>
  </si>
  <si>
    <t>Ballast_Tks_GP_Ttl_LCG</t>
  </si>
  <si>
    <t>Ballast_Tks_GP_Ttl_TCG</t>
  </si>
  <si>
    <t>Ballast_Tks_GP_Ttl_VCG</t>
  </si>
  <si>
    <t>Ballast_Tks_GP_Ttl_FSt_HI</t>
  </si>
  <si>
    <t>Ballast_Tks_GP_Ttl_FSt_LO</t>
  </si>
  <si>
    <t>Ballast_Tks_GP_Ttl_FSl_HI</t>
  </si>
  <si>
    <t>Ballast_Tks_GP_Ttl_FSl_LO</t>
  </si>
  <si>
    <t>Void_Tks_GP_Total_Wt_HI</t>
  </si>
  <si>
    <t>Void_Tks_GP_Total_Wt_LO</t>
  </si>
  <si>
    <t>Void_Tks_GP_Total_LCG</t>
  </si>
  <si>
    <t>Void_Tks_GP_Total_TCG</t>
  </si>
  <si>
    <t>Void_Tks_GP_Total_VCG</t>
  </si>
  <si>
    <t>Void_Tks_GP_Total_FSt_HI</t>
  </si>
  <si>
    <t>Void_Tks_GP_Total_FSt_LO</t>
  </si>
  <si>
    <t>Void_Tks_GP_Total_FSl_HI</t>
  </si>
  <si>
    <t>Void_Tks_GP_Total_FSl_LO</t>
  </si>
  <si>
    <t>Hull_Sto_Tks_GP_Ttl_HI</t>
  </si>
  <si>
    <t>Hull_Sto_Tks_GP_Ttl_LO</t>
  </si>
  <si>
    <t>Hull_Sto_Tks_GP_Ttl_LCG</t>
  </si>
  <si>
    <t>Hull_Sto_Tks_GP_Ttl_TCG</t>
  </si>
  <si>
    <t>Hull_Sto_Tks_GP_Ttl_VCG</t>
  </si>
  <si>
    <t>Hull_Sto_Tks_GP_Ttl_FSt_HI</t>
  </si>
  <si>
    <t>Hull_Sto_Tks_GP_Ttl_FSt_LO</t>
  </si>
  <si>
    <t>Hull_Sto_Tks_GP_Ttl_FSI_HI</t>
  </si>
  <si>
    <t>Hull_Sto_Tks_GP_Ttl_FSI_LO</t>
  </si>
  <si>
    <t>Topside_Tks_GP_Total_Wt_HI</t>
  </si>
  <si>
    <t>Topside_Tks_GP_Total_Wt_LO</t>
  </si>
  <si>
    <t>Topside_Tks_GP_Total_LCG</t>
  </si>
  <si>
    <t>Topside_Tks_GP_Total_TCG</t>
  </si>
  <si>
    <t>Topside_Tks_GP_Total_VCG</t>
  </si>
  <si>
    <t>Live_Loads_GP_Total_Wt_HI</t>
  </si>
  <si>
    <t>Live_Loads_GP_Total_Wt_LO</t>
  </si>
  <si>
    <t>Live_Loads_GP_Total_LCG</t>
  </si>
  <si>
    <t>Live_Loads_GP_Total_TCG</t>
  </si>
  <si>
    <t>Live_Loads_GP_Total_VCG</t>
  </si>
  <si>
    <t>Riser_Brdge_GP_Total_Wt_HI</t>
  </si>
  <si>
    <t>Riser_Brdge_GP_Total_Wt_LO</t>
  </si>
  <si>
    <t>Riser_Bridge_GP_Total_LCG</t>
  </si>
  <si>
    <t>Riser_Bridge_GP_Total_TCG</t>
  </si>
  <si>
    <t>Riser_Bridge_GP_Total_VCG</t>
  </si>
  <si>
    <t>Chains_GP_Total_Wt_HI</t>
  </si>
  <si>
    <t>Chains_GP_Total_Wt_LO</t>
  </si>
  <si>
    <t>Chains_GP_Total_LCG</t>
  </si>
  <si>
    <t>Chains_GP_Total_TCG</t>
  </si>
  <si>
    <t>Chains_GP_Total_VCG</t>
  </si>
  <si>
    <t>Deck_Survey_GP_Total_Wt_HI</t>
  </si>
  <si>
    <t>Deck_Survey_GP_Total_Wt_LO</t>
  </si>
  <si>
    <t>Deck_Survey_GP_Total_LCG</t>
  </si>
  <si>
    <t>Deck_Survey_GP_Total_TCG</t>
  </si>
  <si>
    <t>Deck_Survey_GP_Total_VCG</t>
  </si>
  <si>
    <t>Umbilicals_GP_Total_Wt_HI</t>
  </si>
  <si>
    <t>Umbilicals_GP_Total_Wt_LO</t>
  </si>
  <si>
    <t>Umbilicals_GP_Total_LCG</t>
  </si>
  <si>
    <t>Umbilicals_GP_Total_TCG</t>
  </si>
  <si>
    <t>Umbilicals_GP_Total_VCG</t>
  </si>
  <si>
    <t>Stingers_GP_Total_Wt_HI</t>
  </si>
  <si>
    <t>Stingers_GP_Total_Wt_LO</t>
  </si>
  <si>
    <t>Stingers_GP_Total_LCG</t>
  </si>
  <si>
    <t>Stingers_GP_Total_TCG</t>
  </si>
  <si>
    <t>Stingers_GP_Total_VCG</t>
  </si>
  <si>
    <t>Risers_GP_Total_Wt_HI</t>
  </si>
  <si>
    <t>Risers_GP_Total_Wt_LO</t>
  </si>
  <si>
    <t>Risers_GP_Total_LCG</t>
  </si>
  <si>
    <t>Risers_GP_Total_TCG</t>
  </si>
  <si>
    <t>Risers_GP_Total_VCG</t>
  </si>
  <si>
    <t>ML_GP_Total_Wt_HI</t>
  </si>
  <si>
    <t>ML_GP_Total_Wt_LO</t>
  </si>
  <si>
    <t>ML_GP_Total_LCG</t>
  </si>
  <si>
    <t>ML_GP_Total_TCG</t>
  </si>
  <si>
    <t>ML_GP_Total_VCG</t>
  </si>
  <si>
    <t>Misc_Wts_GP_Total_Wt_HI</t>
  </si>
  <si>
    <t>Misc_Wts_GP_Total_Wt_LO</t>
  </si>
  <si>
    <t>Misc_Wts_GP_Total_LCG</t>
  </si>
  <si>
    <t>Misc_Wts_GP_Total_TCG</t>
  </si>
  <si>
    <t>Misc_Wts_GP_Total_VCG</t>
  </si>
  <si>
    <t>Spaces_GP_Total_Wt_HI</t>
  </si>
  <si>
    <t>Spaces_GP_Total_Wt_LO</t>
  </si>
  <si>
    <t>Spaces_GP_Total_LCG</t>
  </si>
  <si>
    <t>Spaces_GP_Total_TCG</t>
  </si>
  <si>
    <t>Spaces_GP_Total_VCG</t>
  </si>
  <si>
    <t>Last_Updated</t>
  </si>
  <si>
    <t>ML 1 Tension Fr Position</t>
  </si>
  <si>
    <t>ML 2 Tension Fr Position</t>
  </si>
  <si>
    <t>ML 3 Tension Fr Position</t>
  </si>
  <si>
    <t>ML 4 Tension Fr Position</t>
  </si>
  <si>
    <t>ML 5 Tension Fr Position</t>
  </si>
  <si>
    <t>ML 6 Tension Fr Position</t>
  </si>
  <si>
    <t>ML 7 Tension Fr Position</t>
  </si>
  <si>
    <t>ML 8 Tension Fr Position</t>
  </si>
  <si>
    <t>ML 9 Tension Fr Position</t>
  </si>
  <si>
    <t>ML 10 Tension Fr Position</t>
  </si>
  <si>
    <t>ML 11 Tension Fr Position</t>
  </si>
  <si>
    <t>ML 12 Tension Fr Position</t>
  </si>
  <si>
    <t>ML 13 Tension Fr Position</t>
  </si>
  <si>
    <t>ML 14 Tension Fr Position</t>
  </si>
  <si>
    <t>ML 15 Tension Fr Position</t>
  </si>
  <si>
    <t>ML 16 Tension Fr Position</t>
  </si>
  <si>
    <t>ML 1 Tension Fr Angle</t>
  </si>
  <si>
    <t>ML 2 Tension Fr Angle</t>
  </si>
  <si>
    <t>ML 3 Tension Fr Angle</t>
  </si>
  <si>
    <t>ML 4 Tension Fr Angle</t>
  </si>
  <si>
    <t>ML 5 Tension Fr Angle</t>
  </si>
  <si>
    <t>ML 6 Tension Fr Angle</t>
  </si>
  <si>
    <t>ML 7 Tension Fr Angle</t>
  </si>
  <si>
    <t>ML 8 Tension Fr Angle</t>
  </si>
  <si>
    <t>ML 9 Tension Fr Angle</t>
  </si>
  <si>
    <t>ML 10 Tension Fr Angle</t>
  </si>
  <si>
    <t>ML 11 Tension Fr Angle</t>
  </si>
  <si>
    <t>ML 12 Tension Fr Angle</t>
  </si>
  <si>
    <t>ML 13 Tension Fr Angle</t>
  </si>
  <si>
    <t>ML 14 Tension Fr Angle</t>
  </si>
  <si>
    <t>ML 15 Tension Fr Angle</t>
  </si>
  <si>
    <t>ML 16 Tension Fr Angle</t>
  </si>
  <si>
    <t>ML 1 Stretch Fr Tension</t>
  </si>
  <si>
    <t>ML 2 Stretch Fr Tension</t>
  </si>
  <si>
    <t>ML 3 Stretch Fr Tension</t>
  </si>
  <si>
    <t>ML 4 Stretch Fr Tension</t>
  </si>
  <si>
    <t>ML 5 Stretch Fr Tension</t>
  </si>
  <si>
    <t>ML 6 Stretch Fr Tension</t>
  </si>
  <si>
    <t>ML 7 Stretch Fr Tension</t>
  </si>
  <si>
    <t>ML 8 Stretch Fr Tension</t>
  </si>
  <si>
    <t>ML 9 Stretch Fr Tension</t>
  </si>
  <si>
    <t>ML 10 Stretch Fr Tension</t>
  </si>
  <si>
    <t>ML 11 Stretch Fr Tension</t>
  </si>
  <si>
    <t>ML 12 Stretch Fr Tension</t>
  </si>
  <si>
    <t>ML 13 Stretch Fr Tension</t>
  </si>
  <si>
    <t>ML 14 Stretch Fr Tension</t>
  </si>
  <si>
    <t>ML 15 Stretch Fr Tension</t>
  </si>
  <si>
    <t>ML 16 Stretch Fr Tension</t>
  </si>
  <si>
    <t>ML 1 Stretch Fr Angle</t>
  </si>
  <si>
    <t>ML 2 Stretch Fr Angle</t>
  </si>
  <si>
    <t>ML 3 Stretch Fr Angle</t>
  </si>
  <si>
    <t>ML 4 Stretch Fr Angle</t>
  </si>
  <si>
    <t>ML 5 Stretch Fr Angle</t>
  </si>
  <si>
    <t>ML 6 Stretch Fr Angle</t>
  </si>
  <si>
    <t>ML 7 Stretch Fr Angle</t>
  </si>
  <si>
    <t>ML 8 Stretch Fr Angle</t>
  </si>
  <si>
    <t>ML 9 Stretch Fr Angle</t>
  </si>
  <si>
    <t>ML 10 Stretch Fr Angle</t>
  </si>
  <si>
    <t>ML 11 Stretch Fr Angle</t>
  </si>
  <si>
    <t>ML 12 Stretch Fr Angle</t>
  </si>
  <si>
    <t>ML 13 Stretch Fr Angle</t>
  </si>
  <si>
    <t>ML 14 Stretch Fr Angle</t>
  </si>
  <si>
    <t>ML 15 Stretch Fr Angle</t>
  </si>
  <si>
    <t>ML 16 Stretch Fr Angle</t>
  </si>
  <si>
    <t>ML WatchDog</t>
  </si>
  <si>
    <t>ML 1 Status HI</t>
  </si>
  <si>
    <t>ML 1 Status LO</t>
  </si>
  <si>
    <t>ML 1 Length In</t>
  </si>
  <si>
    <t>ML 1 Length Out</t>
  </si>
  <si>
    <t>ML 1 EFCS Tension</t>
  </si>
  <si>
    <t>ML 1 CS Tension</t>
  </si>
  <si>
    <t>ML 1 Px Tension</t>
  </si>
  <si>
    <t>ML 1 Angle</t>
  </si>
  <si>
    <t>ML 2 Status HI</t>
  </si>
  <si>
    <t>ML 2 Status LO</t>
  </si>
  <si>
    <t>ML 2 Length In</t>
  </si>
  <si>
    <t>ML 2 Length Out</t>
  </si>
  <si>
    <t>ML 2 EFCS Tension</t>
  </si>
  <si>
    <t>ML 2 CS Tension</t>
  </si>
  <si>
    <t>ML 2 Px Tension</t>
  </si>
  <si>
    <t>ML 2 Angle</t>
  </si>
  <si>
    <t>ML 3 Status HI</t>
  </si>
  <si>
    <t>ML 3 Status LO</t>
  </si>
  <si>
    <t>ML 3 Length In</t>
  </si>
  <si>
    <t>ML 3 Length Out</t>
  </si>
  <si>
    <t>ML 3 EFCS Tension</t>
  </si>
  <si>
    <t>ML 3 CS Tension</t>
  </si>
  <si>
    <t>ML 3 Px Tension</t>
  </si>
  <si>
    <t>ML 3 Angle</t>
  </si>
  <si>
    <t>ML 4 Status HI</t>
  </si>
  <si>
    <t>ML 4 Status LO</t>
  </si>
  <si>
    <t>ML 4 Length In</t>
  </si>
  <si>
    <t>ML 4 Length Out</t>
  </si>
  <si>
    <t>ML 4 EFCS Tension</t>
  </si>
  <si>
    <t>ML 4 CS Tension</t>
  </si>
  <si>
    <t>ML 4 Px Tension</t>
  </si>
  <si>
    <t>ML 4 Angle</t>
  </si>
  <si>
    <t>ML 5 Status HI</t>
  </si>
  <si>
    <t>ML 5 Status LO</t>
  </si>
  <si>
    <t>ML 5 Length In</t>
  </si>
  <si>
    <t>ML 5 Length Out</t>
  </si>
  <si>
    <t>ML 5 EFCS Tension</t>
  </si>
  <si>
    <t>ML 5 CS Tension</t>
  </si>
  <si>
    <t>ML 5 Px Tension</t>
  </si>
  <si>
    <t>ML 5 Angle</t>
  </si>
  <si>
    <t>ML 6 Status HI</t>
  </si>
  <si>
    <t>ML 6 Status LO</t>
  </si>
  <si>
    <t>ML 6 Length In</t>
  </si>
  <si>
    <t>ML 6 Length Out</t>
  </si>
  <si>
    <t>ML 6 EFCS Tension</t>
  </si>
  <si>
    <t>ML 6 CS Tension</t>
  </si>
  <si>
    <t>ML 6 Px Tension</t>
  </si>
  <si>
    <t>ML 6 Angle</t>
  </si>
  <si>
    <t>ML 7 Status HI</t>
  </si>
  <si>
    <t>ML 7 Status LO</t>
  </si>
  <si>
    <t>ML 7 Length In</t>
  </si>
  <si>
    <t>ML 7 Length Out</t>
  </si>
  <si>
    <t>ML 7 EFCS Tension</t>
  </si>
  <si>
    <t>ML 7 CS Tension</t>
  </si>
  <si>
    <t>ML 7 Px Tension</t>
  </si>
  <si>
    <t>ML 7 Angle</t>
  </si>
  <si>
    <t>ML 8 Status HI</t>
  </si>
  <si>
    <t>ML 8 Status LO</t>
  </si>
  <si>
    <t>ML 8 Length In</t>
  </si>
  <si>
    <t>ML 8 Length Out</t>
  </si>
  <si>
    <t>ML 8 EFCS Tension</t>
  </si>
  <si>
    <t>ML 8 CS Tension</t>
  </si>
  <si>
    <t>ML 8 Px Tension</t>
  </si>
  <si>
    <t>ML 8 Angle</t>
  </si>
  <si>
    <t>ML 9 Status HI</t>
  </si>
  <si>
    <t>ML 9 Status LO</t>
  </si>
  <si>
    <t>ML 9 Length In</t>
  </si>
  <si>
    <t>ML 9 Length Out</t>
  </si>
  <si>
    <t>ML 9 EFCS Tension</t>
  </si>
  <si>
    <t>ML 9 CS Tension</t>
  </si>
  <si>
    <t>ML 9 Px Tension</t>
  </si>
  <si>
    <t>ML 9 Angle</t>
  </si>
  <si>
    <t>ML 10 Status HI</t>
  </si>
  <si>
    <t>ML 10 Status LO</t>
  </si>
  <si>
    <t>ML 10 Length In</t>
  </si>
  <si>
    <t>ML 10 Length Out</t>
  </si>
  <si>
    <t>ML 10 EFCS Tension</t>
  </si>
  <si>
    <t>ML 10 CS Tension</t>
  </si>
  <si>
    <t>ML 10 Px Tension</t>
  </si>
  <si>
    <t>ML 10 Angle</t>
  </si>
  <si>
    <t>ML 11 Status HI</t>
  </si>
  <si>
    <t>ML 11 Status LO</t>
  </si>
  <si>
    <t>ML 11 Length In</t>
  </si>
  <si>
    <t>ML 11 Length Out</t>
  </si>
  <si>
    <t>ML 11 EFCS Tension</t>
  </si>
  <si>
    <t>ML 11 CS Tension</t>
  </si>
  <si>
    <t>ML 11 Px Tension</t>
  </si>
  <si>
    <t>ML 11 Angle</t>
  </si>
  <si>
    <t>ML 12 Status HI</t>
  </si>
  <si>
    <t>ML 12 Status LO</t>
  </si>
  <si>
    <t>ML 12 Length In</t>
  </si>
  <si>
    <t>ML 12 Length Out</t>
  </si>
  <si>
    <t>ML 12 EFCS Tension</t>
  </si>
  <si>
    <t>ML 12 CS Tension</t>
  </si>
  <si>
    <t>ML 12 Px Tension</t>
  </si>
  <si>
    <t>ML 12 Angle</t>
  </si>
  <si>
    <t>ML 13 Status HI</t>
  </si>
  <si>
    <t>ML 13 Status LO</t>
  </si>
  <si>
    <t>ML 13 Length In</t>
  </si>
  <si>
    <t>ML 13 Length Out</t>
  </si>
  <si>
    <t>ML 13 EFCS Tension</t>
  </si>
  <si>
    <t>ML 13 CS Tension</t>
  </si>
  <si>
    <t>ML 13 Px Tension</t>
  </si>
  <si>
    <t>ML 13 Angle</t>
  </si>
  <si>
    <t>ML 14 Status HI</t>
  </si>
  <si>
    <t>ML 14 Status LO</t>
  </si>
  <si>
    <t>ML 14 Length In</t>
  </si>
  <si>
    <t>ML 14 Length Out</t>
  </si>
  <si>
    <t>ML 14 EFCS Tension</t>
  </si>
  <si>
    <t>ML 14 CS Tension</t>
  </si>
  <si>
    <t>ML 14 Px Tension</t>
  </si>
  <si>
    <t>ML 14 Angle</t>
  </si>
  <si>
    <t>ML 15 Status HI</t>
  </si>
  <si>
    <t>ML 15 Status LO</t>
  </si>
  <si>
    <t>ML 15 Length In</t>
  </si>
  <si>
    <t>ML 15 Length Out</t>
  </si>
  <si>
    <t>ML 15 EFCS Tension</t>
  </si>
  <si>
    <t>ML 15 CS Tension</t>
  </si>
  <si>
    <t>ML 15 Px Tension</t>
  </si>
  <si>
    <t>ML 15 Angle</t>
  </si>
  <si>
    <t>ML 16 Status HI</t>
  </si>
  <si>
    <t>ML 16 Status LO</t>
  </si>
  <si>
    <t>ML 16 Length In</t>
  </si>
  <si>
    <t>ML 16 Length Out</t>
  </si>
  <si>
    <t>ML 16 EFCS Tension</t>
  </si>
  <si>
    <t>ML 16 CS Tension</t>
  </si>
  <si>
    <t>ML 16 Px Tension</t>
  </si>
  <si>
    <t>ML 16 Angle</t>
  </si>
  <si>
    <t>PDU PS1A Status</t>
  </si>
  <si>
    <t>PDU PS1B Status</t>
  </si>
  <si>
    <t>PDU PS2A Status</t>
  </si>
  <si>
    <t>PDU PS2B Status</t>
  </si>
  <si>
    <t>Sig Wave Height</t>
  </si>
  <si>
    <t>Max Wave Height</t>
  </si>
  <si>
    <t>Wave Period</t>
  </si>
  <si>
    <t>Wave Dir</t>
  </si>
  <si>
    <t>Pri Wave Dir Spread</t>
  </si>
  <si>
    <t>Wave Steepness</t>
  </si>
  <si>
    <t>Mean 0-Upcrossing Period</t>
  </si>
  <si>
    <t>Sec Wave Peak Dir</t>
  </si>
  <si>
    <t>Wave HI Time</t>
  </si>
  <si>
    <t>Wave LO Time</t>
  </si>
  <si>
    <t>Surface Current Spd</t>
  </si>
  <si>
    <t>Surface Current Dir</t>
  </si>
  <si>
    <t>Current HI Time</t>
  </si>
  <si>
    <t>Current LO Time</t>
  </si>
  <si>
    <t>Lidar Ht1 Horz Wind Spd</t>
  </si>
  <si>
    <t>Lidar Ht1 Vert Wind Spd</t>
  </si>
  <si>
    <t>Lidar Ht1 Wind Dir</t>
  </si>
  <si>
    <t>Lidar Height 1</t>
  </si>
  <si>
    <t>Lidar Ht2 Horz Wind Spd</t>
  </si>
  <si>
    <t>Lidar Ht2 Vert Wind Spd</t>
  </si>
  <si>
    <t>Lidar Ht2 Wind Dir</t>
  </si>
  <si>
    <t>Lidar Height 2</t>
  </si>
  <si>
    <t>Lidar Ht3 Horz Wind Spd</t>
  </si>
  <si>
    <t>Lidar Ht3 Vert Wind Spd</t>
  </si>
  <si>
    <t>Lidar Ht3 Wind Dir</t>
  </si>
  <si>
    <t>Lidar Height 3</t>
  </si>
  <si>
    <t>Lidar Ht4 Horz Wind Spd</t>
  </si>
  <si>
    <t>Lidar Ht4 Vert Wind Spd</t>
  </si>
  <si>
    <t>Lidar Ht4 Wind Dir</t>
  </si>
  <si>
    <t>Lidar Height 4</t>
  </si>
  <si>
    <t>Lidar Ht5 Horz Wind Spd</t>
  </si>
  <si>
    <t>Lidar Ht5 Vert Wind Spd</t>
  </si>
  <si>
    <t>Lidar Ht5 Wind Dir</t>
  </si>
  <si>
    <t>Lidar Height 5</t>
  </si>
  <si>
    <t>Lidar Ht6 Horz Wind Spd</t>
  </si>
  <si>
    <t>Lidar Ht6 Vert Wind Spd</t>
  </si>
  <si>
    <t>Lidar Ht6 Wind Dir</t>
  </si>
  <si>
    <t>Lidar Height 6</t>
  </si>
  <si>
    <t>Lidar Ht7 Horz Wind Spd</t>
  </si>
  <si>
    <t>Lidar Ht7 Vert Wind Spd</t>
  </si>
  <si>
    <t>Lidar Ht7 Wind Dir</t>
  </si>
  <si>
    <t>Lidar Height 7</t>
  </si>
  <si>
    <t>Lidar Ht8 Horz Wind Spd</t>
  </si>
  <si>
    <t>Lidar Ht8 Vert Wind Spd</t>
  </si>
  <si>
    <t>Lidar Ht8 Wind Dir</t>
  </si>
  <si>
    <t>Lidar Height 8</t>
  </si>
  <si>
    <t>Lidar Ht9 Horz Wind Spd</t>
  </si>
  <si>
    <t>Lidar Ht9 Vert Wind Spd</t>
  </si>
  <si>
    <t>Lidar Ht9 Wind Dir</t>
  </si>
  <si>
    <t>Lidar Height 9</t>
  </si>
  <si>
    <t>Lidar Ht10 Horz Wind Spd</t>
  </si>
  <si>
    <t>Lidar Ht10 Vert Wind Spd</t>
  </si>
  <si>
    <t>Lidar Ht10 Wind Dir</t>
  </si>
  <si>
    <t>Lidar Height 10</t>
  </si>
  <si>
    <t>Lidar Ht11 Horz Wind Spd</t>
  </si>
  <si>
    <t>Lidar Ht11 Vert Wind Spd</t>
  </si>
  <si>
    <t>Lidar Ht11 Wind Dir</t>
  </si>
  <si>
    <t>Lidar Height 11</t>
  </si>
  <si>
    <t>Lidar Info Flag 10min Avg</t>
  </si>
  <si>
    <t>Lidar Status Flag 10min Av</t>
  </si>
  <si>
    <t>Lidar Batt 10min Avg</t>
  </si>
  <si>
    <t>Lidar Generator 10min Avg</t>
  </si>
  <si>
    <t>Lidar Reference</t>
  </si>
  <si>
    <t>Lidar Air Temp</t>
  </si>
  <si>
    <t>Lidar Air Pressure</t>
  </si>
  <si>
    <t>Lidar Upper Temp</t>
  </si>
  <si>
    <t>Lidar Lower Temp</t>
  </si>
  <si>
    <t>Lidar Raining Flag</t>
  </si>
  <si>
    <t>Lidar Tilt</t>
  </si>
  <si>
    <t>Lidar ZephIR bearing</t>
  </si>
  <si>
    <t>Lidar ZephIR Offset</t>
  </si>
  <si>
    <t>Lidar ZephIR Mode</t>
  </si>
  <si>
    <t>Lidar Firmware Version</t>
  </si>
  <si>
    <t>Num Configured Heights</t>
  </si>
  <si>
    <t>Lidar Lense Height</t>
  </si>
  <si>
    <t>Lidar HI Time</t>
  </si>
  <si>
    <t>Lidar LO Time</t>
  </si>
  <si>
    <t>MET Watchdog</t>
  </si>
  <si>
    <t>SW Heave</t>
  </si>
  <si>
    <t>SW Heave Rate</t>
  </si>
  <si>
    <t>SW List 20min</t>
  </si>
  <si>
    <t>SW Roll STDEV 20min</t>
  </si>
  <si>
    <t>SW Trim 20min</t>
  </si>
  <si>
    <t>SW Pitch STDEV 20min</t>
  </si>
  <si>
    <t>HELI Heave</t>
  </si>
  <si>
    <t>HELI Heave Rate</t>
  </si>
  <si>
    <t>HELI List 20min</t>
  </si>
  <si>
    <t>HELI Roll STDEV 20min</t>
  </si>
  <si>
    <t>HELI Trim 20min</t>
  </si>
  <si>
    <t>HELI Pitch STDEV 20min</t>
  </si>
  <si>
    <t>Hem GPS Lat</t>
  </si>
  <si>
    <t>Hem GPS Lon</t>
  </si>
  <si>
    <t>Hem GPS Altitude</t>
  </si>
  <si>
    <t>Hem GPS Northings</t>
  </si>
  <si>
    <t>Hem GPS Eastings</t>
  </si>
  <si>
    <t>Hem PQ Northings</t>
  </si>
  <si>
    <t>Hem PQ Eastings</t>
  </si>
  <si>
    <t>Hem PQ Altitude</t>
  </si>
  <si>
    <t>Hem PQ Offset</t>
  </si>
  <si>
    <t>Hem PQ Offset Dir</t>
  </si>
  <si>
    <t>Hem PQ Northings AVG</t>
  </si>
  <si>
    <t>Hem PQ Eastings AVG</t>
  </si>
  <si>
    <t>Hem PQ Quality</t>
  </si>
  <si>
    <t>Fugro GPS Lat</t>
  </si>
  <si>
    <t>Fugro GPS Lon</t>
  </si>
  <si>
    <t>Fugro GPS Altitude</t>
  </si>
  <si>
    <t>Fugro GPS Northings</t>
  </si>
  <si>
    <t>Fugro GPS Eastings</t>
  </si>
  <si>
    <t>Fugro PQ Northings</t>
  </si>
  <si>
    <t>Fugro PQ Eastings</t>
  </si>
  <si>
    <t>Fugro PQ Altitude</t>
  </si>
  <si>
    <t>Fugro PQ Offset</t>
  </si>
  <si>
    <t>Fugro PQ Offset Dir</t>
  </si>
  <si>
    <t>Fugro PQ Northings AVG</t>
  </si>
  <si>
    <t>Fugro PQ Eastings AVG</t>
  </si>
  <si>
    <t>Fugro PQ Quality</t>
  </si>
  <si>
    <t>Platform PQ Lat</t>
  </si>
  <si>
    <t>Platform PQ Lon</t>
  </si>
  <si>
    <t>Platform PQ Altitude</t>
  </si>
  <si>
    <t>Platform PQ Northings</t>
  </si>
  <si>
    <t>Platform PQ Eastings</t>
  </si>
  <si>
    <t>Platform PQ Offset</t>
  </si>
  <si>
    <t>Platform PQ Offset Dir</t>
  </si>
  <si>
    <t>Platform PQ Northings AVG</t>
  </si>
  <si>
    <t>Platform PQ Eastings AVG</t>
  </si>
  <si>
    <t>Platform GPS Quality</t>
  </si>
  <si>
    <t>Platform GPS No of Sats</t>
  </si>
  <si>
    <t>Platform GPS HDOP</t>
  </si>
  <si>
    <t>Platform GPS Age of Cor</t>
  </si>
  <si>
    <t>Platform GPS Active Mask</t>
  </si>
  <si>
    <t>Platform WCC Offset</t>
  </si>
  <si>
    <t>Platform WCC Bearing</t>
  </si>
  <si>
    <t>North Airgap</t>
  </si>
  <si>
    <t>North Sig Wave Ht</t>
  </si>
  <si>
    <t>North Wave Period</t>
  </si>
  <si>
    <t>North Draft</t>
  </si>
  <si>
    <t>East Airgap</t>
  </si>
  <si>
    <t>East Sig Wave Ht</t>
  </si>
  <si>
    <t>East Wave Period</t>
  </si>
  <si>
    <t>East Draft</t>
  </si>
  <si>
    <t>South Airgap</t>
  </si>
  <si>
    <t>South Sig Wave Ht</t>
  </si>
  <si>
    <t>South Wave Period</t>
  </si>
  <si>
    <t>South Draft</t>
  </si>
  <si>
    <t>West Airgap</t>
  </si>
  <si>
    <t>West Sig Wave Ht</t>
  </si>
  <si>
    <t>West Wave Period</t>
  </si>
  <si>
    <t>West Draft</t>
  </si>
  <si>
    <t>Best Sig Wave Ht</t>
  </si>
  <si>
    <t>Best Wave Period</t>
  </si>
  <si>
    <t>CL Draft Fr Airgaps</t>
  </si>
  <si>
    <t>List from Airgaps</t>
  </si>
  <si>
    <t>Trim Fr Airgaps</t>
  </si>
  <si>
    <t>Tide</t>
  </si>
  <si>
    <t>AWS Wind Spd</t>
  </si>
  <si>
    <t>AWS Wind Dir</t>
  </si>
  <si>
    <t>AWS North Wind Spd</t>
  </si>
  <si>
    <t>AWS East Wind Spd</t>
  </si>
  <si>
    <t>AWS 10min Wind Spd</t>
  </si>
  <si>
    <t>AWS 10min Wind Dir</t>
  </si>
  <si>
    <t>AWS 1hr Wind Spd</t>
  </si>
  <si>
    <t>AWS 1hr Wind Dir</t>
  </si>
  <si>
    <t>Lidar Wind Spd</t>
  </si>
  <si>
    <t>Lidar Wind Dir</t>
  </si>
  <si>
    <t>Lidar North Wind Spd</t>
  </si>
  <si>
    <t>Lidar East Wind Spd</t>
  </si>
  <si>
    <t>Lidar 3sec Wind Spd</t>
  </si>
  <si>
    <t>Lidar 3sec Wind Dir</t>
  </si>
  <si>
    <t>Lidar 2min Wind Spd</t>
  </si>
  <si>
    <t>Lidar 2min Wind Dir</t>
  </si>
  <si>
    <t>Lidar 10min Wind Spd</t>
  </si>
  <si>
    <t>Lidar 10min Wind Dir</t>
  </si>
  <si>
    <t>Lidar 1hr Wind Spd</t>
  </si>
  <si>
    <t>Lidar 1hr Wind Dir</t>
  </si>
  <si>
    <t>Lidar 3sec Wind Spd 10m</t>
  </si>
  <si>
    <t>Lidar 2min Wind Spd 10m</t>
  </si>
  <si>
    <t>Lidar 10min Wind Spd 10m</t>
  </si>
  <si>
    <t>Lidar 1hr Wind Spd 10m</t>
  </si>
  <si>
    <t>AWS Air Temp 20min</t>
  </si>
  <si>
    <t>AWS Rel Humidity 20min</t>
  </si>
  <si>
    <t>AWS Dew Point 20min</t>
  </si>
  <si>
    <t>AWS Air Pressure 20min</t>
  </si>
  <si>
    <t>AWS Precipitation 20min</t>
  </si>
  <si>
    <t>AWS Visibility 20min</t>
  </si>
  <si>
    <t>AWS Cloud Height 1 20min</t>
  </si>
  <si>
    <t>AWS Cloud Height 2 20min</t>
  </si>
  <si>
    <t>AWS Cloud Height 3 20min</t>
  </si>
  <si>
    <t>ML 1 CS Tension CORR</t>
  </si>
  <si>
    <t>ML 2 CS Tension CORR</t>
  </si>
  <si>
    <t>ML 3 CS Tension CORR</t>
  </si>
  <si>
    <t>ML 4 CS Tension CORR</t>
  </si>
  <si>
    <t>ML 5 CS Tension CORR</t>
  </si>
  <si>
    <t>ML 6 CS Tension CORR</t>
  </si>
  <si>
    <t>ML 7 CS Tension CORR</t>
  </si>
  <si>
    <t>ML 8 CS Tension CORR</t>
  </si>
  <si>
    <t>ML 9 CS Tension CORR</t>
  </si>
  <si>
    <t>ML 10 CS Tension CORR</t>
  </si>
  <si>
    <t>ML 11 CS Tension CORR</t>
  </si>
  <si>
    <t>ML 12 CS Tension CORR</t>
  </si>
  <si>
    <t>ML 13 CS Tension CORR</t>
  </si>
  <si>
    <t>ML 14 CS Tension CORR</t>
  </si>
  <si>
    <t>ML 15 CS Tension CORR</t>
  </si>
  <si>
    <t>ML 16 CS Tension CORR</t>
  </si>
  <si>
    <t>ML 1 Px Tension CORR</t>
  </si>
  <si>
    <t>ML 2 Px Tension CORR</t>
  </si>
  <si>
    <t>ML 3 Px Tension CORR</t>
  </si>
  <si>
    <t>ML 4 Px Tension CORR</t>
  </si>
  <si>
    <t>ML 5 Px Tension CORR</t>
  </si>
  <si>
    <t>ML 6 Px Tension CORR</t>
  </si>
  <si>
    <t>ML 7 Px Tension CORR</t>
  </si>
  <si>
    <t>ML 8 Px Tension CORR</t>
  </si>
  <si>
    <t>ML 9 Px Tension CORR</t>
  </si>
  <si>
    <t>ML 10 Px Tension CORR</t>
  </si>
  <si>
    <t>ML 11 Px Tension CORR</t>
  </si>
  <si>
    <t>ML 12 Px Tension CORR</t>
  </si>
  <si>
    <t>ML 13 Px Tension CORR</t>
  </si>
  <si>
    <t>ML 14 Px Tension CORR</t>
  </si>
  <si>
    <t>ML 15 Px Tension CORR</t>
  </si>
  <si>
    <t>ML 16 Px Tension CORR</t>
  </si>
  <si>
    <t>ML 1 Auto Tension</t>
  </si>
  <si>
    <t>ML 1 Auto Src</t>
  </si>
  <si>
    <t>ML 2 Auto Tension</t>
  </si>
  <si>
    <t>ML 2 Auto Src</t>
  </si>
  <si>
    <t>ML 3 Auto Tension</t>
  </si>
  <si>
    <t>ML 3 Auto Src</t>
  </si>
  <si>
    <t>ML 4 Auto Tension</t>
  </si>
  <si>
    <t>ML 4 Auto Src</t>
  </si>
  <si>
    <t>ML 5 Auto Tension</t>
  </si>
  <si>
    <t>ML 5 Auto Src</t>
  </si>
  <si>
    <t>ML 6 Auto Tension</t>
  </si>
  <si>
    <t>ML 6 Auto Src</t>
  </si>
  <si>
    <t>ML 7 Auto Tension</t>
  </si>
  <si>
    <t>ML 7 Auto Src</t>
  </si>
  <si>
    <t>ML 8 Auto Tension</t>
  </si>
  <si>
    <t>ML 8 Auto Src</t>
  </si>
  <si>
    <t>ML 9 Auto Tension</t>
  </si>
  <si>
    <t>ML 9 Auto Src</t>
  </si>
  <si>
    <t>ML 10 Auto Tension</t>
  </si>
  <si>
    <t>ML 10 Auto Src</t>
  </si>
  <si>
    <t>ML 11 Auto Tension</t>
  </si>
  <si>
    <t>ML 11 Auto Src</t>
  </si>
  <si>
    <t>ML 12 Auto Tension</t>
  </si>
  <si>
    <t>ML 12 Auto Src</t>
  </si>
  <si>
    <t>ML 13 Auto Tension</t>
  </si>
  <si>
    <t>ML 13 Auto Src</t>
  </si>
  <si>
    <t>ML 14 Auto Tension</t>
  </si>
  <si>
    <t>ML 14 Auto Src</t>
  </si>
  <si>
    <t>ML 15 Auto Tension</t>
  </si>
  <si>
    <t>ML 15 Auto Src</t>
  </si>
  <si>
    <t>ML 16 Auto Tension</t>
  </si>
  <si>
    <t>ML 16 Auto Src</t>
  </si>
  <si>
    <t>ML 1 Auto Tension AVG</t>
  </si>
  <si>
    <t>ML 2 Auto Tension AVG</t>
  </si>
  <si>
    <t>ML 3 Auto Tension AVG</t>
  </si>
  <si>
    <t>ML 4 Auto Tension AVG</t>
  </si>
  <si>
    <t>ML 5 Auto Tension AVG</t>
  </si>
  <si>
    <t>ML 6 Auto Tension AVG</t>
  </si>
  <si>
    <t>ML 7 Auto Tension AVG</t>
  </si>
  <si>
    <t>ML 8 Auto Tension AVG</t>
  </si>
  <si>
    <t>ML 9 Auto Tension AVG</t>
  </si>
  <si>
    <t>ML 10 Auto Tension AVG</t>
  </si>
  <si>
    <t>ML 11 Auto Tension AVG</t>
  </si>
  <si>
    <t>ML 12 Auto Tension AVG</t>
  </si>
  <si>
    <t>ML 13 Auto Tension AVG</t>
  </si>
  <si>
    <t>ML 14 Auto Tension AVG</t>
  </si>
  <si>
    <t>ML 15 Auto Tension AVG</t>
  </si>
  <si>
    <t>ML 16 Auto Tension AVG</t>
  </si>
  <si>
    <t>Advisory Wind Src</t>
  </si>
  <si>
    <t>Advisory Wind Dir AVG</t>
  </si>
  <si>
    <t>Advisory Wind Dir Age</t>
  </si>
  <si>
    <t>Statistic Complete</t>
  </si>
  <si>
    <t>Statistic Start Time</t>
  </si>
  <si>
    <t>Statistic End Time</t>
  </si>
  <si>
    <t>AWS 10min Wind Spd Gust</t>
  </si>
  <si>
    <t>AWS 1hr Wind Spd Gust</t>
  </si>
  <si>
    <t>Lidar 2min Wind Spd Gust</t>
  </si>
  <si>
    <t>Lidar 10min Wind Spd Gust</t>
  </si>
  <si>
    <t>Lidar 1hr Wind Spd Gust</t>
  </si>
  <si>
    <t>MAS North Draft</t>
  </si>
  <si>
    <t>MAS East Draft</t>
  </si>
  <si>
    <t>MAS South Draft</t>
  </si>
  <si>
    <t>MAS West Draft</t>
  </si>
  <si>
    <t>MAS List from Airgaps</t>
  </si>
  <si>
    <t>MAS Trim Fr Airgaps</t>
  </si>
  <si>
    <t>MAS Best Wind Spd</t>
  </si>
  <si>
    <t>MAS Best Wind Dir</t>
  </si>
  <si>
    <t>MAS CL Draft Fr Airgaps</t>
  </si>
  <si>
    <t>MAS Platform PQ Northings</t>
  </si>
  <si>
    <t>MAS Platform PQ Eastings</t>
  </si>
  <si>
    <t>MAS Platform Heading</t>
  </si>
  <si>
    <t>MAS Sig Wave Height</t>
  </si>
  <si>
    <t>MAS Wave Period</t>
  </si>
  <si>
    <t>MAS Wave Dir</t>
  </si>
  <si>
    <t>MAS VADCP Max Current Spd</t>
  </si>
  <si>
    <t>MAS VADCP Max Current Dir</t>
  </si>
  <si>
    <t>MAS HADCP Surface Curr Spd</t>
  </si>
  <si>
    <t>MAS HADCP Surface Curr Dir</t>
  </si>
  <si>
    <t>MAS Surface Current Spd</t>
  </si>
  <si>
    <t>MAS Surface Current Dir</t>
  </si>
  <si>
    <t>MAS NPW-BN Level</t>
  </si>
  <si>
    <t>MAS NPW-BS Level</t>
  </si>
  <si>
    <t>MAS NPE-BN Level</t>
  </si>
  <si>
    <t>MAS NPE-BS Level</t>
  </si>
  <si>
    <t>MAS EPN-BW Level</t>
  </si>
  <si>
    <t>MAS EPN-BE Level</t>
  </si>
  <si>
    <t>MAS EPS-BW Level</t>
  </si>
  <si>
    <t>MAS EPS-BE Level</t>
  </si>
  <si>
    <t>MAS NW0-B Level</t>
  </si>
  <si>
    <t>MAS NE0-B Level</t>
  </si>
  <si>
    <t>MAS SPE-BN Level</t>
  </si>
  <si>
    <t>MAS SPE-BS Level</t>
  </si>
  <si>
    <t>MAS SPW-BN Level</t>
  </si>
  <si>
    <t>MAS SPW-BS Level</t>
  </si>
  <si>
    <t>MAS WPS-BW Level</t>
  </si>
  <si>
    <t>MAS WPS-BE Level</t>
  </si>
  <si>
    <t>MAS WPN-BW Level</t>
  </si>
  <si>
    <t>MAS WPN-BE Level</t>
  </si>
  <si>
    <t>MAS SW0-B Level</t>
  </si>
  <si>
    <t>MAS SE0-B Level</t>
  </si>
  <si>
    <t>MAS Diesel Tank Level</t>
  </si>
  <si>
    <t>MAS Methanol Tank Level</t>
  </si>
  <si>
    <t>MAS Potable Water Tank Lev</t>
  </si>
  <si>
    <t>MAS NW1-VNW Void</t>
  </si>
  <si>
    <t>MAS NW1-VE Void</t>
  </si>
  <si>
    <t>MAS NW1-VS Void</t>
  </si>
  <si>
    <t>MAS NE1-VNE Void</t>
  </si>
  <si>
    <t>MAS NE1-VW Void</t>
  </si>
  <si>
    <t>MAS NE1-VS Void</t>
  </si>
  <si>
    <t>MAS SE1-VN Void</t>
  </si>
  <si>
    <t>MAS SE1-VE Void</t>
  </si>
  <si>
    <t>MAS SE1-VS Void</t>
  </si>
  <si>
    <t>MAS SE1-VW Void</t>
  </si>
  <si>
    <t>MAS SW1-VN Void</t>
  </si>
  <si>
    <t>MAS SW1-VE Void</t>
  </si>
  <si>
    <t>MAS SW1-VS Void</t>
  </si>
  <si>
    <t>MAS SW1-VW Void</t>
  </si>
  <si>
    <t>MAS NW2-VNW Void</t>
  </si>
  <si>
    <t>MAS NW2-VE Void</t>
  </si>
  <si>
    <t>MAS NW2-VS Void</t>
  </si>
  <si>
    <t>MAS NE2-VNE Void</t>
  </si>
  <si>
    <t>MAS NE2-VW Void</t>
  </si>
  <si>
    <t>MAS NE2-VS Void</t>
  </si>
  <si>
    <t>MAS SE2-VN Void</t>
  </si>
  <si>
    <t>MAS SE2-VE Void</t>
  </si>
  <si>
    <t>MAS SE2-VS Void</t>
  </si>
  <si>
    <t>MAS SE2-VW Void</t>
  </si>
  <si>
    <t>MAS SW2-VN Void</t>
  </si>
  <si>
    <t>MAS SW2-VE Void</t>
  </si>
  <si>
    <t>MAS SW2-VS Void</t>
  </si>
  <si>
    <t>MAS SW2-VW Void</t>
  </si>
  <si>
    <t>MAS NW3-V Void</t>
  </si>
  <si>
    <t>MAS NE3-V Void</t>
  </si>
  <si>
    <t>MAS SE3-V Void</t>
  </si>
  <si>
    <t>MAS SW3-V Void</t>
  </si>
  <si>
    <t>MAS NWA-VC Void</t>
  </si>
  <si>
    <t>MAS NEA-VC Void</t>
  </si>
  <si>
    <t>MAS SEA-VC Void</t>
  </si>
  <si>
    <t>MAS SWA-VC Void</t>
  </si>
  <si>
    <t>MAS ML 1 Tension</t>
  </si>
  <si>
    <t>MAS ML 1 Payout</t>
  </si>
  <si>
    <t>MAS ML 1 Angle</t>
  </si>
  <si>
    <t>MAS ML 2 Tension</t>
  </si>
  <si>
    <t>MAS ML 2 Payout</t>
  </si>
  <si>
    <t>MAS ML 2 Angle</t>
  </si>
  <si>
    <t>MAS ML 3 Tension</t>
  </si>
  <si>
    <t>MAS ML 3 Payout</t>
  </si>
  <si>
    <t>MAS ML 3 Angle</t>
  </si>
  <si>
    <t>MAS ML 4 Tension</t>
  </si>
  <si>
    <t>MAS ML 4 Payout</t>
  </si>
  <si>
    <t>MAS ML 4 Angle</t>
  </si>
  <si>
    <t>MAS ML 5 Tension</t>
  </si>
  <si>
    <t>MAS ML 5 Payout</t>
  </si>
  <si>
    <t>MAS ML 5 Angle</t>
  </si>
  <si>
    <t>MAS ML 6 Tension</t>
  </si>
  <si>
    <t>MAS ML 6 Payout</t>
  </si>
  <si>
    <t>MAS ML 6 Angle</t>
  </si>
  <si>
    <t>MAS ML 7 Tension</t>
  </si>
  <si>
    <t>MAS ML 7 Payout</t>
  </si>
  <si>
    <t>MAS ML 7 Angle</t>
  </si>
  <si>
    <t>MAS ML 8 Tension</t>
  </si>
  <si>
    <t>MAS ML 8 Payout</t>
  </si>
  <si>
    <t>MAS ML 8 Angle</t>
  </si>
  <si>
    <t>MAS ML 9 Tension</t>
  </si>
  <si>
    <t>MAS ML 9 Payout</t>
  </si>
  <si>
    <t>MAS ML 9 Angle</t>
  </si>
  <si>
    <t>MAS ML 10 Tension</t>
  </si>
  <si>
    <t>MAS ML 10 Payout</t>
  </si>
  <si>
    <t>MAS ML 10 Angle</t>
  </si>
  <si>
    <t>MAS ML 11 Tension</t>
  </si>
  <si>
    <t>MAS ML 11 Payout</t>
  </si>
  <si>
    <t>MAS ML 11 Angle</t>
  </si>
  <si>
    <t>MAS ML 12 Tension</t>
  </si>
  <si>
    <t>MAS ML 12 Payout</t>
  </si>
  <si>
    <t>MAS ML 12 Angle</t>
  </si>
  <si>
    <t>MAS ML 13 Tension</t>
  </si>
  <si>
    <t>MAS ML 13 Payout</t>
  </si>
  <si>
    <t>MAS ML 13 Angle</t>
  </si>
  <si>
    <t>MAS ML 14 Tension</t>
  </si>
  <si>
    <t>MAS ML 14 Payout</t>
  </si>
  <si>
    <t>MAS ML 14 Angle</t>
  </si>
  <si>
    <t>MAS ML 15 Tension</t>
  </si>
  <si>
    <t>MAS ML 15 Payout</t>
  </si>
  <si>
    <t>MAS ML 15 Angle</t>
  </si>
  <si>
    <t>MAS ML 16 Tension</t>
  </si>
  <si>
    <t>MAS ML 16 Payout</t>
  </si>
  <si>
    <t>MAS ML 16 Angle</t>
  </si>
  <si>
    <t>MAS LT0350A1</t>
  </si>
  <si>
    <t>MAS ILT0455A1</t>
  </si>
  <si>
    <t>MAS LT0455B1</t>
  </si>
  <si>
    <t>MAS LT0390A1</t>
  </si>
  <si>
    <t>MAS LT0610A1</t>
  </si>
  <si>
    <t>MAS LT0651A1</t>
  </si>
  <si>
    <t>MAS LT2700A1</t>
  </si>
  <si>
    <t>MAS LT0420A1</t>
  </si>
  <si>
    <t>MAS LT0420B1</t>
  </si>
  <si>
    <t>MAS LT0310A1</t>
  </si>
  <si>
    <t>MAS LT0160A1</t>
  </si>
  <si>
    <t>MAS LT0320A1</t>
  </si>
  <si>
    <t>MAS LT0300A1</t>
  </si>
  <si>
    <t>MAS LT2120A1</t>
  </si>
  <si>
    <t>MAS LT0150A1</t>
  </si>
  <si>
    <t>MAS ILT0150B1</t>
  </si>
  <si>
    <t>MAS LT4015A1</t>
  </si>
  <si>
    <t>MAS LT4035A1</t>
  </si>
  <si>
    <t>MAS LT4055A1</t>
  </si>
  <si>
    <t>MAS ILT0100B1</t>
  </si>
  <si>
    <t>MAS LT0100B1</t>
  </si>
  <si>
    <t>MAS ILT0490A1</t>
  </si>
  <si>
    <t>MAS LT1800A1</t>
  </si>
  <si>
    <t>MAS LT1805A1</t>
  </si>
  <si>
    <t>MAS LT1810A1</t>
  </si>
  <si>
    <t>MAS LT1820A1</t>
  </si>
  <si>
    <t>MAS LT1825A1</t>
  </si>
  <si>
    <t>MAS LT1900A1</t>
  </si>
  <si>
    <t>MAS LT1905A1</t>
  </si>
  <si>
    <t>MAS LT2211A1</t>
  </si>
  <si>
    <t>MAS LT2212A1</t>
  </si>
  <si>
    <t>MAS LT2213A1</t>
  </si>
  <si>
    <t>MAS LT2214A1</t>
  </si>
  <si>
    <t>MAS LT2650A1</t>
  </si>
  <si>
    <t>MAS LT2670A1</t>
  </si>
  <si>
    <t>MAS LT2701A1</t>
  </si>
  <si>
    <t>MAS LT2706A1</t>
  </si>
  <si>
    <t>MAS LT2746A1</t>
  </si>
  <si>
    <t>MAS LT2796A1</t>
  </si>
  <si>
    <t>MAS LT2801A1</t>
  </si>
  <si>
    <t>MAS LT2804A1</t>
  </si>
  <si>
    <t>MAS LT2807A1</t>
  </si>
  <si>
    <t>MAS LT2810A1</t>
  </si>
  <si>
    <t>MAS LT2820A1</t>
  </si>
  <si>
    <t>MAS LT2881A1</t>
  </si>
  <si>
    <t>MAS LT2885A1</t>
  </si>
  <si>
    <t>MAS LT5120A1</t>
  </si>
  <si>
    <t>MAS LT5220A1</t>
  </si>
  <si>
    <t>MAS LT5320A1</t>
  </si>
  <si>
    <t>MAS LT5420A1</t>
  </si>
  <si>
    <t>Discrepancy Wt</t>
  </si>
  <si>
    <t>Apparent Wt</t>
  </si>
  <si>
    <t>Displacement</t>
  </si>
  <si>
    <t>FSt</t>
  </si>
  <si>
    <t>FSl</t>
  </si>
  <si>
    <t>Lightship Changes Wt</t>
  </si>
  <si>
    <t>Ballast Tks GP Ttl Wt</t>
  </si>
  <si>
    <t>Ballast Tks GP Ttl FSt</t>
  </si>
  <si>
    <t>Ballast Tks GP Ttl FSl</t>
  </si>
  <si>
    <t>Void Tks GP Total Wt</t>
  </si>
  <si>
    <t>Void Tks GP Total FSt</t>
  </si>
  <si>
    <t>Void Tks GP Total FSl</t>
  </si>
  <si>
    <t>Hull Sto Tks GP Ttl</t>
  </si>
  <si>
    <t>Hull Sto Tks GP Ttl FSt</t>
  </si>
  <si>
    <t>Hull Sto Tks GP Ttl FSl</t>
  </si>
  <si>
    <t>Topside Tks GP Total Wt</t>
  </si>
  <si>
    <t>Live Loads GP Total Wt</t>
  </si>
  <si>
    <t>Riser Brdge GP Total Wt</t>
  </si>
  <si>
    <t>Chains GP Total Wt</t>
  </si>
  <si>
    <t>Deck Survey GP Total Wt</t>
  </si>
  <si>
    <t>Umbilicals GP Total Wt</t>
  </si>
  <si>
    <t>Stingers GP Total Wt</t>
  </si>
  <si>
    <t>Risers GP Total Wt</t>
  </si>
  <si>
    <t>ML GP Total Wt</t>
  </si>
  <si>
    <t>Misc Wts GP Total Wt</t>
  </si>
  <si>
    <t>Spaces GP Total Wt</t>
  </si>
  <si>
    <t>ft/s^2</t>
  </si>
  <si>
    <t>DecMin2</t>
  </si>
  <si>
    <t>mm*10</t>
  </si>
  <si>
    <t>ft</t>
  </si>
  <si>
    <t>in/hr</t>
  </si>
  <si>
    <t>degF</t>
  </si>
  <si>
    <t>mbar</t>
  </si>
  <si>
    <t>%</t>
  </si>
  <si>
    <t>in</t>
  </si>
  <si>
    <t>inH2O</t>
  </si>
  <si>
    <t>kips</t>
  </si>
  <si>
    <t>ft-kips</t>
  </si>
  <si>
    <t>ADACS</t>
  </si>
  <si>
    <t>???</t>
  </si>
  <si>
    <t>bits</t>
  </si>
  <si>
    <t>Volts</t>
  </si>
  <si>
    <t>index</t>
  </si>
  <si>
    <t>ft/s</t>
  </si>
  <si>
    <t>hPa</t>
  </si>
  <si>
    <t>miles</t>
  </si>
  <si>
    <t>Date</t>
  </si>
  <si>
    <t>SW 6DoF</t>
  </si>
  <si>
    <t>HELI 6DoF</t>
  </si>
  <si>
    <t>Hem GPS</t>
  </si>
  <si>
    <t>Fugro GPS</t>
  </si>
  <si>
    <t>Airgap</t>
  </si>
  <si>
    <t>AWS</t>
  </si>
  <si>
    <t>DCS</t>
  </si>
  <si>
    <t>VADCP</t>
  </si>
  <si>
    <t>HADCP</t>
  </si>
  <si>
    <t>MAS</t>
  </si>
  <si>
    <t>MAS-ML</t>
  </si>
  <si>
    <t>ML</t>
  </si>
  <si>
    <t>PDU</t>
  </si>
  <si>
    <t>MET</t>
  </si>
  <si>
    <t>Derived SW 6DoF</t>
  </si>
  <si>
    <t>Derived HELI 6DoF</t>
  </si>
  <si>
    <t>Derived Hem GPS</t>
  </si>
  <si>
    <t>Derived Fugro GPS</t>
  </si>
  <si>
    <t>Derived Position</t>
  </si>
  <si>
    <t>Derived Airgap</t>
  </si>
  <si>
    <t>Derived Tide</t>
  </si>
  <si>
    <t>Derived Env</t>
  </si>
  <si>
    <t>Derived Wind</t>
  </si>
  <si>
    <t>Derived ML</t>
  </si>
  <si>
    <t>Derived Advisory</t>
  </si>
  <si>
    <t>Derived MAS</t>
  </si>
  <si>
    <t>Derived Weight</t>
  </si>
  <si>
    <t>Derived</t>
  </si>
  <si>
    <t>Coordinate System</t>
  </si>
  <si>
    <t>Measured surface current speed.</t>
  </si>
  <si>
    <t>Derived vertical offset at the device location, along the local body vertical (z) axis. +ve Heave is upwards.</t>
  </si>
  <si>
    <t>Horizontal dilution of precision</t>
  </si>
  <si>
    <t>Quality of the GPS data - 0 no fix ; 1 GPS only ; 2 Differential GPS</t>
  </si>
  <si>
    <t>Measured dew point at sensor location.</t>
  </si>
  <si>
    <t>Measured horizontal component of wind speed at Lidar configured height 1.</t>
  </si>
  <si>
    <t>Measured Lidar vertical component of wind speed at Lidar configured height 1.</t>
  </si>
  <si>
    <t>Lidar configured height 1.</t>
  </si>
  <si>
    <t>Measured horizontal component of wind speed at Lidar configured height 2.</t>
  </si>
  <si>
    <t>Measured Lidar vertical component of wind speed at Lidar configured height 2.</t>
  </si>
  <si>
    <t>Lidar configured height 2.</t>
  </si>
  <si>
    <t>Measured horizontal component of wind speed at Lidar configured height 3.</t>
  </si>
  <si>
    <t>Measured Lidar vertical component of wind speed at Lidar configured height 3.</t>
  </si>
  <si>
    <t>Lidar configured height 3.</t>
  </si>
  <si>
    <t>Measured horizontal component of wind speed at Lidar configured height 4.</t>
  </si>
  <si>
    <t>Measured Lidar vertical component of wind speed at Lidar configured height 4.</t>
  </si>
  <si>
    <t>Lidar configured height 4.</t>
  </si>
  <si>
    <t>Measured horizontal component of wind speed at Lidar configured height 5.</t>
  </si>
  <si>
    <t>Measured Lidar vertical component of wind speed at Lidar configured height 5.</t>
  </si>
  <si>
    <t>Lidar configured height 5.</t>
  </si>
  <si>
    <t>Measured horizontal component of wind speed at Lidar configured height 6.</t>
  </si>
  <si>
    <t>Measured Lidar vertical component of wind speed at Lidar configured height 6.</t>
  </si>
  <si>
    <t>Lidar configured height 6.</t>
  </si>
  <si>
    <t>Measured horizontal component of wind speed at Lidar configured height 7.</t>
  </si>
  <si>
    <t>Measured Lidar vertical component of wind speed at Lidar configured height 7.</t>
  </si>
  <si>
    <t>Lidar configured height 7.</t>
  </si>
  <si>
    <t>Measured horizontal component of wind speed at Lidar configured height 8.</t>
  </si>
  <si>
    <t>Measured Lidar vertical component of wind speed at Lidar configured height 8.</t>
  </si>
  <si>
    <t>Lidar configured height 8.</t>
  </si>
  <si>
    <t>Measured horizontal component of wind speed at Lidar configured height 9.</t>
  </si>
  <si>
    <t>Measured Lidar vertical component of wind speed at Lidar configured height 9.</t>
  </si>
  <si>
    <t>Lidar configured height 9.</t>
  </si>
  <si>
    <t>Measured horizontal component of wind speed at Lidar configured height 10.</t>
  </si>
  <si>
    <t>Measured Lidar vertical component of wind speed at Lidar configured height 10.</t>
  </si>
  <si>
    <t>Lidar configured height 10.</t>
  </si>
  <si>
    <t>Measured horizontal component of wind speed at Lidar configured height 11.</t>
  </si>
  <si>
    <t>Measured Lidar vertical component of wind speed at Lidar configured height 11.</t>
  </si>
  <si>
    <t>Lidar configured height 11.</t>
  </si>
  <si>
    <t>Derived heave velocity of the vessel origin, +ve heave is along vertical (z) axis.</t>
  </si>
  <si>
    <t>Use Earth Coordinate System:
 +X = Earth Easting, +Y =  Earth Northing, +Z = Up;
Origin at reference Lat, Lon point.</t>
  </si>
  <si>
    <t>Best of Hem and Fugro PQ Lat channels.</t>
  </si>
  <si>
    <t>Hem GPS latitude position in deg decimal.</t>
  </si>
  <si>
    <t>Hem GPS longitude position in deg decimal.</t>
  </si>
  <si>
    <t>Hem altitude reading at GPS height.</t>
  </si>
  <si>
    <t>Hem Northings measured from local GPS position.</t>
  </si>
  <si>
    <t>Hem Eastings measured from local GPS position.</t>
  </si>
  <si>
    <t>Hem Northings measured from platform reference position.</t>
  </si>
  <si>
    <t>Hem Eastings measured from platform reference position.</t>
  </si>
  <si>
    <t>Direction from true north to Hem offset position.</t>
  </si>
  <si>
    <t>Distance of Hem offset from the platform reference position.</t>
  </si>
  <si>
    <t>GPS Quality - 0 no fix ; 1 GPS only ; 2 Differential GPS.</t>
  </si>
  <si>
    <t>Fugro GPS latitude position in deg decimal.</t>
  </si>
  <si>
    <t>Fugro GPS longitude position in deg decimal.</t>
  </si>
  <si>
    <t>Fugro altitude reading at GPS height.</t>
  </si>
  <si>
    <t>Fugro Northings measured from local GPS position.</t>
  </si>
  <si>
    <t>Fugro Eastings measured from local GPS position.</t>
  </si>
  <si>
    <t>Fugro Northings measured from platform reference position.</t>
  </si>
  <si>
    <t>Fugro Eastings measured from platform reference position.</t>
  </si>
  <si>
    <t>Distance of Fugro offset from the platform reference position.</t>
  </si>
  <si>
    <t>Direction from true north to Fugro offset position.</t>
  </si>
  <si>
    <t>Best of Hem and Fugro PQ Lon channels.</t>
  </si>
  <si>
    <t>Best of Hem and Fugro PQ Altitude channels.</t>
  </si>
  <si>
    <t>Best of Hem and Fugro PQ Northings channels.</t>
  </si>
  <si>
    <t>Best of Hem and Fugro PQ Eastings channels.</t>
  </si>
  <si>
    <t>Best of Hem and Fugro PQ Offset channels.</t>
  </si>
  <si>
    <t>Best of Hem and Fugro PQ Offset Dir channels.</t>
  </si>
  <si>
    <t>Best of Hem and Fugro PQ Northings AVG channels.</t>
  </si>
  <si>
    <t>Best of Hem and Fugro PQ Eastings AVG channels.</t>
  </si>
  <si>
    <t>Best of Hem and Fugro GPS Quality channels.</t>
  </si>
  <si>
    <t>Best of Hem and Fugro GPS No of Sats channels.</t>
  </si>
  <si>
    <t>Best of Hem and Fugro GPS HDOP channels.</t>
  </si>
  <si>
    <t>Best of Hem and Fugro GPS Age of Cor channels.</t>
  </si>
  <si>
    <t>Best of Hem and Fugro bearing from platform reference position.</t>
  </si>
  <si>
    <t>Best of Hem and Fugro PQ Offset channels. (WCC: Watch-circle shown on WinMon display)</t>
  </si>
  <si>
    <t>Draft at the 0,0 position of the platform.</t>
  </si>
  <si>
    <t>Draft at the X,Y position of the North Airgap sensor.</t>
  </si>
  <si>
    <t>Draft at the X,Y position of the East Airgap sensor.</t>
  </si>
  <si>
    <t>Draft at the X,Y position of the South Airgap sensor.</t>
  </si>
  <si>
    <t>Draft at the X,Y position of the West Airgap sensor.</t>
  </si>
  <si>
    <t>Best significant wave height from 4 airgaps.</t>
  </si>
  <si>
    <t>Best mean zero-upcrossing wave period from 4 airgaps.</t>
  </si>
  <si>
    <t>Derived tide from given constituent parameters.</t>
  </si>
  <si>
    <t>AWS wind speed at the sensor location.</t>
  </si>
  <si>
    <t>AWS wind direction from true north at the sensor location.</t>
  </si>
  <si>
    <t>Lidar wind speed at the sensor location.</t>
  </si>
  <si>
    <t>Lidar wind direction from true north at the sensor location.</t>
  </si>
  <si>
    <t>AWS running average of 20 minutes air temperature at sensor location.</t>
  </si>
  <si>
    <t>AWS running average of 20 minutes dew point at sensor location.</t>
  </si>
  <si>
    <t>AWS running average of 20 minutes barometric pressure.</t>
  </si>
  <si>
    <t>AWS running average of 20 minutes relative humidity at sensor location.</t>
  </si>
  <si>
    <t>AWS running average of 20 minutes rain precipitation.</t>
  </si>
  <si>
    <t>AWS running average of 20 minutes visibility.</t>
  </si>
  <si>
    <t>Use Platform Coordinate System:
 +X = PE/Bow, +Y = PN/Port, +Z = Up;
Origin at vessel origin.</t>
  </si>
  <si>
    <t>Measured visibility.</t>
  </si>
  <si>
    <t>Measured sky condition on the 1st cloud layer (the coded results include Clear, Scattered, Obscured, etc.)</t>
  </si>
  <si>
    <t>https://www.allweatherinc.com/wp-content/uploads/3000-0011.pdf</t>
  </si>
  <si>
    <t>Measured sky condition on the 2nd cloud layer (the coded results include Clear, Scattered, Obscured, etc.)</t>
  </si>
  <si>
    <t>Measured sky condition on the 3rd cloud layer (the coded results include Clear, Scattered, Obscured, etc.)</t>
  </si>
  <si>
    <t>Measured cloud height on the 1st cloud layer</t>
  </si>
  <si>
    <t>Measured cloud height on the 2nd cloud layer</t>
  </si>
  <si>
    <t>Measured cloud height on the 3rd cloud layer</t>
  </si>
  <si>
    <t>Measured altitude in the standard atmosphere where air density is equivalent to that of the airport.</t>
  </si>
  <si>
    <t>Measured the amount of precipitation measured during the past hour, counting from the beginning of the hour.</t>
  </si>
  <si>
    <t>Derived from data for several parameters, including air temperature, dew point, temperature, visibility, lightning (when available), and precipitation type and rate data from the present weather sensor, the result is in code including 3 parts: intensity, descriptor, phenomena.</t>
  </si>
  <si>
    <t>Measured barometric pressure.</t>
  </si>
  <si>
    <t>Derived from barometric pressure, is an aeronautical code Q code,
indicating the atmospheric pressure adjusted to mean sea level.</t>
  </si>
  <si>
    <t>Derived wind gust speed computed during the previous 2 minutes.</t>
  </si>
  <si>
    <t>https://s.campbellsci.com/documents/marcom/manuals/awos-om-albian.pdf</t>
  </si>
  <si>
    <t>AWS running average of 20 minutes cloud height on the 1st cloud layer</t>
  </si>
  <si>
    <t>AWS running average of 20 minutes cloud height on the 2nd cloud layer</t>
  </si>
  <si>
    <t>AWS running average of 20 minutes cloud height on the 3rd cloud layer</t>
  </si>
  <si>
    <t>Derived AWS wind gust speed computed during the previous 10 minutes at the sensor location.</t>
  </si>
  <si>
    <t>Derived AWS wind gust speed computed during the previous 1 hour at the sensor location.</t>
  </si>
  <si>
    <t>Derived Lidar wind gust speed computed during the previous 10 minutes at the sensor location.</t>
  </si>
  <si>
    <t>Derived Lidar wind gust speed computed during the previous 2 minutes at the sensor location.</t>
  </si>
  <si>
    <t>Derived Lidar wind gust speed computed during the previous 1 hour at the sensor location.</t>
  </si>
  <si>
    <t>Maximum magnitude of pitch or roll away from horizontal as measured by the Met station.</t>
  </si>
  <si>
    <t>Bearing of Met station with respect to True North, measured by the Met station. I.e. 5 degrees would be 5 degrees East of True North.</t>
  </si>
  <si>
    <t>Ambient temperature measured by the Met station.</t>
  </si>
  <si>
    <t>Ambient pressure measured by the Met station.</t>
  </si>
  <si>
    <t>Flag indicating if the rain sensor detected rain (0 – Off, 1 – On).</t>
  </si>
  <si>
    <t>Each un-averaged (1sec or 3sec) record has an associated reference. The reference starts at zero and increments with each record. If the ZephIR’s internal storage is cleared, the reference resets to zero.</t>
  </si>
  <si>
    <t>General information relating to the operational mode of the ZephIR.</t>
  </si>
  <si>
    <t>Internal ZephIR status, relating to the operational state of the ZephIR. For Z150/175: Red/Amber/Green.</t>
  </si>
  <si>
    <t>Internal battery voltage.</t>
  </si>
  <si>
    <t>External supply voltage, if present.</t>
  </si>
  <si>
    <t>Internal pod temperature as measured by internal sensor located near the window.</t>
  </si>
  <si>
    <t>Internal pod temperature as measured by internal sensor located near the external heat sink.</t>
  </si>
  <si>
    <t>C:\Users\dan.wang\BMT Group Limited\CI-AM - Offshore Facilities Hub - Documents\_Facilities\3398 Appomattox\3398-1601C Shell Appomattox IMMS\05. Purchasing\Vendor Data\Lidar wind Sensor\ZephIR Installer\Manuals\ZephIR_CSV_Files.pdf</t>
  </si>
  <si>
    <t>Reference</t>
  </si>
  <si>
    <t>C:\Users\dan.wang\BMT Group Limited\CI-AM - Offshore Facilities Hub - Documents\_Facilities\3398 Appomattox\3398-1601C Shell Appomattox IMMS\05. Purchasing\Vendor Data\Miros\Manuals\DF-WM-UK_001_DD_01 Definition of wave parameters from wave spectrum.pdf</t>
  </si>
  <si>
    <t>C:\Users\dan.wang\BMT Group Limited\CI-AM - Offshore Facilities Hub - Documents\_Facilities\3398 Appomattox\3398-1601C Shell Appomattox IMMS\05. Purchasing\Vendor Data\Miros\Manuals\PR-001_TH_002_01_SystemHandbook.pdf</t>
  </si>
  <si>
    <t>C:\Users\dan.wang\BMT Group Limited\CI-AM - Offshore Facilities Hub - Documents\_Facilities\3398 Appomattox\3398-1601C Shell Appomattox IMMS\02. Design &amp; Engineering\_Drawings from Client\Ballast &amp; Voids\Ballast &amp; Voids.pdf</t>
  </si>
  <si>
    <t>Measured RRW pressure tension from Mooring Line system.</t>
  </si>
  <si>
    <t>Measured RRW CS tension from Mooring Line system.</t>
  </si>
  <si>
    <t>Measured EFCS tension from Mooring Line system.</t>
  </si>
  <si>
    <t>Measured out length from Mooring Line system.</t>
  </si>
  <si>
    <t>Measured in length from Mooring Line system.</t>
  </si>
  <si>
    <t>C:\Users\dan.wang\BMT Group Limited\CI-AM - Offshore Facilities Hub - Documents\_Facilities\3398 Appomattox\_Drawings\MIS\Appomattox MIS Software Upgrade _ Design Report 21FEB2018.pdf</t>
  </si>
  <si>
    <t>Mooring line tension source: 0 – from EFCS, 1 – from CS, 2 – from Px, 3 – from position, 4 – from angle.</t>
  </si>
  <si>
    <t>Auto mooring line tension.</t>
  </si>
  <si>
    <t>C:\Users\dan.wang\BMT Group Limited\CI-AM - Offshore Facilities Hub - Documents\_Facilities\3398 Appomattox\3398-1601C Shell Appomattox IMMS\02. Design &amp; Engineering\PSSS-002 HEABSLMP\LMP Mooring Intergrity Management 20170627.docx</t>
  </si>
  <si>
    <t>Output draft from the “Equilibrium Calculation Subroutine” from LMP.</t>
  </si>
  <si>
    <t>Output heel from the “Equilibrium Calculation Subroutine” from LMP.</t>
  </si>
  <si>
    <t>Output trim from the “Equilibrium Calculation Subroutine” from LMP.</t>
  </si>
  <si>
    <t>Output pq northing from the “Equilibrium Calculation Subroutine” from LMP.</t>
  </si>
  <si>
    <t xml:space="preserve">Output lateral phantorm force from the “Equilibrium Calculation Subroutine” from LMP. </t>
  </si>
  <si>
    <t xml:space="preserve">Output lateral phantorm force direction from the “Equilibrium Calculation Subroutine” from LMP. </t>
  </si>
  <si>
    <t xml:space="preserve">Output lateral phantorm force moment in NS direction from the “Equilibrium Calculation Subroutine” from LMP. </t>
  </si>
  <si>
    <t xml:space="preserve">Output lateral phantorm force moment in EW direction from the “Equilibrium Calculation Subroutine” from LMP. </t>
  </si>
  <si>
    <t xml:space="preserve">Output 20 minute average phantom weight CG in NS direction from the “Equilibrium Calculation Subroutine” from LMP. </t>
  </si>
  <si>
    <t xml:space="preserve">Output 20 minute average phantom weight CG in EW direction from the “Equilibrium Calculation Subroutine” from LMP. </t>
  </si>
  <si>
    <t xml:space="preserve">Output 20 minute average phantom weight from the “Equilibrium Calculation Subroutine” from LMP. </t>
  </si>
  <si>
    <t>20 minutes running average of Hem PQ Northings.</t>
  </si>
  <si>
    <t>20 minutes running average of Hem PQ Eastings.</t>
  </si>
  <si>
    <t>20 minutes running average of Fugro PQ Northings.</t>
  </si>
  <si>
    <t>20 minutes running average of Fugro PQ Eastings.</t>
  </si>
  <si>
    <t>Whether this GPS is active or not (0 or 1).</t>
  </si>
  <si>
    <t>Difference between the Apparent Weight, and the sum of the weights, computed by LMP MAS software.</t>
  </si>
  <si>
    <t>Phantom weight CG in EW direction, computed by LMP MAS software.</t>
  </si>
  <si>
    <t>Phantom weight CG in NS direction, computed by LMP MAS software.</t>
  </si>
  <si>
    <t>Difference between the Max KG and the computed VCG adjusted for free surface, computed by LMP MAS software.</t>
  </si>
  <si>
    <t>C:\Users\dan.wang\BMT Group Limited\CI-AM - Offshore Facilities Hub - Documents\_Facilities\3398 Appomattox\3398-1601C Shell Appomattox IMMS\02. Design &amp; Engineering\PSSS-002 HEABSLMP\LMP.PDF</t>
  </si>
  <si>
    <t>The vertical center of gravity above the baseline, computed from LMP MAS software.</t>
  </si>
  <si>
    <t>The longitudinal center of gravity measured from the currently selected longitudinal reference point, computed from LMP MAS software.</t>
  </si>
  <si>
    <t>Transverse center of gravity measured from centerline, computed from LMP MAS software.</t>
  </si>
  <si>
    <t>High limit of alarm for the weight of the vessel as determined by observations such as draft and inclination.</t>
  </si>
  <si>
    <t>Low limit of alarm for the weight of the vessel as determined by observations such as draft and inclination.</t>
  </si>
  <si>
    <t>High limit of alarm for displacement.</t>
  </si>
  <si>
    <t>Low limit of alarm for displacement.</t>
  </si>
  <si>
    <t>High limit of alarm for discrepancy weight.</t>
  </si>
  <si>
    <t>Low limit of alarm for discrepancy weight.</t>
  </si>
  <si>
    <t>Discrepancy weight CG in EW direction, computed from LMP MAS software.</t>
  </si>
  <si>
    <t>Discrepancy weight CG in NS direction, computed from LMP MAS software.</t>
  </si>
  <si>
    <t>Corrected ML 1 CS tension, formula: ML_1_CS_Tensio - ML_1_Chain_Weight</t>
  </si>
  <si>
    <t>Corrected ML 2 CS tension, formula: ML_2_CS_Tension - ML_2_Chain_Weight</t>
  </si>
  <si>
    <t>Corrected ML 3 CS tension, formula: ML_3_CS_Tension - ML_3_Chain_Weight</t>
  </si>
  <si>
    <t>Corrected ML 4 CS tension, formula: ML_4_CS_Tension - ML_4_Chain_Weight</t>
  </si>
  <si>
    <t>Corrected ML 5 CS tension, formula: ML_5_CS_Tension - ML_5_Chain_Weight</t>
  </si>
  <si>
    <t>Corrected ML 6 CS tension, formula: ML_6_CS_Tension - ML_6_Chain_Weight</t>
  </si>
  <si>
    <t>Corrected ML 7 CS tension, formula: ML_7_CS_Tension - ML_7_Chain_Weight</t>
  </si>
  <si>
    <t>Corrected ML 8 CS tension, formula: ML_8_CS_Tension - ML_8_Chain_Weight</t>
  </si>
  <si>
    <t>Corrected ML 9 CS tension, formula: ML_9_CS_Tension - ML_9_Chain_Weight</t>
  </si>
  <si>
    <t>Corrected ML 10 CS tension, formula: ML_10_CS_Tension - ML_10_Chain_Weight</t>
  </si>
  <si>
    <t>Corrected ML 11 CS tension, formula: ML_11_CS_Tension - ML_11_Chain_Weight</t>
  </si>
  <si>
    <t>Corrected ML 12 CS tension, formula: ML_12_CS_Tension - ML_12_Chain_Weight</t>
  </si>
  <si>
    <t>Corrected ML 13 CS tension, formula: ML_13_CS_Tension - ML_13_Chain_Weight</t>
  </si>
  <si>
    <t>Corrected ML 14 CS tension, formula: ML_14_CS_Tension - ML_14_Chain_Weight</t>
  </si>
  <si>
    <t>Corrected ML 15 CS tension, formula: ML_15_CS_Tension - ML_15_Chain_Weight</t>
  </si>
  <si>
    <t>Corrected ML 16 CS tension, formula: ML_16_CS_Tension - ML_16_Chain_Weight</t>
  </si>
  <si>
    <t>Corrected ML 1 Px tension, formula: ML_1_Px_Tension - ML_1_Chain_Weight</t>
  </si>
  <si>
    <t>Corrected ML 2 Px tension, formula: ML_2_Px_Tension - ML_2_Chain_Weight</t>
  </si>
  <si>
    <t>Corrected ML 3 Px tension, formula: ML_3_Px_Tension - ML_3_Chain_Weight</t>
  </si>
  <si>
    <t>Corrected ML 4 Px tension, formula: ML_4_Px_Tension - ML_4_Chain_Weight</t>
  </si>
  <si>
    <t>Corrected ML 5 Px tension, formula: ML_5_Px_Tension - ML_5_Chain_Weight</t>
  </si>
  <si>
    <t>Corrected ML 6 Px tension, formula: ML_6_Px_Tension - ML_6_Chain_Weight</t>
  </si>
  <si>
    <t>Corrected ML 7 Px tension, formula: ML_7_Px_Tension - ML_7_Chain_Weight</t>
  </si>
  <si>
    <t>Corrected ML 8 Px tension, formula: ML_8_Px_Tension - ML_8_Chain_Weight</t>
  </si>
  <si>
    <t>Corrected ML 9 Px tension, formula: ML_9_Px_Tension - ML_9_Chain_Weight</t>
  </si>
  <si>
    <t>Corrected ML 10 Px tension, formula: ML_10_Px_Tension - ML_10_Chain_Weight</t>
  </si>
  <si>
    <t>Corrected ML 11 Px tension, formula: ML_11_Px_Tension - ML_11_Chain_Weight</t>
  </si>
  <si>
    <t>Corrected ML 12 Px tension, formula: ML_12_Px_Tension - ML_12_Chain_Weight</t>
  </si>
  <si>
    <t>Corrected ML 13 Px tension, formula: ML_13_Px_Tension - ML_13_Chain_Weight</t>
  </si>
  <si>
    <t>Corrected ML 14 Px tension, formula: ML_14_Px_Tension - ML_14_Chain_Weight</t>
  </si>
  <si>
    <t>Corrected ML 15 Px tension, formula: ML_15_Px_Tension - ML_15_Chain_Weight</t>
  </si>
  <si>
    <t>Corrected ML 16 Px tension, formula: ML_16_Px_Tension - ML_16_Chain_Weight</t>
  </si>
  <si>
    <t>20 minutes average of Auto ML1 Tension</t>
  </si>
  <si>
    <t>20 minutes average of ML1 Angle</t>
  </si>
  <si>
    <t>20 minutes average of Auto ML2 Tension</t>
  </si>
  <si>
    <t>20 minutes average of ML2 Angle</t>
  </si>
  <si>
    <t>20 minutes average of ML3 Angle</t>
  </si>
  <si>
    <t>20 minutes average of Auto ML3 Tension</t>
  </si>
  <si>
    <t>20 minutes average of Auto ML4 Tension</t>
  </si>
  <si>
    <t>20 minutes average of Auto ML5 Tension</t>
  </si>
  <si>
    <t>20 minutes average of Auto ML6 Tension</t>
  </si>
  <si>
    <t>20 minutes average of Auto ML7 Tension</t>
  </si>
  <si>
    <t>20 minutes average of Auto ML8 Tension</t>
  </si>
  <si>
    <t>20 minutes average of Auto ML9 Tension</t>
  </si>
  <si>
    <t>20 minutes average of Auto ML10 Tension</t>
  </si>
  <si>
    <t>20 minutes average of Auto ML11 Tension</t>
  </si>
  <si>
    <t>20 minutes average of Auto ML12 Tension</t>
  </si>
  <si>
    <t>20 minutes average of Auto ML13 Tension</t>
  </si>
  <si>
    <t>20 minutes average of Auto ML14 Tension</t>
  </si>
  <si>
    <t>20 minutes average of Auto ML15 Tension</t>
  </si>
  <si>
    <t>20 minutes average of Auto ML16 Tension</t>
  </si>
  <si>
    <t>Measured roll of rotation about the local body longitudinal (x) axis. +ve Roll is Starboard Down.</t>
  </si>
  <si>
    <t>Measured pitch of rotation about the local body transverse (y) axis. +ve Pitch is Bow Down.</t>
  </si>
  <si>
    <t>ML 1 Fr Position</t>
  </si>
  <si>
    <t>ML 2 Fr Position</t>
  </si>
  <si>
    <t>ML 3 Fr Position</t>
  </si>
  <si>
    <t>ML 4 Fr Position</t>
  </si>
  <si>
    <t>ML 5 Fr Position</t>
  </si>
  <si>
    <t>ML 6 Fr Position</t>
  </si>
  <si>
    <t>ML 7 Fr Position</t>
  </si>
  <si>
    <t>ML 8 Fr Position</t>
  </si>
  <si>
    <t>ML 9 Fr Position</t>
  </si>
  <si>
    <t>ML 10 Fr Position</t>
  </si>
  <si>
    <t>ML 11 Fr Position</t>
  </si>
  <si>
    <t>ML 12 Fr Position</t>
  </si>
  <si>
    <t>ML 13 Fr Position</t>
  </si>
  <si>
    <t>ML 14 Fr Position</t>
  </si>
  <si>
    <t>ML 15 Fr Position</t>
  </si>
  <si>
    <t>ML 16 Fr Position</t>
  </si>
  <si>
    <t>ML 1 Fr Tension</t>
  </si>
  <si>
    <t>ML 2 Fr Tension</t>
  </si>
  <si>
    <t>ML 3 Fr Tension</t>
  </si>
  <si>
    <t>ML 4 Fr Tension</t>
  </si>
  <si>
    <t>ML 5 Fr Tension</t>
  </si>
  <si>
    <t>ML 6 Fr Tension</t>
  </si>
  <si>
    <t>ML 7 Fr Tension</t>
  </si>
  <si>
    <t>ML 8 Fr Tension</t>
  </si>
  <si>
    <t>ML 9 Fr Tension</t>
  </si>
  <si>
    <t>ML 10 Fr Tension</t>
  </si>
  <si>
    <t>ML 11 Fr Tension</t>
  </si>
  <si>
    <t>ML 12 Fr Tension</t>
  </si>
  <si>
    <t>ML 13 Fr Tension</t>
  </si>
  <si>
    <t>ML 14 Fr Tension</t>
  </si>
  <si>
    <t>ML 15 Fr Tension</t>
  </si>
  <si>
    <t>ML 16 Fr Tension</t>
  </si>
  <si>
    <t>Measured from Mooring Line system.</t>
  </si>
  <si>
    <t>Running average of 20 minutes roll of rotation about the local body longitudinal (x) axis at vessel origin.</t>
  </si>
  <si>
    <t>Standard deviation of 20 minutes roll of rotation about the local body longitudinal (x) axis at vessel origin.</t>
  </si>
  <si>
    <t>Running average of 20 minutes pitch of rotation about the local body longitudinal (y) axis at vessel origin.</t>
  </si>
  <si>
    <t>Standard deviation of 20 minutes pitch of rotation about the local body transverse (y) axis at vessel origin.</t>
  </si>
  <si>
    <t>Derived from airgap running average of 20 minutes roll of rotation about the local body longitudinal (x) axis at vessel origin.</t>
  </si>
  <si>
    <t>Derived from airgap running average of 20 minutes pitch of rotation about the local body longitudinal (y) axis at vessel origin.</t>
  </si>
  <si>
    <t>ML 1 AVG</t>
  </si>
  <si>
    <t>ML 2 AVG</t>
  </si>
  <si>
    <t>ML 3 AVG</t>
  </si>
  <si>
    <t>ML 4 AVG</t>
  </si>
  <si>
    <t>20 minutes average of ML4 Angle</t>
  </si>
  <si>
    <t>ML 5 AVG</t>
  </si>
  <si>
    <t>20 minutes average of ML5 Angle</t>
  </si>
  <si>
    <t>ML 6 AVG</t>
  </si>
  <si>
    <t>20 minutes average of ML6 Angle</t>
  </si>
  <si>
    <t>ML 7 AVG</t>
  </si>
  <si>
    <t>20 minutes average of ML7 Angle</t>
  </si>
  <si>
    <t>ML 8 AVG</t>
  </si>
  <si>
    <t>20 minutes average of ML8 Angle</t>
  </si>
  <si>
    <t>ML 9 AVG</t>
  </si>
  <si>
    <t>20 minutes average of ML9 Angle</t>
  </si>
  <si>
    <t>ML 10 AVG</t>
  </si>
  <si>
    <t>20 minutes average of ML10 Angle</t>
  </si>
  <si>
    <t>ML 11 AVG</t>
  </si>
  <si>
    <t>20 minutes average of ML11 Angle</t>
  </si>
  <si>
    <t>ML 12 AVG</t>
  </si>
  <si>
    <t>20 minutes average of ML12 Angle</t>
  </si>
  <si>
    <t>ML 13 AVG</t>
  </si>
  <si>
    <t>20 minutes average of ML13 Angle</t>
  </si>
  <si>
    <t>ML 14 AVG</t>
  </si>
  <si>
    <t>20 minutes average of ML14 Angle</t>
  </si>
  <si>
    <t>ML 15 AVG</t>
  </si>
  <si>
    <t>20 minutes average of ML15 Angle</t>
  </si>
  <si>
    <t>ML 16 AVG</t>
  </si>
  <si>
    <t>20 minutes average of ML16 Angle</t>
  </si>
  <si>
    <t>Latitude DegMin</t>
  </si>
  <si>
    <t>Latitude DecMin</t>
  </si>
  <si>
    <t>Latitude DecMin2</t>
  </si>
  <si>
    <t>Longitude DegMin</t>
  </si>
  <si>
    <t>Longitude DecMin</t>
  </si>
  <si>
    <t>Longitude DecMin2</t>
  </si>
  <si>
    <t>Altitude 1</t>
  </si>
  <si>
    <t>Altitude 2</t>
  </si>
  <si>
    <t>GPS Quality</t>
  </si>
  <si>
    <t>Number of Satellites</t>
  </si>
  <si>
    <t>HDOP</t>
  </si>
  <si>
    <t>Age of Diff Corr</t>
  </si>
  <si>
    <t>E1 Tendon 1 Bending</t>
  </si>
  <si>
    <t>E1 Tendon 1 Tension</t>
  </si>
  <si>
    <t>E1 Tendon 1 Angle</t>
  </si>
  <si>
    <t>E1 Tendon 1 Status</t>
  </si>
  <si>
    <t>E1 Tendon 2 Bending</t>
  </si>
  <si>
    <t>E1 Tendon 2 Tension</t>
  </si>
  <si>
    <t>E1 Tendon 2 Angle</t>
  </si>
  <si>
    <t>E1 Tendon 2 Status</t>
  </si>
  <si>
    <t>E1 Tendon 3 Bending</t>
  </si>
  <si>
    <t>E1 Tendon 3 Tension</t>
  </si>
  <si>
    <t>E1 Tendon 3 Angle</t>
  </si>
  <si>
    <t>E1 Tendon 3 Status</t>
  </si>
  <si>
    <t>A1 Tendon 4 Bending</t>
  </si>
  <si>
    <t>A1 Tendon 4 Tension</t>
  </si>
  <si>
    <t>A1 Tendon 4 Angle</t>
  </si>
  <si>
    <t>A1 Tendon 4 Status</t>
  </si>
  <si>
    <t>A1 Tendon 5 Bending</t>
  </si>
  <si>
    <t>A1 Tendon 5 Tension</t>
  </si>
  <si>
    <t>A1 Tendon 5 Angle</t>
  </si>
  <si>
    <t>A1 Tendon 5 Status</t>
  </si>
  <si>
    <t>A1 Tendon 6 Bending</t>
  </si>
  <si>
    <t>A1 Tendon 6 Tension</t>
  </si>
  <si>
    <t>A1 Tendon 6 Angle</t>
  </si>
  <si>
    <t>A1 Tendon 6 Status</t>
  </si>
  <si>
    <t>A5 Tendon 7 Bending</t>
  </si>
  <si>
    <t>A5 Tendon 7 Tension</t>
  </si>
  <si>
    <t>A5 Tendon 7 Angle</t>
  </si>
  <si>
    <t>A5 Tendon 7 Status</t>
  </si>
  <si>
    <t>A5 Tendon 8 Bending</t>
  </si>
  <si>
    <t>A5 Tendon 8 Tension</t>
  </si>
  <si>
    <t>A5 Tendon 8 Angle</t>
  </si>
  <si>
    <t>A5 Tendon 8 Status</t>
  </si>
  <si>
    <t>A5 Tendon 9 Bending</t>
  </si>
  <si>
    <t>A5 Tendon 9 Tension</t>
  </si>
  <si>
    <t>A5 Tendon 9 Angle</t>
  </si>
  <si>
    <t>A5 Tendon 9 Status</t>
  </si>
  <si>
    <t>E5 Tendon 10 Bending</t>
  </si>
  <si>
    <t>E5 Tendon 10 Tension</t>
  </si>
  <si>
    <t>E5 Tendon 10 Angle</t>
  </si>
  <si>
    <t>E5 Tendon 10 Status</t>
  </si>
  <si>
    <t>E5 Tendon 11 Bending</t>
  </si>
  <si>
    <t>E5 Tendon 11 Tension</t>
  </si>
  <si>
    <t>E5 Tendon 11 Angle</t>
  </si>
  <si>
    <t>E5 Tendon 11 Status</t>
  </si>
  <si>
    <t>E5 Tendon 12 Bending</t>
  </si>
  <si>
    <t>E5 Tendon 12 Tension</t>
  </si>
  <si>
    <t>E5 Tendon 12 Angle</t>
  </si>
  <si>
    <t>E5 Tendon 12 Status</t>
  </si>
  <si>
    <t>TIS Status 1</t>
  </si>
  <si>
    <t>TIS Status 2</t>
  </si>
  <si>
    <t>TIS Status 3</t>
  </si>
  <si>
    <t>AWOS Cloud Height</t>
  </si>
  <si>
    <t>AWOS Cloud Coverage</t>
  </si>
  <si>
    <t>AWOS Cloud Ht 2</t>
  </si>
  <si>
    <t>AWOS Sky Cond 2</t>
  </si>
  <si>
    <t>AWOS Cloud Ht 3</t>
  </si>
  <si>
    <t>AWOS Sky Cond 3</t>
  </si>
  <si>
    <t>AWOS Visibility</t>
  </si>
  <si>
    <t>AWOS Rain Accumulation</t>
  </si>
  <si>
    <t>AWOS Air Temperature</t>
  </si>
  <si>
    <t>AWOS Dew Point</t>
  </si>
  <si>
    <t>AWOS 2min Wind Dir</t>
  </si>
  <si>
    <t>AWOS 2min Wind Spd</t>
  </si>
  <si>
    <t>AWOS Altimeter</t>
  </si>
  <si>
    <t>AWOS Density Alt</t>
  </si>
  <si>
    <t>AWOS Baro Pressure</t>
  </si>
  <si>
    <t>AWOS Present Weather1</t>
  </si>
  <si>
    <t>AWOS Present Weather2</t>
  </si>
  <si>
    <t>AWOS Present Weather3</t>
  </si>
  <si>
    <t>AWOS Humidity</t>
  </si>
  <si>
    <t>AWOS 2min Wind Spd Gust</t>
  </si>
  <si>
    <t>Max Sig Wave Height</t>
  </si>
  <si>
    <t>Mean 0 Upcrossing Period</t>
  </si>
  <si>
    <t>MET WatchDog</t>
  </si>
  <si>
    <t>Oil Spill Detection</t>
  </si>
  <si>
    <t>ADCP Max Current Spd</t>
  </si>
  <si>
    <t>ADCP Max Current Dir</t>
  </si>
  <si>
    <t>ADCP Temperature</t>
  </si>
  <si>
    <t>ABJ-1004 Level</t>
  </si>
  <si>
    <t>ML 3 Line Out</t>
  </si>
  <si>
    <t>ML 3 Tension A</t>
  </si>
  <si>
    <t>ML 3 Tension B</t>
  </si>
  <si>
    <t>ML 4 Line Out</t>
  </si>
  <si>
    <t>ML 4 Tension A</t>
  </si>
  <si>
    <t>ML 4 Tension B</t>
  </si>
  <si>
    <t>BAL-CA1-B0 Level</t>
  </si>
  <si>
    <t>BAL-CA1-C0 Level</t>
  </si>
  <si>
    <t>BAL-CA1-D0 Level</t>
  </si>
  <si>
    <t>BAL-CA1-E0 Level</t>
  </si>
  <si>
    <t>BAL-CA1-F0 Level</t>
  </si>
  <si>
    <t>BAL-P1A Level</t>
  </si>
  <si>
    <t>BAL-P1B Level</t>
  </si>
  <si>
    <t>BAL-PAA Level</t>
  </si>
  <si>
    <t>ABJ-810 Level</t>
  </si>
  <si>
    <t>ML 5 Line Out</t>
  </si>
  <si>
    <t>ML 5 Tension A</t>
  </si>
  <si>
    <t>ML 5 Tension B</t>
  </si>
  <si>
    <t>ML 6 Line Out</t>
  </si>
  <si>
    <t>ML 6 Tension A</t>
  </si>
  <si>
    <t>ML 6 Tension B</t>
  </si>
  <si>
    <t>A5 Draft</t>
  </si>
  <si>
    <t>BAL-CA5-B0 Level</t>
  </si>
  <si>
    <t>BAL-CA5-C0 Level</t>
  </si>
  <si>
    <t>BAL-CA5-D0 Level</t>
  </si>
  <si>
    <t>BAL-CA5-E0 Level</t>
  </si>
  <si>
    <t>BAL-CA5-F0 Level</t>
  </si>
  <si>
    <t>BAL-P5A Level</t>
  </si>
  <si>
    <t>BAL-P5B Level</t>
  </si>
  <si>
    <t>BAL-PAB Level</t>
  </si>
  <si>
    <t>NS Inclination</t>
  </si>
  <si>
    <t>EW Inclination</t>
  </si>
  <si>
    <t>ABJ-1006 Level</t>
  </si>
  <si>
    <t>ML 1 Line Out</t>
  </si>
  <si>
    <t>ML 1 Tension A</t>
  </si>
  <si>
    <t>ML 1 Tension B</t>
  </si>
  <si>
    <t>ML 2 Line Out</t>
  </si>
  <si>
    <t>ML 2 Tension A</t>
  </si>
  <si>
    <t>ML 2 Tension B</t>
  </si>
  <si>
    <t>E1 Draft</t>
  </si>
  <si>
    <t>ABJ-1005 Level</t>
  </si>
  <si>
    <t>ABJ-1250 Level</t>
  </si>
  <si>
    <t>BAL-CE1-B0 Level</t>
  </si>
  <si>
    <t>BAL-CE1-C0 Level</t>
  </si>
  <si>
    <t>BAL-CE1-D0 Level</t>
  </si>
  <si>
    <t>BAL-CE1-E0 Level</t>
  </si>
  <si>
    <t>BAL-CE1-F0 Level</t>
  </si>
  <si>
    <t>BAL-P1C Level</t>
  </si>
  <si>
    <t>BAL-PEA Level</t>
  </si>
  <si>
    <t>ML 7 Line Out</t>
  </si>
  <si>
    <t>ML 7 Tension A</t>
  </si>
  <si>
    <t>ML 7 Tension B</t>
  </si>
  <si>
    <t>ML 8 Line Out</t>
  </si>
  <si>
    <t>ML 8 Tension A</t>
  </si>
  <si>
    <t>ML 8 Tension B</t>
  </si>
  <si>
    <t>ABJ-1007 Level</t>
  </si>
  <si>
    <t>ABJ-1008 Level</t>
  </si>
  <si>
    <t>BAL-CE5-B0 Level</t>
  </si>
  <si>
    <t>BAL-CE5-C0 Level</t>
  </si>
  <si>
    <t>BAL-CE5-D0 Level</t>
  </si>
  <si>
    <t>BAL-CE5-E0 Level</t>
  </si>
  <si>
    <t>BAL-CE5-F0 Level</t>
  </si>
  <si>
    <t>BAL-P5C Level</t>
  </si>
  <si>
    <t>BAL-PEB Level</t>
  </si>
  <si>
    <t>ABJ-710 Level</t>
  </si>
  <si>
    <t>ABJ-720 Level</t>
  </si>
  <si>
    <t>ABJ-1004 Vol BBLS</t>
  </si>
  <si>
    <t>ABJ-1005 Vol Gals</t>
  </si>
  <si>
    <t>ABJ-1006 Vol BBLS</t>
  </si>
  <si>
    <t>ABJ-1007 Vol Gals</t>
  </si>
  <si>
    <t>ABJ-1008 Vol Gals</t>
  </si>
  <si>
    <t>ABJ-1250 Vol Gals</t>
  </si>
  <si>
    <t>ABJ-710 Vol Gals</t>
  </si>
  <si>
    <t>ABJ-720 Vol Gals</t>
  </si>
  <si>
    <t>ABJ-810 Vol Gals</t>
  </si>
  <si>
    <t>E1 A Loss of Comms</t>
  </si>
  <si>
    <t>E1 B Loss of Comms</t>
  </si>
  <si>
    <t>E1 C Loss of Comms</t>
  </si>
  <si>
    <t>A1 A Loss of Comms</t>
  </si>
  <si>
    <t>A1 B Loss of Comms</t>
  </si>
  <si>
    <t>A1 C Loss of Comms</t>
  </si>
  <si>
    <t>A5 A Loss of Comms</t>
  </si>
  <si>
    <t>A5 B Loss of Comms</t>
  </si>
  <si>
    <t>A5 C Loss of Comms</t>
  </si>
  <si>
    <t>E5 A Loss of Comms</t>
  </si>
  <si>
    <t>E5 B Loss of Comms</t>
  </si>
  <si>
    <t>E5 C Loss of Comms</t>
  </si>
  <si>
    <t>ABJ-820 Level</t>
  </si>
  <si>
    <t>MBJ-809 Level</t>
  </si>
  <si>
    <t>ABJ-310 Level</t>
  </si>
  <si>
    <t>ABJ-320 Level</t>
  </si>
  <si>
    <t>A1 DLR Fault CP1-CP3</t>
  </si>
  <si>
    <t>A1 DLR Fault CP1-CP4</t>
  </si>
  <si>
    <t>A1 DLR Fault CP3-CP2</t>
  </si>
  <si>
    <t>A1 DLR Fault CP4-CP2</t>
  </si>
  <si>
    <t>A5 DLR Fault CP1-CP3</t>
  </si>
  <si>
    <t>A5 DLR Fault CP1-CP4</t>
  </si>
  <si>
    <t>A5 DLR Fault CP3-CP2</t>
  </si>
  <si>
    <t>A5 DLR Fault CP4-CP2</t>
  </si>
  <si>
    <t>E1 DLR Fault CP1-CP3</t>
  </si>
  <si>
    <t>E1 DLR Fault CP1-CP4</t>
  </si>
  <si>
    <t>E1 DLR Fault CP3-CP2</t>
  </si>
  <si>
    <t>E1 DLR Fault CP4-CP2</t>
  </si>
  <si>
    <t>E5 DLR Fault CP1-CP3</t>
  </si>
  <si>
    <t>E5 DLR Fault CP1-CP4</t>
  </si>
  <si>
    <t>E5 DLR Fault CP3-CP2</t>
  </si>
  <si>
    <t>E5 DLR Fault CP4-CP2</t>
  </si>
  <si>
    <t>MAS Watchdog</t>
  </si>
  <si>
    <t>Calculation Flag</t>
  </si>
  <si>
    <t>Target Tendon 1</t>
  </si>
  <si>
    <t>Target Tendon 2</t>
  </si>
  <si>
    <t>Target Tendon 3</t>
  </si>
  <si>
    <t>Target Tendon 4</t>
  </si>
  <si>
    <t>Target Tendon 5</t>
  </si>
  <si>
    <t>Target Tendon 6</t>
  </si>
  <si>
    <t>Target Tendon 7</t>
  </si>
  <si>
    <t>Target Tendon 8</t>
  </si>
  <si>
    <t>Target Tendon 9</t>
  </si>
  <si>
    <t>Target Tendon 10</t>
  </si>
  <si>
    <t>Target Tendon 11</t>
  </si>
  <si>
    <t>Target Tendon 12</t>
  </si>
  <si>
    <t>Apparent Tendon 1</t>
  </si>
  <si>
    <t>Apparent Tendon 2</t>
  </si>
  <si>
    <t>Apparent Tendon 3</t>
  </si>
  <si>
    <t>Apparent Tendon 4</t>
  </si>
  <si>
    <t>Apparent Tendon 5</t>
  </si>
  <si>
    <t>Apparent Tendon 6</t>
  </si>
  <si>
    <t>Apparent Tendon 7</t>
  </si>
  <si>
    <t>Apparent Tendon 8</t>
  </si>
  <si>
    <t>Apparent Tendon 9</t>
  </si>
  <si>
    <t>Apparent Tendon 10</t>
  </si>
  <si>
    <t>Apparent Tendon 11</t>
  </si>
  <si>
    <t>Apparent Tendon 12</t>
  </si>
  <si>
    <t>Lateral Phantom Force EW</t>
  </si>
  <si>
    <t>Lateral Phantom Force NS</t>
  </si>
  <si>
    <t>LPF Moment EW</t>
  </si>
  <si>
    <t>LPF Moment NS</t>
  </si>
  <si>
    <t>Apparent Draft</t>
  </si>
  <si>
    <t>Apparent TLP Incli EW</t>
  </si>
  <si>
    <t>Apparent TLP Incli NS</t>
  </si>
  <si>
    <t>Platform KG</t>
  </si>
  <si>
    <t>KG Allow Hurricane</t>
  </si>
  <si>
    <t>KG Allow Winter Storm</t>
  </si>
  <si>
    <t>Rig Location EW</t>
  </si>
  <si>
    <t>Rig Location NS</t>
  </si>
  <si>
    <t>P1A Advisor Level</t>
  </si>
  <si>
    <t>P1B Advisor Level</t>
  </si>
  <si>
    <t>P1C Advisor Level</t>
  </si>
  <si>
    <t>P5A Advisor Level</t>
  </si>
  <si>
    <t>P5B Advisor Level</t>
  </si>
  <si>
    <t>P5C Advisor Level</t>
  </si>
  <si>
    <t>PAA Advisor Level</t>
  </si>
  <si>
    <t>PAB Advisor Level</t>
  </si>
  <si>
    <t>PEA Advisor Level</t>
  </si>
  <si>
    <t>PEB Advisor Level</t>
  </si>
  <si>
    <t>CA1-B0 Advisor Level</t>
  </si>
  <si>
    <t>CA1-C0 Advisor Level</t>
  </si>
  <si>
    <t>CA1-D0 Advisor Level</t>
  </si>
  <si>
    <t>CA1-E0 Advisor Level</t>
  </si>
  <si>
    <t>CA1-F0 Advisor Level</t>
  </si>
  <si>
    <t>CA5-B0 Advisor Level</t>
  </si>
  <si>
    <t>CA5-C0 Advisor Level</t>
  </si>
  <si>
    <t>CA5-D0 Advisor Level</t>
  </si>
  <si>
    <t>CA5-E0 Advisor Level</t>
  </si>
  <si>
    <t>CA5-F0 Advisor Level</t>
  </si>
  <si>
    <t>CE1-B0 Advisor Level</t>
  </si>
  <si>
    <t>CE1-C0 Advisor Level</t>
  </si>
  <si>
    <t>CE1-D0 Advisor Level</t>
  </si>
  <si>
    <t>CE1-E0 Advisor Level</t>
  </si>
  <si>
    <t>CE1-F0 Advisor Level</t>
  </si>
  <si>
    <t>CE5-B0 Advisor Level</t>
  </si>
  <si>
    <t>CE5-C0 Advisor Level</t>
  </si>
  <si>
    <t>CE5-D0 Advisor Level</t>
  </si>
  <si>
    <t>CE5-E0 Advisor Level</t>
  </si>
  <si>
    <t>CE5-F0 Advisor Level</t>
  </si>
  <si>
    <t>Rig Location Index</t>
  </si>
  <si>
    <t>A1 Heat Exchr Status</t>
  </si>
  <si>
    <t>A1 Heat Exchr Byp Status</t>
  </si>
  <si>
    <t>A1 Rsvr Oil Tmp Hi Alrm</t>
  </si>
  <si>
    <t>A1 Rsvr Oil Lvl Lo Alrm</t>
  </si>
  <si>
    <t>A1 Rsvr Oil Lvl LoLo Alrm</t>
  </si>
  <si>
    <t>A1 Rsvr Oil Tmp Lo Alrm</t>
  </si>
  <si>
    <t>A1 Lft Wnch Alrm</t>
  </si>
  <si>
    <t>A1 Lft Wnch Pendant Status</t>
  </si>
  <si>
    <t>A1 Lft Wnch Start/Stop Cmd</t>
  </si>
  <si>
    <t>A1 Lft Wnch Slack Alrm</t>
  </si>
  <si>
    <t>A1 Lft Wnch Park Cmd</t>
  </si>
  <si>
    <t>A1 Lft Wnch Status 0</t>
  </si>
  <si>
    <t>A1 Lft Wnch Status 1</t>
  </si>
  <si>
    <t>A1 Rt Wnch Alrm</t>
  </si>
  <si>
    <t>A1 Rt Wnch Pendant Status</t>
  </si>
  <si>
    <t>A1 Rt Wnch Start/Stop Cmd</t>
  </si>
  <si>
    <t>A1 Rt Wnch Park Cmd</t>
  </si>
  <si>
    <t>A1 Rt Wnch Slack Alrm</t>
  </si>
  <si>
    <t>A1 Rt Wnch Status 0</t>
  </si>
  <si>
    <t>A1 Rt Wnch Status 1</t>
  </si>
  <si>
    <t>A1 Aux Pmp M1 Status</t>
  </si>
  <si>
    <t>A1 Aux Pmp M1 Byp Status</t>
  </si>
  <si>
    <t>A1 Aux Pmp M1 Start Cmd</t>
  </si>
  <si>
    <t>A1 Aux Pmp M1 Stop Cmd</t>
  </si>
  <si>
    <t>A1 Aux Pmp M3 Status</t>
  </si>
  <si>
    <t>A1 Aux Pmp M3 Byp Status</t>
  </si>
  <si>
    <t>A1 Aux Pmp M3 Start Cmd</t>
  </si>
  <si>
    <t>A1 Aux Pmp M3 Stop Cmd</t>
  </si>
  <si>
    <t>A1 Main Pmp M2 Status</t>
  </si>
  <si>
    <t>A1 Main Pmp M2 Intlk Alrm</t>
  </si>
  <si>
    <t>A1 Main Pmp M2 Start Cmd</t>
  </si>
  <si>
    <t>A1 Main Pmp M2 Stop Cmd</t>
  </si>
  <si>
    <t>A1 Main Pmp M2 Byp Status</t>
  </si>
  <si>
    <t>A1 M2 Mot Temp Hi Alrm</t>
  </si>
  <si>
    <t>A1 Main Pmp M4 Status</t>
  </si>
  <si>
    <t>A1 Main Pmp M4 Intlk Alrm</t>
  </si>
  <si>
    <t>A1 Main Pmp M4 Start Cmd</t>
  </si>
  <si>
    <t>A1 Main Pmp M4 Stop Cmd</t>
  </si>
  <si>
    <t>A1 Main Pmp M4 Byp Status</t>
  </si>
  <si>
    <t>A1 M4 Mot Temp Hi Alrm</t>
  </si>
  <si>
    <t>A1 Lft Wnch Reel Pend Stat</t>
  </si>
  <si>
    <t>A1 Lft Wnch Reel Dog Stat</t>
  </si>
  <si>
    <t>A1 Lft Wnch Reel Brk Stat</t>
  </si>
  <si>
    <t>A1 Lft Wnch Reel Oil Lo</t>
  </si>
  <si>
    <t>A1 Lft Wnch Bitter End</t>
  </si>
  <si>
    <t>A1 Rt Wnch Reel Pend Stat</t>
  </si>
  <si>
    <t>A1 Rt Wnch Reel Dog Stat</t>
  </si>
  <si>
    <t>A1 Rt Wnch Reel Brk Stat</t>
  </si>
  <si>
    <t>A1 Rt Wnch Reel Oil Lo</t>
  </si>
  <si>
    <t>A1 Rt Wnch Bitter End</t>
  </si>
  <si>
    <t>A1 Combiner Vlv Status</t>
  </si>
  <si>
    <t>A1 Combiner Vlv Opn/Cls</t>
  </si>
  <si>
    <t>A1 Lft Wnch Control Loc</t>
  </si>
  <si>
    <t>A1 Lft Wnch Delta</t>
  </si>
  <si>
    <t>A1 Lft Wnch Speed</t>
  </si>
  <si>
    <t>A1 Lft Wnch Direction</t>
  </si>
  <si>
    <t>A1 Rt Wnch Delta</t>
  </si>
  <si>
    <t>A1 Rt Wnch Speed</t>
  </si>
  <si>
    <t>A1 Rt Wnch Direction</t>
  </si>
  <si>
    <t>A1 Lft Wnch Reset Cmd</t>
  </si>
  <si>
    <t>A1 Lft Wnch Move Status</t>
  </si>
  <si>
    <t>A1 Rt Wnch Reset Cmd</t>
  </si>
  <si>
    <t>A1 Rt Wnch Move Status</t>
  </si>
  <si>
    <t>A1 Lft Wnch Ft Down Cntr</t>
  </si>
  <si>
    <t>A1 Rt Wnch Ft Down Cntr</t>
  </si>
  <si>
    <t>A5 Heat Exchr Status</t>
  </si>
  <si>
    <t>A5 Heat Exchr Byp Status</t>
  </si>
  <si>
    <t>A5 Rsvr Oil Tmp Hi Alrm</t>
  </si>
  <si>
    <t>A5 Rsvr Oil Lvl Lo Alrm</t>
  </si>
  <si>
    <t>A5 Rsvr Oil Lvl LoLo Alrm</t>
  </si>
  <si>
    <t>A5 Rsvr Oil Tmp Lo Alrm</t>
  </si>
  <si>
    <t>A5 Lft Wnch Alrm</t>
  </si>
  <si>
    <t>A5 Lft Wnch Pendant Status</t>
  </si>
  <si>
    <t>A5 Lft Wnch Start/Stop Cmd</t>
  </si>
  <si>
    <t>A5 Lft Wnch Slack Alrm</t>
  </si>
  <si>
    <t>A5 Lft Wnch Park Cmd</t>
  </si>
  <si>
    <t>A5 Lft Wnch Status 0</t>
  </si>
  <si>
    <t>A5 Lft Wnch Status 1</t>
  </si>
  <si>
    <t>A5 Rt Wnch Alrm</t>
  </si>
  <si>
    <t>A5 Rt Wnch Pendant Status</t>
  </si>
  <si>
    <t>A5 Rt Wnch Start/Stop Cmd</t>
  </si>
  <si>
    <t>A5 Rt Wnch Park Cmd</t>
  </si>
  <si>
    <t>A5 Rt Wnch Slack Alrm</t>
  </si>
  <si>
    <t>A5 Rt Wnch Status 0</t>
  </si>
  <si>
    <t>A5 Rt Wnch Status 1</t>
  </si>
  <si>
    <t>A5 Aux Pmp M1 Status</t>
  </si>
  <si>
    <t>A5 Aux Pmp M1 Byp Status</t>
  </si>
  <si>
    <t>A5 Aux Pmp M1 Start Cmd</t>
  </si>
  <si>
    <t>A5 Aux Pmp M1 Stop Cmd</t>
  </si>
  <si>
    <t>A5 Aux Pmp M3 Status</t>
  </si>
  <si>
    <t>A5 Aux Pmp M3 Byp Status</t>
  </si>
  <si>
    <t>A5 Aux Pmp M3 Start Cmd</t>
  </si>
  <si>
    <t>A5 Aux Pmp M3 Stop Cmd</t>
  </si>
  <si>
    <t>A5 Main Pmp M2 Status</t>
  </si>
  <si>
    <t>A5 Main Pmp M2 Intlk Alrm</t>
  </si>
  <si>
    <t>A5 Main Pmp M2 Start Cmd</t>
  </si>
  <si>
    <t>A5 Main Pmp M2 Stop Cmd</t>
  </si>
  <si>
    <t>A5 Main Pmp M2 Byp Status</t>
  </si>
  <si>
    <t>A5 M2 Mot Temp Hi Alrm</t>
  </si>
  <si>
    <t>A5 Main Pmp M4 Status</t>
  </si>
  <si>
    <t>A5 Main Pmp M4 Intlk Alrm</t>
  </si>
  <si>
    <t>A5 Main Pmp M4 Start Cmd</t>
  </si>
  <si>
    <t>A5 Main Pmp M4 Stop Cmd</t>
  </si>
  <si>
    <t>A5 Main Pmp M4 Byp Status</t>
  </si>
  <si>
    <t>A5 M4 Mot Temp Hi Alrm</t>
  </si>
  <si>
    <t>A5 Lft Wnch Reel Pend Stat</t>
  </si>
  <si>
    <t>A5 Lft Wnch Reel Dog Stat</t>
  </si>
  <si>
    <t>A5 Lft Wnch Reel Brk Stat</t>
  </si>
  <si>
    <t>A5 Lft Wnch Reel Oil Lo</t>
  </si>
  <si>
    <t>A5 Lft Wnch Bitter End</t>
  </si>
  <si>
    <t>A5 Rt Wnch Reel Pend Stat</t>
  </si>
  <si>
    <t>A5 Rt Wnch Reel Dog Stat</t>
  </si>
  <si>
    <t>A5 Rt Wnch Reel Brk Stat</t>
  </si>
  <si>
    <t>A5 Rt Wnch Reel Oil Lo</t>
  </si>
  <si>
    <t>A5 Rt Wnch Bitter End</t>
  </si>
  <si>
    <t>A5 Combiner Vlv Status</t>
  </si>
  <si>
    <t>A5 Combiner Vlv Opn/Cls</t>
  </si>
  <si>
    <t>A5 Lft Wnch Control Loc</t>
  </si>
  <si>
    <t>A5 Lft Wnch Delta</t>
  </si>
  <si>
    <t>A5 Lft Wnch Speed</t>
  </si>
  <si>
    <t>A5 Lft Wnch Direction</t>
  </si>
  <si>
    <t>A5 Rt Wnch Delta</t>
  </si>
  <si>
    <t>A5 Rt Wnch Speed</t>
  </si>
  <si>
    <t>A5 Rt Wnch Direction</t>
  </si>
  <si>
    <t>A5 Lft Wnch Reset Cmd</t>
  </si>
  <si>
    <t>A5 Lft Wnch Move Status</t>
  </si>
  <si>
    <t>A5 Rt Wnch Reset Cmd</t>
  </si>
  <si>
    <t>A5 Rt Wnch Move Status</t>
  </si>
  <si>
    <t>A5 Lft Wnch Ft Down Cntr</t>
  </si>
  <si>
    <t>A5 Rt Wnch Ft Down Cntr</t>
  </si>
  <si>
    <t>E1 Heat Exchr Status</t>
  </si>
  <si>
    <t>E1 Heat Exchr Byp Status</t>
  </si>
  <si>
    <t>E1 Rsvr Oil Tmp Hi Alrm</t>
  </si>
  <si>
    <t>E1 Rsvr Oil Lvl Lo Alrm</t>
  </si>
  <si>
    <t>E1 Rsvr Oil Lvl LoLo Alrm</t>
  </si>
  <si>
    <t>E1 Rsvr Oil Tmp Lo Alrm</t>
  </si>
  <si>
    <t>E1 Lft Wnch Alrm</t>
  </si>
  <si>
    <t>E1 Lft Wnch Pendant Status</t>
  </si>
  <si>
    <t>E1 Lft Wnch Start/Stop Cmd</t>
  </si>
  <si>
    <t>E1 Lft Wnch Slack Alrm</t>
  </si>
  <si>
    <t>E1 Lft Wnch Park Cmd</t>
  </si>
  <si>
    <t>E1 Lft Wnch Status 0</t>
  </si>
  <si>
    <t>E1 Lft Wnch Status 1</t>
  </si>
  <si>
    <t>E1 Rt Wnch Alrm</t>
  </si>
  <si>
    <t>E1 Rt Wnch Pendant Status</t>
  </si>
  <si>
    <t>E1 Rt Wnch Start/Stop Cmd</t>
  </si>
  <si>
    <t>E1 Rt Wnch Park Cmd</t>
  </si>
  <si>
    <t>E1 Rt Wnch Slack Alrm</t>
  </si>
  <si>
    <t>E1 Rt Wnch Status 0</t>
  </si>
  <si>
    <t>E1 Rt Wnch Status 1</t>
  </si>
  <si>
    <t>E1 Aux Pmp M1 Status</t>
  </si>
  <si>
    <t>E1 Aux Pmp M1 Byp Status</t>
  </si>
  <si>
    <t>E1 Aux Pmp M1 Start Cmd</t>
  </si>
  <si>
    <t>E1 Aux Pmp M1 Stop Cmd</t>
  </si>
  <si>
    <t>E1 Aux Pmp M3 Status</t>
  </si>
  <si>
    <t>E1 Aux Pmp M3 Byp Status</t>
  </si>
  <si>
    <t>E1 Aux Pmp M3 Start Cmd</t>
  </si>
  <si>
    <t>E1 Aux Pmp M3 Stop Cmd</t>
  </si>
  <si>
    <t>E1 Main Pmp M2 Status</t>
  </si>
  <si>
    <t>E1 Main Pmp M2 Intlk Alrm</t>
  </si>
  <si>
    <t>E1 Main Pmp M2 Start Cmd</t>
  </si>
  <si>
    <t>E1 Main Pmp M2 Stop Cmd</t>
  </si>
  <si>
    <t>E1 Main Pmp M2 Byp Status</t>
  </si>
  <si>
    <t>E1 M2 Mot Temp Hi Alrm</t>
  </si>
  <si>
    <t>E1 Main Pmp M4 Status</t>
  </si>
  <si>
    <t>E1 Main Pmp M4 Intlk Alrm</t>
  </si>
  <si>
    <t>E1 Main Pmp M4 Start Cmd</t>
  </si>
  <si>
    <t>E1 Main Pmp M4 Stop Cmd</t>
  </si>
  <si>
    <t>E1 Main Pmp M4 Byp Status</t>
  </si>
  <si>
    <t>E1 M4 Mot Temp Hi Alrm</t>
  </si>
  <si>
    <t>E1 Lft Wnch Reel Pend Stat</t>
  </si>
  <si>
    <t>E1 Lft Wnch Reel Dog Stat</t>
  </si>
  <si>
    <t>E1 Lft Wnch Reel Brk Stat</t>
  </si>
  <si>
    <t>E1 Lft Wnch Reel Oil Lo</t>
  </si>
  <si>
    <t>E1 Lft Wnch Bitter End</t>
  </si>
  <si>
    <t>E1 Rt Wnch Reel Pend Stat</t>
  </si>
  <si>
    <t>E1 Rt Wnch Reel Dog Stat</t>
  </si>
  <si>
    <t>E1 Rt Wnch Reel Brk Stat</t>
  </si>
  <si>
    <t>E1 Rt Wnch Reel Oil Lo</t>
  </si>
  <si>
    <t>E1 Rt Wnch Bitter End</t>
  </si>
  <si>
    <t>E1 Combiner Vlv Status</t>
  </si>
  <si>
    <t>E1 Combiner Vlv Opn/Cls</t>
  </si>
  <si>
    <t>E1 Lft Wnch Control Loc</t>
  </si>
  <si>
    <t>E1 Lft Wnch Delta</t>
  </si>
  <si>
    <t>E1 Lft Wnch Speed</t>
  </si>
  <si>
    <t>E1 Lft Wnch Direction</t>
  </si>
  <si>
    <t>E1 Rt Wnch Delta</t>
  </si>
  <si>
    <t>E1 Rt Wnch Speed</t>
  </si>
  <si>
    <t>E1 Rt Wnch Direction</t>
  </si>
  <si>
    <t>E1 Lft Wnch Reset Cmd</t>
  </si>
  <si>
    <t>E1 Lft Wnch Move Status</t>
  </si>
  <si>
    <t>E1 Rt Wnch Reset Cmd</t>
  </si>
  <si>
    <t>E1 Rt Wnch Move Status</t>
  </si>
  <si>
    <t>E1 Lft Wnch Ft Down Cntr</t>
  </si>
  <si>
    <t>E1 Rt Wnch Ft Down Cntr</t>
  </si>
  <si>
    <t>E5 Heat Exchr Status</t>
  </si>
  <si>
    <t>E5 Heat Exchr Byp Status</t>
  </si>
  <si>
    <t>E5 Rsvr Oil Tmp Hi Alrm</t>
  </si>
  <si>
    <t>E5 Rsvr Oil Lvl Lo Alrm</t>
  </si>
  <si>
    <t>E5 Rsvr Oil Lvl LoLo Alrm</t>
  </si>
  <si>
    <t>E5 Rsvr Oil Tmp Lo Alrm</t>
  </si>
  <si>
    <t>E5 Lft Wnch Alrm</t>
  </si>
  <si>
    <t>E5 Lft Wnch Pendant Status</t>
  </si>
  <si>
    <t>E5 Lft Wnch Start/Stop Cmd</t>
  </si>
  <si>
    <t>E5 Lft Wnch Slack Alrm</t>
  </si>
  <si>
    <t>E5 Lft Wnch Park Cmd</t>
  </si>
  <si>
    <t>E5 Lft Wnch Status 0</t>
  </si>
  <si>
    <t>E5 Lft Wnch Status 1</t>
  </si>
  <si>
    <t>E5 Rt Wnch Alrm</t>
  </si>
  <si>
    <t>E5 Rt Wnch Pendant Status</t>
  </si>
  <si>
    <t>E5 Rt Wnch Start/Stop Cmd</t>
  </si>
  <si>
    <t>E5 Rt Wnch Park Cmd</t>
  </si>
  <si>
    <t>E5 Rt Wnch Slack Alrm</t>
  </si>
  <si>
    <t>E5 Rt Wnch Status 0</t>
  </si>
  <si>
    <t>E5 Rt Wnch Status 1</t>
  </si>
  <si>
    <t>E5 Aux Pmp M1 Status</t>
  </si>
  <si>
    <t>E5 Aux Pmp M1 Byp Status</t>
  </si>
  <si>
    <t>E5 Aux Pmp M1 Start Cmd</t>
  </si>
  <si>
    <t>E5 Aux Pmp M1 Stop Cmd</t>
  </si>
  <si>
    <t>E5 Aux Pmp M3 Status</t>
  </si>
  <si>
    <t>E5 Aux Pmp M3 Byp Status</t>
  </si>
  <si>
    <t>E5 Aux Pmp M3 Start Cmd</t>
  </si>
  <si>
    <t>E5 Aux Pmp M3 Stop Cmd</t>
  </si>
  <si>
    <t>E5 Main Pmp M2 Status</t>
  </si>
  <si>
    <t>E5 Main Pmp M2 Intlk Alrm</t>
  </si>
  <si>
    <t>E5 Main Pmp M2 Start Cmd</t>
  </si>
  <si>
    <t>E5 Main Pmp M2 Stop Cmd</t>
  </si>
  <si>
    <t>E5 Main Pmp M2 Byp Status</t>
  </si>
  <si>
    <t>E5 M2 Mot Temp Hi Alrm</t>
  </si>
  <si>
    <t>E5 Main Pmp M4 Status</t>
  </si>
  <si>
    <t>E5 Main Pmp M4 Intlk Alrm</t>
  </si>
  <si>
    <t>E5 Main Pmp M4 Start Cmd</t>
  </si>
  <si>
    <t>E5 Main Pmp M4 Stop Cmd</t>
  </si>
  <si>
    <t>E5 Main Pmp M4 Byp Status</t>
  </si>
  <si>
    <t>E5 M4 Mot Temp Hi Alrm</t>
  </si>
  <si>
    <t>E5 Lft Wnch Reel Pend Stat</t>
  </si>
  <si>
    <t>E5 Lft Wnch Reel Dog Stat</t>
  </si>
  <si>
    <t>E5 Lft Wnch Reel Brk Stat</t>
  </si>
  <si>
    <t>E5 Lft Wnch Reel Oil Lo</t>
  </si>
  <si>
    <t>E5 Lft Wnch Bitter End</t>
  </si>
  <si>
    <t>E5 Rt Wnch Reel Pend Stat</t>
  </si>
  <si>
    <t>E5 Rt Wnch Reel Dog Stat</t>
  </si>
  <si>
    <t>E5 Rt Wnch Reel Brk Stat</t>
  </si>
  <si>
    <t>E5 Rt Wnch Reel Oil Lo</t>
  </si>
  <si>
    <t>E5 Rt Wnch Bitter End</t>
  </si>
  <si>
    <t>E5 Combiner Vlv Status</t>
  </si>
  <si>
    <t>E5 Combiner Vlv Opn/Cls</t>
  </si>
  <si>
    <t>E5 Lft Wnch Control Loc</t>
  </si>
  <si>
    <t>E5 Lft Wnch Delta</t>
  </si>
  <si>
    <t>E5 Lft Wnch Speed</t>
  </si>
  <si>
    <t>E5 Lft Wnch Direction</t>
  </si>
  <si>
    <t>E5 Rt Wnch Delta</t>
  </si>
  <si>
    <t>E5 Rt Wnch Speed</t>
  </si>
  <si>
    <t>E5 Rt Wnch Direction</t>
  </si>
  <si>
    <t>E5 Lft Wnch Reset Cmd</t>
  </si>
  <si>
    <t>E5 Lft Wnch Move Status</t>
  </si>
  <si>
    <t>E5 Rt Wnch Reset Cmd</t>
  </si>
  <si>
    <t>E5 Rt Wnch Move Status</t>
  </si>
  <si>
    <t>E5 Lft Wnch Ft Down Cntr</t>
  </si>
  <si>
    <t>E5 Rt Wnch Ft Down Cntr</t>
  </si>
  <si>
    <t>Barometric Pressure</t>
  </si>
  <si>
    <t>GPS Lat</t>
  </si>
  <si>
    <t>GPS Lon</t>
  </si>
  <si>
    <t>GPS Altitude</t>
  </si>
  <si>
    <t>GPS Northings</t>
  </si>
  <si>
    <t>GPS Eastings</t>
  </si>
  <si>
    <t>PQ Northings</t>
  </si>
  <si>
    <t>PQ Eastings</t>
  </si>
  <si>
    <t>PQ Altitude</t>
  </si>
  <si>
    <t>PQ Offset</t>
  </si>
  <si>
    <t>PQ Bearing</t>
  </si>
  <si>
    <t>PQ Northings AVG</t>
  </si>
  <si>
    <t>PQ Eastings AVG</t>
  </si>
  <si>
    <t>PQ Quality</t>
  </si>
  <si>
    <t>WCC Offset</t>
  </si>
  <si>
    <t>WCC Bearing</t>
  </si>
  <si>
    <t>AWOS Wind Spd</t>
  </si>
  <si>
    <t>AWOS Wind Dir</t>
  </si>
  <si>
    <t>AWOS North Wind Spd</t>
  </si>
  <si>
    <t>AWOS East Wind Spd</t>
  </si>
  <si>
    <t>AWOS 10min Wind Spd</t>
  </si>
  <si>
    <t>AWOS 10min Wind Dir</t>
  </si>
  <si>
    <t>AWOS 1hr Wind Spd</t>
  </si>
  <si>
    <t>AWOS 1hr Wind Dir</t>
  </si>
  <si>
    <t>ML 1 Tension</t>
  </si>
  <si>
    <t>ML 1 Tension Mask</t>
  </si>
  <si>
    <t>ML 2 Tension</t>
  </si>
  <si>
    <t>ML 2 Tension Mask</t>
  </si>
  <si>
    <t>ML 3 Tension</t>
  </si>
  <si>
    <t>ML 3 Tension Mask</t>
  </si>
  <si>
    <t>ML 4 Tension</t>
  </si>
  <si>
    <t>ML 4 Tension Mask</t>
  </si>
  <si>
    <t>ML 5 Tension</t>
  </si>
  <si>
    <t>ML 5 Tension Mask</t>
  </si>
  <si>
    <t>ML 6 Tension</t>
  </si>
  <si>
    <t>ML 6 Tension Mask</t>
  </si>
  <si>
    <t>ML 7 Tension</t>
  </si>
  <si>
    <t>ML 7 Tension Mask</t>
  </si>
  <si>
    <t>ML 8 Tension</t>
  </si>
  <si>
    <t>ML 8 Tension Mask</t>
  </si>
  <si>
    <t>Best Airgap Sig Wave Ht</t>
  </si>
  <si>
    <t>Best Airgap Wave Period</t>
  </si>
  <si>
    <t>List Fr Airgaps</t>
  </si>
  <si>
    <t>MAS PQ Northings</t>
  </si>
  <si>
    <t>MAS PQ Eastings</t>
  </si>
  <si>
    <t>MAS Wind Spd</t>
  </si>
  <si>
    <t>MAS Wind Dir</t>
  </si>
  <si>
    <t>MAS Max Current Spd</t>
  </si>
  <si>
    <t>MAS Max Current Dir</t>
  </si>
  <si>
    <t>MAS Sig Wave Ht</t>
  </si>
  <si>
    <t>MAS E1 Tendon 1 Tension</t>
  </si>
  <si>
    <t>MAS E1 Tendon 2 Tension</t>
  </si>
  <si>
    <t>MAS E1 Tendon 3 Tension</t>
  </si>
  <si>
    <t>MAS A1 Tendon 4 Tension</t>
  </si>
  <si>
    <t>MAS A1 Tendon 5 Tension</t>
  </si>
  <si>
    <t>MAS A1 Tendon 6 Tension</t>
  </si>
  <si>
    <t>MAS A5 Tendon 7 Tension</t>
  </si>
  <si>
    <t>MAS A5 Tendon 8 Tension</t>
  </si>
  <si>
    <t>MAS A5 Tendon 9 Tension</t>
  </si>
  <si>
    <t>MAS E5 Tendon 10 Tension</t>
  </si>
  <si>
    <t>MAS E5 Tendon 11 Tension</t>
  </si>
  <si>
    <t>MAS E5 Tendon 12 Tension</t>
  </si>
  <si>
    <t>MAS BAL-CA1-B0 Level</t>
  </si>
  <si>
    <t>MAS BAL-CA1-C0 Level</t>
  </si>
  <si>
    <t>MAS BAL-CA1-D0 Level</t>
  </si>
  <si>
    <t>MAS BAL-CA1-E0 Level</t>
  </si>
  <si>
    <t>MAS BAL-CA1-F0 Level</t>
  </si>
  <si>
    <t>MAS BAL-P1A Level</t>
  </si>
  <si>
    <t>MAS BAL-P1B Level</t>
  </si>
  <si>
    <t>MAS BAL-PAA Level</t>
  </si>
  <si>
    <t>MAS BAL-CA5-B0 Level</t>
  </si>
  <si>
    <t>MAS BAL-CA5-C0 Level</t>
  </si>
  <si>
    <t>MAS BAL-CA5-D0 Level</t>
  </si>
  <si>
    <t>MAS BAL-CA5-E0 Level</t>
  </si>
  <si>
    <t>MAS BAL-CA5-F0 Level</t>
  </si>
  <si>
    <t>MAS BAL-P5A Level</t>
  </si>
  <si>
    <t>MAS BAL-P5B Level</t>
  </si>
  <si>
    <t>MAS BAL-PAB Level</t>
  </si>
  <si>
    <t>MAS BAL-CE1-B0 Level</t>
  </si>
  <si>
    <t>MAS BAL-CE1-C0 Level</t>
  </si>
  <si>
    <t>MAS BAL-CE1-D0 Level</t>
  </si>
  <si>
    <t>MAS BAL-CE1-E0 Level</t>
  </si>
  <si>
    <t>MAS BAL-CE1-F0 Level</t>
  </si>
  <si>
    <t>MAS BAL-P1C Level</t>
  </si>
  <si>
    <t>MAS BAL-PEA Level</t>
  </si>
  <si>
    <t>MAS BAL-CE5-B0 Level</t>
  </si>
  <si>
    <t>MAS BAL-CE5-C0 Level</t>
  </si>
  <si>
    <t>MAS BAL-CE5-D0 Level</t>
  </si>
  <si>
    <t>MAS BAL-CE5-E0 Level</t>
  </si>
  <si>
    <t>MAS BAL-CE5-F0 Level</t>
  </si>
  <si>
    <t>MAS BAL-P5C Level</t>
  </si>
  <si>
    <t>MAS BAL-PEB Level</t>
  </si>
  <si>
    <t>MAS ABJ-1004 Level</t>
  </si>
  <si>
    <t>MAS ABJ-1005 Level</t>
  </si>
  <si>
    <t>MAS ABJ-1006 Level</t>
  </si>
  <si>
    <t>MAS ABJ-1007 Level</t>
  </si>
  <si>
    <t>MAS ABJ-1008 Level</t>
  </si>
  <si>
    <t>MAS ABJ-1250 Level</t>
  </si>
  <si>
    <t>MAS ABJ-710 Level</t>
  </si>
  <si>
    <t>MAS ABJ-720 Level</t>
  </si>
  <si>
    <t>MAS ABJ-810 Level</t>
  </si>
  <si>
    <t>MAS A5 Draft</t>
  </si>
  <si>
    <t>MAS E1 Draft</t>
  </si>
  <si>
    <t>MAS NS Inclination</t>
  </si>
  <si>
    <t>MAS EW Inclination</t>
  </si>
  <si>
    <t>MAS ML 1 Line Out</t>
  </si>
  <si>
    <t>MAS ML 2 Line Out</t>
  </si>
  <si>
    <t>MAS ML 3 Line Out</t>
  </si>
  <si>
    <t>MAS ML 4 Line Out</t>
  </si>
  <si>
    <t>MAS ML 5 Line Out</t>
  </si>
  <si>
    <t>MAS ML 6 Line Out</t>
  </si>
  <si>
    <t>MAS ML 7 Line Out</t>
  </si>
  <si>
    <t>MAS ML 8 Line Out</t>
  </si>
  <si>
    <t>MAS ABJ-820 Level</t>
  </si>
  <si>
    <t>MAS MBJ-809 Level</t>
  </si>
  <si>
    <t>MAS ABJ-310 Level</t>
  </si>
  <si>
    <t>MAS ABJ-320 Level</t>
  </si>
  <si>
    <t>Winch 1 Brake Alarm</t>
  </si>
  <si>
    <t>Winch 1 Dog Alarm</t>
  </si>
  <si>
    <t>Winch 2 Brake Alarm</t>
  </si>
  <si>
    <t>Winch 2 Dog Alarm</t>
  </si>
  <si>
    <t>Winch 3 Brake Alarm</t>
  </si>
  <si>
    <t>Winch 3 Dog Alarm</t>
  </si>
  <si>
    <t>Winch 4 Brake Alarm</t>
  </si>
  <si>
    <t>Winch 4 Dog Alarm</t>
  </si>
  <si>
    <t>Winch 5 Brake Alarm</t>
  </si>
  <si>
    <t>Winch 5 Dog Alarm</t>
  </si>
  <si>
    <t>Winch 6 Brake Alarm</t>
  </si>
  <si>
    <t>Winch 6 Dog Alarm</t>
  </si>
  <si>
    <t>Winch 7 Brake Alarm</t>
  </si>
  <si>
    <t>Winch 7 Dog Alarm</t>
  </si>
  <si>
    <t>Winch 8 Brake Alarm</t>
  </si>
  <si>
    <t>Winch 8 Dog Alarm</t>
  </si>
  <si>
    <t>TIS Watchdog</t>
  </si>
  <si>
    <t>AWOS 10min Wind Spd Gust</t>
  </si>
  <si>
    <t>AWOS 1hr Wind Spd Gust</t>
  </si>
  <si>
    <t>kips-ft</t>
  </si>
  <si>
    <t>mile</t>
  </si>
  <si>
    <t>inHg</t>
  </si>
  <si>
    <t>bbls</t>
  </si>
  <si>
    <t>gals</t>
  </si>
  <si>
    <t>booll</t>
  </si>
  <si>
    <t>ND</t>
  </si>
  <si>
    <t>GPS</t>
  </si>
  <si>
    <t>TIS</t>
  </si>
  <si>
    <t>AWOS</t>
  </si>
  <si>
    <t>Waves</t>
  </si>
  <si>
    <t>Surface Currnet Speed</t>
  </si>
  <si>
    <t>Watchdog</t>
  </si>
  <si>
    <t>OSD</t>
  </si>
  <si>
    <t>ADCP</t>
  </si>
  <si>
    <t>Mooring, Draft &amp; Tanks</t>
  </si>
  <si>
    <t>MAS Tendons</t>
  </si>
  <si>
    <t>MAS Advisor Level</t>
  </si>
  <si>
    <t>MAS A1</t>
  </si>
  <si>
    <t>MAS A2</t>
  </si>
  <si>
    <t>MAS E1</t>
  </si>
  <si>
    <t>MAS E5</t>
  </si>
  <si>
    <t>Derived Baro Pr</t>
  </si>
  <si>
    <t>Derived GPS</t>
  </si>
  <si>
    <t>Derived MAS Tendon</t>
  </si>
  <si>
    <t>Derived MAS BAL</t>
  </si>
  <si>
    <t>Derived MAS ML</t>
  </si>
  <si>
    <t>Derived MAS Level</t>
  </si>
  <si>
    <t>Derived Winch</t>
  </si>
  <si>
    <t>Derived AWOS</t>
  </si>
  <si>
    <t>Measured 2-minute average wind speed at the sensor location.</t>
  </si>
  <si>
    <t>GPS latitude position in deg decimal.</t>
  </si>
  <si>
    <t>GPS longitude position in deg decimal.</t>
  </si>
  <si>
    <t>Northings measured from local GPS position.</t>
  </si>
  <si>
    <t>Eastings measured from local GPS position.</t>
  </si>
  <si>
    <t>Northings measured from platform reference position.</t>
  </si>
  <si>
    <t>Eastings measured from platform reference position.</t>
  </si>
  <si>
    <t>Altitude reading at GPS height.</t>
  </si>
  <si>
    <t>Distance of offset from the platform reference position.</t>
  </si>
  <si>
    <t>Direction from true north to offset position.</t>
  </si>
  <si>
    <t>20 minutes running average of PQ Northings.</t>
  </si>
  <si>
    <t>20 minutes running average of PQ Eastings.</t>
  </si>
  <si>
    <t>PQ Offset channels. (WCC: Watch-circle shown on WinMon display)</t>
  </si>
  <si>
    <t>Bearing from platform reference position.</t>
  </si>
  <si>
    <t>Hem altitude reading from platform reference position.</t>
  </si>
  <si>
    <t>Fugro altitude reading  from platform reference position.</t>
  </si>
  <si>
    <t>Altitude reading from platform reference position.</t>
  </si>
  <si>
    <t>Barometric pressure</t>
  </si>
  <si>
    <t>AWOS wind speed at the sensor location.</t>
  </si>
  <si>
    <t>AWOS wind direction from true north at the sensor location.</t>
  </si>
  <si>
    <t>AWOS wind speed component at north direction at the sensor location.</t>
  </si>
  <si>
    <t>AWOS wind speed component at east direction at the sensor location.</t>
  </si>
  <si>
    <t>AWOS running average of 10 minutes wind speed at the sensor location.</t>
  </si>
  <si>
    <t>AWOS running average of 10 minutes wind direction from true north at the sensor location.</t>
  </si>
  <si>
    <t>AWOS running average of 1 hour wind speed at the sensor location.</t>
  </si>
  <si>
    <t>AWOS running average of 1 hour wind direction from true north at the sensor location.</t>
  </si>
  <si>
    <t>Derived AWOS wind gust speed computed during the previous 10 minutes at the sensor location.</t>
  </si>
  <si>
    <t>Derived AWOS wind gust speed computed during the previous 1 hour at the sensor location.</t>
  </si>
  <si>
    <t xml:space="preserve">Output 20 minute average lateral phantorm force moment in EW direction from the “Equilibrium Calculation Subroutine” from LMP. </t>
  </si>
  <si>
    <t xml:space="preserve">Output 20 minute average lateral phantorm force moment in NS direction from the “Equilibrium Calculation Subroutine” from LMP. </t>
  </si>
  <si>
    <t xml:space="preserve">Output lateral phantorm force in EW direction from the “Equilibrium Calculation Subroutine” from LMP. </t>
  </si>
  <si>
    <t xml:space="preserve">Output lateral phantorm force in NS direction from the “Equilibrium Calculation Subroutine” from LMP. </t>
  </si>
  <si>
    <t>Discrepancy weight.</t>
  </si>
  <si>
    <t>Ballast Tank Level.</t>
  </si>
  <si>
    <t>Tendon A5 Channels, from TIS.</t>
  </si>
  <si>
    <t>Tendon E1 Channels, from TIS.</t>
  </si>
  <si>
    <t>Tendon E5 Channels, from TIS.</t>
  </si>
  <si>
    <t>NE Tendon 2 Bending</t>
  </si>
  <si>
    <t>NE Tendon 2 Tension</t>
  </si>
  <si>
    <t>NE Tendon 2 Angle</t>
  </si>
  <si>
    <t>NE Tendon 2 Status</t>
  </si>
  <si>
    <t>SE Tendon 5 Bending</t>
  </si>
  <si>
    <t>SE Tendon 5 Tension</t>
  </si>
  <si>
    <t>SE Tendon 5 Angle</t>
  </si>
  <si>
    <t>SE Tendon 5 Status</t>
  </si>
  <si>
    <t>SW Tendon 8 Bending</t>
  </si>
  <si>
    <t>SW Tendon 8 Tension</t>
  </si>
  <si>
    <t>SW Tendon 8 Angle</t>
  </si>
  <si>
    <t>SW Tendon 8 Status</t>
  </si>
  <si>
    <t>NW Tendon 11 Bending</t>
  </si>
  <si>
    <t>NW Tendon 11 Tension</t>
  </si>
  <si>
    <t>NW Tendon 11 Angle</t>
  </si>
  <si>
    <t>NW Tendon 11 Status</t>
  </si>
  <si>
    <t>TIS Status</t>
  </si>
  <si>
    <t>ABJ-2606 Level</t>
  </si>
  <si>
    <t>ABJ-2607 Level</t>
  </si>
  <si>
    <t>BAL-NPE Level</t>
  </si>
  <si>
    <t>BAL-EPN Level</t>
  </si>
  <si>
    <t>BAL-EPS Level</t>
  </si>
  <si>
    <t>BAL-SPE Level</t>
  </si>
  <si>
    <t>BAL-NE0-BN Level</t>
  </si>
  <si>
    <t>BAL-NE0-BE Level</t>
  </si>
  <si>
    <t>BAL-SE0-BE Level</t>
  </si>
  <si>
    <t>BAL-SE0-BS Level</t>
  </si>
  <si>
    <t>BAL-SE1-BS Level</t>
  </si>
  <si>
    <t>ABJ-2606 Vol</t>
  </si>
  <si>
    <t>ABJ-2607 Vol</t>
  </si>
  <si>
    <t>ABJ-2700 Level</t>
  </si>
  <si>
    <t>ABJ-2703 Level</t>
  </si>
  <si>
    <t>BAL-NPW Level</t>
  </si>
  <si>
    <t>BAL-WPN Level</t>
  </si>
  <si>
    <t>BAL-WPS Level</t>
  </si>
  <si>
    <t>BAL-SPW Level</t>
  </si>
  <si>
    <t>BAL-NW0-BN Level</t>
  </si>
  <si>
    <t>BAL-NW0-BW Level</t>
  </si>
  <si>
    <t>BAL-SW0-BS Level</t>
  </si>
  <si>
    <t>BAL-SW0-BW Level</t>
  </si>
  <si>
    <t>BAL-SW1-BS Level</t>
  </si>
  <si>
    <t>ABJ-2700 Vol</t>
  </si>
  <si>
    <t>ABJ-2703 Vol</t>
  </si>
  <si>
    <t>ABJ-801 Level</t>
  </si>
  <si>
    <t>Phantom Wt Hi</t>
  </si>
  <si>
    <t>Phantom Wt Lo</t>
  </si>
  <si>
    <t>Phantom Wt VCG</t>
  </si>
  <si>
    <t>Phantom Wt CG EW</t>
  </si>
  <si>
    <t>Phantom Wt CG NS</t>
  </si>
  <si>
    <t>ABJ-2606 Advisor Level</t>
  </si>
  <si>
    <t>ABJ-2607 Advisor Level</t>
  </si>
  <si>
    <t>NPE-B Advisor Level</t>
  </si>
  <si>
    <t>EPN-B Advisor Level</t>
  </si>
  <si>
    <t>EPS-B Advisor Level</t>
  </si>
  <si>
    <t>SPE-B Advisor Level</t>
  </si>
  <si>
    <t>NE0-BN Advisor Level</t>
  </si>
  <si>
    <t>NE0-BE Advisor Level</t>
  </si>
  <si>
    <t>SE0-BE Advisor Level</t>
  </si>
  <si>
    <t>SE0-BS Advisor Level</t>
  </si>
  <si>
    <t>SE1-BS Advisor Level</t>
  </si>
  <si>
    <t>ABJ-2700 Advisor Level</t>
  </si>
  <si>
    <t>ABJ-2703 Advisor Level</t>
  </si>
  <si>
    <t>NPW-B Advisor Level</t>
  </si>
  <si>
    <t>WPN-B Advisor Level</t>
  </si>
  <si>
    <t>WPS-B Advisor Level</t>
  </si>
  <si>
    <t>SPW-B Advisor Level</t>
  </si>
  <si>
    <t>NW0-BN Advisor Level</t>
  </si>
  <si>
    <t>NW0-BW Advisor Level</t>
  </si>
  <si>
    <t>SW0-BS Advisor Level</t>
  </si>
  <si>
    <t>SW0-BW Advisor Level</t>
  </si>
  <si>
    <t>SW1-BS Advisor Level</t>
  </si>
  <si>
    <t>Calculated Draft</t>
  </si>
  <si>
    <t>KG Corrected EW</t>
  </si>
  <si>
    <t>KG Corrected NS</t>
  </si>
  <si>
    <t>GM Corrected EW</t>
  </si>
  <si>
    <t>GM Corrected NS</t>
  </si>
  <si>
    <t>Lightship Wt Hi</t>
  </si>
  <si>
    <t>Lightship Wt Lo</t>
  </si>
  <si>
    <t>Lightship Change Wt Hi</t>
  </si>
  <si>
    <t>Lightship Change Wt Lo</t>
  </si>
  <si>
    <t>Lightship Change VCG</t>
  </si>
  <si>
    <t>Lightship Change CG EW</t>
  </si>
  <si>
    <t>Lightship Change CG NS</t>
  </si>
  <si>
    <t>Lightship Change Mt Vert</t>
  </si>
  <si>
    <t>Lightship Change Mt EW</t>
  </si>
  <si>
    <t>Lightship Change Mt NS</t>
  </si>
  <si>
    <t>Ballast Wt Hi</t>
  </si>
  <si>
    <t>Ballast Wt Lo</t>
  </si>
  <si>
    <t>Ballast VCG</t>
  </si>
  <si>
    <t>Ballast CG EW</t>
  </si>
  <si>
    <t>Ballast CG NS</t>
  </si>
  <si>
    <t>Ballast Ttl Moment Vert</t>
  </si>
  <si>
    <t>Ballast Moment EW</t>
  </si>
  <si>
    <t>Ballast Moment NS</t>
  </si>
  <si>
    <t>Ballast FS Moment EW</t>
  </si>
  <si>
    <t>Ballast FS Moment NS</t>
  </si>
  <si>
    <t>Void Wt Hi</t>
  </si>
  <si>
    <t>Void Wt Lo</t>
  </si>
  <si>
    <t>Void VCG</t>
  </si>
  <si>
    <t>Void CG EW</t>
  </si>
  <si>
    <t>Void CG NS</t>
  </si>
  <si>
    <t>Void Ttl Moment Vert</t>
  </si>
  <si>
    <t>Void Moment EW</t>
  </si>
  <si>
    <t>Void Moment NS</t>
  </si>
  <si>
    <t>Void FS Moment EW</t>
  </si>
  <si>
    <t>Void FS Moment NS</t>
  </si>
  <si>
    <t>Cons Liquids Wt Hi</t>
  </si>
  <si>
    <t>Cons Liquids Wt Lo</t>
  </si>
  <si>
    <t>Cons Liquids VCG</t>
  </si>
  <si>
    <t>Cons Liquids CG EW</t>
  </si>
  <si>
    <t>Cons Liquids CG NS</t>
  </si>
  <si>
    <t>Cons Liquids Ttl Mt Vert</t>
  </si>
  <si>
    <t>Cons Liquids Mt EW</t>
  </si>
  <si>
    <t>Cons Liquids Mt NS</t>
  </si>
  <si>
    <t>Cons Liquids FS Mt EW</t>
  </si>
  <si>
    <t>Cons Liquids FS Mt NS</t>
  </si>
  <si>
    <t>Drill Cons Wt Hi</t>
  </si>
  <si>
    <t>Drill Cons Wt Lo</t>
  </si>
  <si>
    <t>Drill Cons VCG</t>
  </si>
  <si>
    <t>Drill Cons CG EW</t>
  </si>
  <si>
    <t>Drill Cons CG NS</t>
  </si>
  <si>
    <t>Drill Cons Ttl Mt Vert</t>
  </si>
  <si>
    <t>Drill Cons Moment EW</t>
  </si>
  <si>
    <t>Drill Cons Moment NS</t>
  </si>
  <si>
    <t>Drill Cons FS EW</t>
  </si>
  <si>
    <t>Drill Cons FS NS</t>
  </si>
  <si>
    <t>Cement Wt Hi</t>
  </si>
  <si>
    <t>Cement Wt Lo</t>
  </si>
  <si>
    <t>Cement VCG</t>
  </si>
  <si>
    <t>Cement CG EW</t>
  </si>
  <si>
    <t>Cement CG NS</t>
  </si>
  <si>
    <t>Cement Ttl Moment Vert</t>
  </si>
  <si>
    <t>Cement Moment EW</t>
  </si>
  <si>
    <t>Cement Moment NS</t>
  </si>
  <si>
    <t>Drill Rig Wt Hi</t>
  </si>
  <si>
    <t>Drill Rig Wt Lo</t>
  </si>
  <si>
    <t>Drill Rig VCG</t>
  </si>
  <si>
    <t>Drill Rig CG EW</t>
  </si>
  <si>
    <t>Drill Rig CG NS</t>
  </si>
  <si>
    <t>Drill Rig Ttl Mt Vert</t>
  </si>
  <si>
    <t>Drill Rig Moment EW</t>
  </si>
  <si>
    <t>Drill Rig Moment NS</t>
  </si>
  <si>
    <t>Platform W Wt Hi</t>
  </si>
  <si>
    <t>Platform W Wt Lo</t>
  </si>
  <si>
    <t>Platform W VCG</t>
  </si>
  <si>
    <t>Platform W CG EW</t>
  </si>
  <si>
    <t>Platform W CG NS</t>
  </si>
  <si>
    <t>Platform W Ttl Mt Vert</t>
  </si>
  <si>
    <t>Platform W Moment EW</t>
  </si>
  <si>
    <t>Platform W Moment NS</t>
  </si>
  <si>
    <t>SCRs Wt Hi</t>
  </si>
  <si>
    <t>SCRs Wt Lo</t>
  </si>
  <si>
    <t>SCRs VCG</t>
  </si>
  <si>
    <t>SCRs CG EW</t>
  </si>
  <si>
    <t>SCRs CG NS</t>
  </si>
  <si>
    <t>SCRs Ttl Moment Vert</t>
  </si>
  <si>
    <t>SCRs Moment EW</t>
  </si>
  <si>
    <t>SCRs Moment NS</t>
  </si>
  <si>
    <t>Tendons Wt Hi</t>
  </si>
  <si>
    <t>Tendons Wt Lo</t>
  </si>
  <si>
    <t>Tendons VCG</t>
  </si>
  <si>
    <t>Tendons CG EW</t>
  </si>
  <si>
    <t>Tendons CG NS</t>
  </si>
  <si>
    <t>Tendons Ttl Moment Vert</t>
  </si>
  <si>
    <t>Tendons Moment EW</t>
  </si>
  <si>
    <t>Tendons Moment NS</t>
  </si>
  <si>
    <t>Risers Wt Hi</t>
  </si>
  <si>
    <t>Risers Wt Lo</t>
  </si>
  <si>
    <t>Risers VCG</t>
  </si>
  <si>
    <t>Risers CG EW</t>
  </si>
  <si>
    <t>Risers CG NS</t>
  </si>
  <si>
    <t>Risers Ttl Moment Vert</t>
  </si>
  <si>
    <t>Risers Moment EW</t>
  </si>
  <si>
    <t>Risers Moment NS</t>
  </si>
  <si>
    <t>Total Wt Hi</t>
  </si>
  <si>
    <t>Total Wt Lo</t>
  </si>
  <si>
    <t>Total Wt VCG</t>
  </si>
  <si>
    <t>Total Wt CG EW</t>
  </si>
  <si>
    <t>Total Wt CG NS</t>
  </si>
  <si>
    <t>Total Wt FS Moment EW</t>
  </si>
  <si>
    <t>Total Wt FS Moment NS</t>
  </si>
  <si>
    <t>Columns Wt Hi</t>
  </si>
  <si>
    <t>Columns Wt Lo</t>
  </si>
  <si>
    <t>Columns VCG</t>
  </si>
  <si>
    <t>Columns CG EW</t>
  </si>
  <si>
    <t>Columns CG NS</t>
  </si>
  <si>
    <t>Columns Ttl Moment Vert</t>
  </si>
  <si>
    <t>Columns Moment EW</t>
  </si>
  <si>
    <t>Columns Moment NS</t>
  </si>
  <si>
    <t>Deck1 Wt Hi</t>
  </si>
  <si>
    <t>Deck1 Wt Lo</t>
  </si>
  <si>
    <t>Deck1 VCG</t>
  </si>
  <si>
    <t>Deck1 CG EW</t>
  </si>
  <si>
    <t>Deck1 CG NS</t>
  </si>
  <si>
    <t>Deck1 Ttl Moment Vert</t>
  </si>
  <si>
    <t>Deck1 Moment EW</t>
  </si>
  <si>
    <t>Deck1 Moment NS</t>
  </si>
  <si>
    <t>Deck2 Wt Hi</t>
  </si>
  <si>
    <t>Deck2 Wt Lo</t>
  </si>
  <si>
    <t>Deck2 VCG</t>
  </si>
  <si>
    <t>Deck2 CG EW</t>
  </si>
  <si>
    <t>Deck2 CG NS</t>
  </si>
  <si>
    <t>Deck2 Ttl Moment Vert</t>
  </si>
  <si>
    <t>Deck2 Moment EW</t>
  </si>
  <si>
    <t>Deck2 Moment NS</t>
  </si>
  <si>
    <t>Deck3 Wt Hi</t>
  </si>
  <si>
    <t>Deck3 Wt Lo</t>
  </si>
  <si>
    <t>Deck3 VCG</t>
  </si>
  <si>
    <t>Deck3 CG EW</t>
  </si>
  <si>
    <t>Deck3 CG NS</t>
  </si>
  <si>
    <t>Deck3 Ttl Moment Vert</t>
  </si>
  <si>
    <t>Deck3 Moment EW</t>
  </si>
  <si>
    <t>Deck3 Moment NS</t>
  </si>
  <si>
    <t>Deck4 Wt Hi</t>
  </si>
  <si>
    <t>Deck4 Wt Lo</t>
  </si>
  <si>
    <t>Deck4 VCG</t>
  </si>
  <si>
    <t>Deck4 CG EW</t>
  </si>
  <si>
    <t>Deck4 CG NS</t>
  </si>
  <si>
    <t>Deck4 Ttl Moment Vert</t>
  </si>
  <si>
    <t>Deck4 Moment EW</t>
  </si>
  <si>
    <t>Deck4 Moment NS</t>
  </si>
  <si>
    <t>Deck5 Wt Hi</t>
  </si>
  <si>
    <t>Deck5 Wt Lo</t>
  </si>
  <si>
    <t>Deck5 VCG</t>
  </si>
  <si>
    <t>Deck5 CG EW</t>
  </si>
  <si>
    <t>Deck5 CG NS</t>
  </si>
  <si>
    <t>Deck5 Ttl Moment Vert</t>
  </si>
  <si>
    <t>Deck5 Moment EW</t>
  </si>
  <si>
    <t>Deck5 Moment NS</t>
  </si>
  <si>
    <t>Lightship VCG</t>
  </si>
  <si>
    <t>Lightship CG EW</t>
  </si>
  <si>
    <t>Lightship CG NS</t>
  </si>
  <si>
    <t>Lightship Moment Vert</t>
  </si>
  <si>
    <t>Lightship Moment EW</t>
  </si>
  <si>
    <t>Lightship Moment NS</t>
  </si>
  <si>
    <t>VOID NE0-VS</t>
  </si>
  <si>
    <t>VOID SE0-VN</t>
  </si>
  <si>
    <t>VOID SW0-VN</t>
  </si>
  <si>
    <t>VOID NW0-VS</t>
  </si>
  <si>
    <t>VOID NE1-VS</t>
  </si>
  <si>
    <t>VOID SE1-VN</t>
  </si>
  <si>
    <t>VOID SW1-VN</t>
  </si>
  <si>
    <t>VOID NW1-VS</t>
  </si>
  <si>
    <t>VOID NE3-V</t>
  </si>
  <si>
    <t>VOID SE3-V</t>
  </si>
  <si>
    <t>VOID SW3-V</t>
  </si>
  <si>
    <t>VOID NW3-V</t>
  </si>
  <si>
    <t>VOID NE4-V</t>
  </si>
  <si>
    <t>VOID SE4-V</t>
  </si>
  <si>
    <t>VOID SW4-VE</t>
  </si>
  <si>
    <t>VOID SW4-VW</t>
  </si>
  <si>
    <t>VOID NW4-V</t>
  </si>
  <si>
    <t>MAS NE Tendon 2 Tension</t>
  </si>
  <si>
    <t>MAS SE Tendon 5 Tension</t>
  </si>
  <si>
    <t>MAS SW Tendon 8 Tension</t>
  </si>
  <si>
    <t>MAS NW Tendon 11 Tension</t>
  </si>
  <si>
    <t>MAS ABJ-2606 Level</t>
  </si>
  <si>
    <t>MAS ABJ-2607 Level</t>
  </si>
  <si>
    <t>MAS BAL-NPE Level</t>
  </si>
  <si>
    <t>MAS BAL-EPN Level</t>
  </si>
  <si>
    <t>MAS BAL-EPS Level</t>
  </si>
  <si>
    <t>MAS BAL-SPE Level</t>
  </si>
  <si>
    <t>MAS BAL-NE0-BN Level</t>
  </si>
  <si>
    <t>MAS BAL-NE0-BE Level</t>
  </si>
  <si>
    <t>MAS BAL-SE0-BE Level</t>
  </si>
  <si>
    <t>MAS BAL-SE0-BS Level</t>
  </si>
  <si>
    <t>MAS BAL-SE1-BS Level</t>
  </si>
  <si>
    <t>MAS ABJ-2700 Level</t>
  </si>
  <si>
    <t>MAS ABJ-2703 Level</t>
  </si>
  <si>
    <t>MAS BAL-NPW Level</t>
  </si>
  <si>
    <t>MAS BAL-WPN Level</t>
  </si>
  <si>
    <t>MAS BAL-WPS Level</t>
  </si>
  <si>
    <t>MAS BAL-SPW Level</t>
  </si>
  <si>
    <t>MAS BAL-NW0-BN Level</t>
  </si>
  <si>
    <t>MAS BAL-NW0-BW Level</t>
  </si>
  <si>
    <t>MAS BAL-SW0-BS Level</t>
  </si>
  <si>
    <t>MAS BAL-SW0-BW Level</t>
  </si>
  <si>
    <t>MAS BAL-SW1-BS Level</t>
  </si>
  <si>
    <t>MAS ABJ-801 Level</t>
  </si>
  <si>
    <t>Lightship Wt</t>
  </si>
  <si>
    <t>Lightship Change Wt</t>
  </si>
  <si>
    <t>Ballast Wt</t>
  </si>
  <si>
    <t>Void Wt</t>
  </si>
  <si>
    <t>Cons Liquids Wt</t>
  </si>
  <si>
    <t>Drill Cons Wt</t>
  </si>
  <si>
    <t>Cement Wt</t>
  </si>
  <si>
    <t>Drill Rig Wt</t>
  </si>
  <si>
    <t>Platform W Wt</t>
  </si>
  <si>
    <t>SCRs Wt</t>
  </si>
  <si>
    <t>Tendons Wt</t>
  </si>
  <si>
    <t>Risers Wt</t>
  </si>
  <si>
    <t>Total Wt</t>
  </si>
  <si>
    <t>Columns Wt</t>
  </si>
  <si>
    <t>Deck1 Wt</t>
  </si>
  <si>
    <t>Deck2 Wt</t>
  </si>
  <si>
    <t>Deck3 Wt</t>
  </si>
  <si>
    <t>Deck4 Wt</t>
  </si>
  <si>
    <t>Deck5 Wt</t>
  </si>
  <si>
    <t>gallons</t>
  </si>
  <si>
    <t>0</t>
  </si>
  <si>
    <t>PQ Roll</t>
  </si>
  <si>
    <t>PQ Pitch</t>
  </si>
  <si>
    <t>PQ Heave</t>
  </si>
  <si>
    <t>PQ Roll Rate</t>
  </si>
  <si>
    <t>PQ Pitch Rate</t>
  </si>
  <si>
    <t>PQ Heading Rate</t>
  </si>
  <si>
    <t>PQ Surge Acc</t>
  </si>
  <si>
    <t>PQ Sway Acc</t>
  </si>
  <si>
    <t>PQ Heave Acc</t>
  </si>
  <si>
    <t>PQ Heading</t>
  </si>
  <si>
    <t>6DOF Sensor Status</t>
  </si>
  <si>
    <t>2DOF Surge Accel</t>
  </si>
  <si>
    <t>2DOF Sway Accel</t>
  </si>
  <si>
    <t>Not Used</t>
  </si>
  <si>
    <t>2DOF Surge Accel Temp</t>
  </si>
  <si>
    <t>2DOF Sway Accel Temp</t>
  </si>
  <si>
    <t>Orion Latitude DegMin</t>
  </si>
  <si>
    <t>Orion Latitude DecMin</t>
  </si>
  <si>
    <t>Orion Latitude DecMin2</t>
  </si>
  <si>
    <t>Orion Longitude DegMin</t>
  </si>
  <si>
    <t>Orion Longitude DecMin</t>
  </si>
  <si>
    <t>Orion Longitude DecMin2</t>
  </si>
  <si>
    <t>Orion Altitude 1</t>
  </si>
  <si>
    <t>Orion Altitude 2</t>
  </si>
  <si>
    <t>Orion GPS Quality</t>
  </si>
  <si>
    <t>Orion Number of Satellites</t>
  </si>
  <si>
    <t>Fugro Number of Satellites</t>
  </si>
  <si>
    <t>Pri Wave Peak Period</t>
  </si>
  <si>
    <t>Pri Wave Peak Dir</t>
  </si>
  <si>
    <t>Riser A PT1</t>
  </si>
  <si>
    <t>Riser A PT2</t>
  </si>
  <si>
    <t>Riser A PT3</t>
  </si>
  <si>
    <t>Riser A PT4</t>
  </si>
  <si>
    <t>Riser A PT5</t>
  </si>
  <si>
    <t>Riser A PT6</t>
  </si>
  <si>
    <t>Riser A PT7</t>
  </si>
  <si>
    <t>Riser A PT8</t>
  </si>
  <si>
    <t>Riser B PT1</t>
  </si>
  <si>
    <t>Riser B PT2</t>
  </si>
  <si>
    <t>Riser B PT3</t>
  </si>
  <si>
    <t>Riser B PT4</t>
  </si>
  <si>
    <t>Riser B PT5</t>
  </si>
  <si>
    <t>Riser B PT6</t>
  </si>
  <si>
    <t>Riser B PT7</t>
  </si>
  <si>
    <t>Riser B PT8</t>
  </si>
  <si>
    <t>Riser C PT1</t>
  </si>
  <si>
    <t>Riser C PT2</t>
  </si>
  <si>
    <t>Riser C PT3</t>
  </si>
  <si>
    <t>Riser C PT4</t>
  </si>
  <si>
    <t>Riser C PT5</t>
  </si>
  <si>
    <t>Riser C PT6</t>
  </si>
  <si>
    <t>Riser C PT7</t>
  </si>
  <si>
    <t>Riser C PT8</t>
  </si>
  <si>
    <t>Riser D PT1</t>
  </si>
  <si>
    <t>Riser D PT2</t>
  </si>
  <si>
    <t>Riser D PT3</t>
  </si>
  <si>
    <t>Riser D PT4</t>
  </si>
  <si>
    <t>Riser D PT5</t>
  </si>
  <si>
    <t>Riser D PT6</t>
  </si>
  <si>
    <t>Riser D PT7</t>
  </si>
  <si>
    <t>Riser D PT8</t>
  </si>
  <si>
    <t>Riser E PT1</t>
  </si>
  <si>
    <t>Riser E PT2</t>
  </si>
  <si>
    <t>Riser E PT3</t>
  </si>
  <si>
    <t>Riser E PT4</t>
  </si>
  <si>
    <t>Riser F PT1</t>
  </si>
  <si>
    <t>Riser F PT2</t>
  </si>
  <si>
    <t>Riser F PT3</t>
  </si>
  <si>
    <t>Riser F PT4</t>
  </si>
  <si>
    <t>Riser I PT1</t>
  </si>
  <si>
    <t>Riser I PT2</t>
  </si>
  <si>
    <t>Riser I PT3</t>
  </si>
  <si>
    <t>Riser I PT4</t>
  </si>
  <si>
    <t>Riser J PT1</t>
  </si>
  <si>
    <t>Riser J PT2</t>
  </si>
  <si>
    <t>Riser J PT3</t>
  </si>
  <si>
    <t>Riser J PT4</t>
  </si>
  <si>
    <t>Riser K PT1</t>
  </si>
  <si>
    <t>Riser K PT2</t>
  </si>
  <si>
    <t>Riser K PT3</t>
  </si>
  <si>
    <t>Riser K PT4</t>
  </si>
  <si>
    <t>Riser k PT5</t>
  </si>
  <si>
    <t>Riser K PT6</t>
  </si>
  <si>
    <t>Riser K PT7</t>
  </si>
  <si>
    <t>Riser K PT8</t>
  </si>
  <si>
    <t>Riser L PT1</t>
  </si>
  <si>
    <t>Riser L PT2</t>
  </si>
  <si>
    <t>Riser L PT3</t>
  </si>
  <si>
    <t>Riser L PT4</t>
  </si>
  <si>
    <t>Riser Q PT1</t>
  </si>
  <si>
    <t>Riser Q PT2</t>
  </si>
  <si>
    <t>Riser Q PT3</t>
  </si>
  <si>
    <t>Riser Q PT4</t>
  </si>
  <si>
    <t>Riser G PT1</t>
  </si>
  <si>
    <t>Riser G PT2</t>
  </si>
  <si>
    <t>Riser G PT3</t>
  </si>
  <si>
    <t>Riser G PT4</t>
  </si>
  <si>
    <t>Riser G PT5</t>
  </si>
  <si>
    <t>Riser G PT6</t>
  </si>
  <si>
    <t>Riser G PT7</t>
  </si>
  <si>
    <t>Riser G PT8</t>
  </si>
  <si>
    <t>Riser H PT1</t>
  </si>
  <si>
    <t>Riser H PT2</t>
  </si>
  <si>
    <t>Riser H PT3</t>
  </si>
  <si>
    <t>Riser H PT4</t>
  </si>
  <si>
    <t>Riser M PT1</t>
  </si>
  <si>
    <t>Riser M PT2</t>
  </si>
  <si>
    <t>Riser M PT3</t>
  </si>
  <si>
    <t>Riser M PT4</t>
  </si>
  <si>
    <t>Riser N PT1</t>
  </si>
  <si>
    <t>Riser N PT2</t>
  </si>
  <si>
    <t>Riser N PT3</t>
  </si>
  <si>
    <t>Riser N PT4</t>
  </si>
  <si>
    <t>Riser N PT5</t>
  </si>
  <si>
    <t>Riser N PT6</t>
  </si>
  <si>
    <t>Riser N PT7</t>
  </si>
  <si>
    <t>Riser N PT8</t>
  </si>
  <si>
    <t>Riser O PT1</t>
  </si>
  <si>
    <t>Riser O PT2</t>
  </si>
  <si>
    <t>Riser O PT3</t>
  </si>
  <si>
    <t>Riser O PT4</t>
  </si>
  <si>
    <t>Riser O PT5</t>
  </si>
  <si>
    <t>Riser O PT6</t>
  </si>
  <si>
    <t>Riser O PT7</t>
  </si>
  <si>
    <t>Riser O PT8</t>
  </si>
  <si>
    <t>Riser P PT1</t>
  </si>
  <si>
    <t>Riser P PT2</t>
  </si>
  <si>
    <t>Riser P PT3</t>
  </si>
  <si>
    <t>Riser P PT4</t>
  </si>
  <si>
    <t>Riser R PT1</t>
  </si>
  <si>
    <t>Riser R PT2</t>
  </si>
  <si>
    <t>Riser R PT3</t>
  </si>
  <si>
    <t>Riser R PT4</t>
  </si>
  <si>
    <t>Riser S PT1</t>
  </si>
  <si>
    <t>Riser S PT2</t>
  </si>
  <si>
    <t>Riser S PT3</t>
  </si>
  <si>
    <t>Riser S PT4</t>
  </si>
  <si>
    <t>Riser S PT5</t>
  </si>
  <si>
    <t>Riser S PT6</t>
  </si>
  <si>
    <t>Riser S PT7</t>
  </si>
  <si>
    <t>Riser S PT8</t>
  </si>
  <si>
    <t>Riser T PT1</t>
  </si>
  <si>
    <t>Riser T PT2</t>
  </si>
  <si>
    <t>Riser T PT3</t>
  </si>
  <si>
    <t>Riser T PT4</t>
  </si>
  <si>
    <t>Riser T PT5</t>
  </si>
  <si>
    <t>Riser T PT6</t>
  </si>
  <si>
    <t>Riser T PT7</t>
  </si>
  <si>
    <t>Riser T PT8</t>
  </si>
  <si>
    <t>Riser U PT1</t>
  </si>
  <si>
    <t>Riser U PT2</t>
  </si>
  <si>
    <t>Riser U PT3</t>
  </si>
  <si>
    <t>Riser U PT4</t>
  </si>
  <si>
    <t>Riser V PT1</t>
  </si>
  <si>
    <t>Riser V PT2</t>
  </si>
  <si>
    <t>Riser V PT3</t>
  </si>
  <si>
    <t>Riser V PT4</t>
  </si>
  <si>
    <t>Riser W PT1</t>
  </si>
  <si>
    <t>Riser W PT2</t>
  </si>
  <si>
    <t>Riser W PT3</t>
  </si>
  <si>
    <t>Riser W PT4</t>
  </si>
  <si>
    <t>Riser X PT1</t>
  </si>
  <si>
    <t>Riser X PT2</t>
  </si>
  <si>
    <t>Riser X PT3</t>
  </si>
  <si>
    <t>Riser X PT4</t>
  </si>
  <si>
    <t>Temp JB4700A</t>
  </si>
  <si>
    <t>Temp JB4700B</t>
  </si>
  <si>
    <t>ILST-100B1 FWKO</t>
  </si>
  <si>
    <t>ILST-100B2 FWKO</t>
  </si>
  <si>
    <t>ILST-100B3 FWKO</t>
  </si>
  <si>
    <t>ILST-300B BOT</t>
  </si>
  <si>
    <t>ILT-100B1 FWKO</t>
  </si>
  <si>
    <t>ILT-1150A1 SMP</t>
  </si>
  <si>
    <t>ILT-1166B1 SLOP TNK</t>
  </si>
  <si>
    <t>ILT-120B1 TEST SEP</t>
  </si>
  <si>
    <t>ILT-300B1 BOT</t>
  </si>
  <si>
    <t>ILT-320B1 WOT</t>
  </si>
  <si>
    <t>LST-1007A FGC A1</t>
  </si>
  <si>
    <t>LST-100A FWKO</t>
  </si>
  <si>
    <t>LST-1016A FGC A2</t>
  </si>
  <si>
    <t>LST-1057A FGC B1</t>
  </si>
  <si>
    <t>LST-1066A FGC B2</t>
  </si>
  <si>
    <t>LST-1091A SEAL GAS</t>
  </si>
  <si>
    <t>LST-1092A SEAL GAS</t>
  </si>
  <si>
    <t>LST-1101A GLC</t>
  </si>
  <si>
    <t>LST-110A HP SEP</t>
  </si>
  <si>
    <t>LST-1110A SEAL GAS</t>
  </si>
  <si>
    <t>LST-1150A SMP CAISSON</t>
  </si>
  <si>
    <t>LST-1153A PRE SMP OIL</t>
  </si>
  <si>
    <t>LST-1166A OIL BUCKET</t>
  </si>
  <si>
    <t>LST-1166C SLOP TNK</t>
  </si>
  <si>
    <t>LST-120A TEST SEP OIL</t>
  </si>
  <si>
    <t>LST-120B TEST SEP WTR</t>
  </si>
  <si>
    <t>LST-1901A Methanol</t>
  </si>
  <si>
    <t>LST-206A PL PMP LO</t>
  </si>
  <si>
    <t>LST-2084A FG SCRUB</t>
  </si>
  <si>
    <t>LST-2086A FG FLTR</t>
  </si>
  <si>
    <t>LST-2087A FG FLTR</t>
  </si>
  <si>
    <t>LST-2170A DSL FUEL</t>
  </si>
  <si>
    <t>LST-2230A STEAM SEP</t>
  </si>
  <si>
    <t>LST-2251A MAKE-UP WTR</t>
  </si>
  <si>
    <t>LST-226A PL PMP LO</t>
  </si>
  <si>
    <t>LST-246A PL PMP LO</t>
  </si>
  <si>
    <t>LST-2491A DRILL RIG</t>
  </si>
  <si>
    <t>LST-2605A LDHI TNK</t>
  </si>
  <si>
    <t>LST-2831A Glycol</t>
  </si>
  <si>
    <t>LST-2840A GLY COND</t>
  </si>
  <si>
    <t>LST-300A BOT GAS SIDE</t>
  </si>
  <si>
    <t>LST-300C BOT GRID</t>
  </si>
  <si>
    <t>LST-320A WOT</t>
  </si>
  <si>
    <t>LST-330A DOT</t>
  </si>
  <si>
    <t>LST-410A FU</t>
  </si>
  <si>
    <t>LST-410B FU OIL</t>
  </si>
  <si>
    <t>LST-420A FU</t>
  </si>
  <si>
    <t>LST-420B FU</t>
  </si>
  <si>
    <t>LST-500A1 FLARE</t>
  </si>
  <si>
    <t>LST-500A2 FLARE</t>
  </si>
  <si>
    <t>LST-500A3 FLARE</t>
  </si>
  <si>
    <t>LST-5360A DSL TNK</t>
  </si>
  <si>
    <t>LST-600A HP CLSCNG</t>
  </si>
  <si>
    <t>LST-610A GLY CNTCR</t>
  </si>
  <si>
    <t>LST-903A VRU A1</t>
  </si>
  <si>
    <t>LST-907A VRU A1 DSCH</t>
  </si>
  <si>
    <t>LST-908A VRU A2</t>
  </si>
  <si>
    <t>LST-913A VRU A2 DSCH</t>
  </si>
  <si>
    <t>LST-920A VRU A LO</t>
  </si>
  <si>
    <t>LST-953A VRU B1</t>
  </si>
  <si>
    <t>LST-957A VRU B1 DSCH</t>
  </si>
  <si>
    <t>LST-958A VRU B2</t>
  </si>
  <si>
    <t>LST-963A VRU B2 DSCH</t>
  </si>
  <si>
    <t>LST-970A VRU B LO</t>
  </si>
  <si>
    <t>LT-1007A1 FGC A1</t>
  </si>
  <si>
    <t>LT-100A1 Freewtr</t>
  </si>
  <si>
    <t>LT-1016A1 FGC A2</t>
  </si>
  <si>
    <t>LT-1057A1 FGC B1</t>
  </si>
  <si>
    <t>LT-1066A1 FGC B2</t>
  </si>
  <si>
    <t>LT-1101A1 GLC</t>
  </si>
  <si>
    <t>LT-110A1 HP Sep</t>
  </si>
  <si>
    <t>LT-1153A1 PRE SMP OIL</t>
  </si>
  <si>
    <t>LT-1153B1 PRE SMP</t>
  </si>
  <si>
    <t>LT-1166A1 Dry Oil</t>
  </si>
  <si>
    <t>LT-120A1 Well Test</t>
  </si>
  <si>
    <t>LT-130A WB HYD</t>
  </si>
  <si>
    <t>LT-130B PT BLKG PNL</t>
  </si>
  <si>
    <t>LT-2084A1 FG SCRUB</t>
  </si>
  <si>
    <t>LT-2086A1 FG FLTR</t>
  </si>
  <si>
    <t>LT-2086B1 FG FLTR</t>
  </si>
  <si>
    <t>LT-2087A1 FG FLTR</t>
  </si>
  <si>
    <t>LT-2087B1 FG FLTR</t>
  </si>
  <si>
    <t>LT-2170A1 Diesel Fuel</t>
  </si>
  <si>
    <t>LT-2601A1 Water</t>
  </si>
  <si>
    <t>LT-2602A1 Biocide</t>
  </si>
  <si>
    <t>LT-2603A1 Asphaltn</t>
  </si>
  <si>
    <t>LT-2604A1 SCALE INH</t>
  </si>
  <si>
    <t>LT-2606A1 Sili Def</t>
  </si>
  <si>
    <t>LT-2607A1 Asphaltn</t>
  </si>
  <si>
    <t>LT-2608A1 Asphaltn</t>
  </si>
  <si>
    <t>LT-2609A1 Asphaltn</t>
  </si>
  <si>
    <t>LT-2610A1 Fluor Def</t>
  </si>
  <si>
    <t>LT-2611A1 CORR INH</t>
  </si>
  <si>
    <t>LT-2612A1 CORR INH</t>
  </si>
  <si>
    <t>LT-2613A1 Demulsifier</t>
  </si>
  <si>
    <t>LT-2721A1 Heli Fuel</t>
  </si>
  <si>
    <t>LT-2722A1 Heli Fuel</t>
  </si>
  <si>
    <t>LT-2723A1 Heli Fuel</t>
  </si>
  <si>
    <t>LT-2825A1 GLY RBL</t>
  </si>
  <si>
    <t>LT-2840A1 Separator</t>
  </si>
  <si>
    <t>LT-2840B1 GLY COND</t>
  </si>
  <si>
    <t>LT-2881A1 Pot Water</t>
  </si>
  <si>
    <t>LT-2882A1 Pot Water</t>
  </si>
  <si>
    <t>LT-2883A1 Pot Water</t>
  </si>
  <si>
    <t>LT-300A1 Oil Treater</t>
  </si>
  <si>
    <t>LT-320A1 Wet Oil</t>
  </si>
  <si>
    <t>LT-330A1 Dry Oil</t>
  </si>
  <si>
    <t>LT-410A1 Flotation</t>
  </si>
  <si>
    <t>LT-410B1  OIL OUT</t>
  </si>
  <si>
    <t>LT-420A1 WTR OVERBRD</t>
  </si>
  <si>
    <t>LT-420B1 OIL TO WOT</t>
  </si>
  <si>
    <t>LT-500A1 FLR SCRUB</t>
  </si>
  <si>
    <t>LT-5121A1 De-Watering</t>
  </si>
  <si>
    <t>LT-5160A1 Methanol</t>
  </si>
  <si>
    <t>LT-5161A1 Methanol</t>
  </si>
  <si>
    <t>LT-5221A1 De-Watering</t>
  </si>
  <si>
    <t>LT-5321A1 De-Watering</t>
  </si>
  <si>
    <t>LT-5360A1 Diesel Tnk</t>
  </si>
  <si>
    <t>LT-5421A1 De-Watering</t>
  </si>
  <si>
    <t>LT-5460A1 Drill Water</t>
  </si>
  <si>
    <t>LT-600A1 HP CLSCNG</t>
  </si>
  <si>
    <t>LT-610A1 GLY CNTCR</t>
  </si>
  <si>
    <t>LT-7101A1 SCSSV HYD</t>
  </si>
  <si>
    <t>LT-7101B1 LP HYD</t>
  </si>
  <si>
    <t>LT-7102A1 SCSSV HYD</t>
  </si>
  <si>
    <t>LT-7102B1 LP HYD</t>
  </si>
  <si>
    <t>LT-7103A1 SCSSV HYD</t>
  </si>
  <si>
    <t>LT-7103B1 LP HYD</t>
  </si>
  <si>
    <t>LT-7104A1 SCSSV HYD</t>
  </si>
  <si>
    <t>LT-7104B1 LP HYD</t>
  </si>
  <si>
    <t>LT-907A1 VRU A1 DSCH</t>
  </si>
  <si>
    <t>LT-908A1 VRU A2</t>
  </si>
  <si>
    <t>LT-913A1 VRU A2 DSCH</t>
  </si>
  <si>
    <t>LT-957A1 VRU B1 DSCH</t>
  </si>
  <si>
    <t>LT-958A1 VRU B2</t>
  </si>
  <si>
    <t>LT-963A1 VRU B2 DSCH</t>
  </si>
  <si>
    <t>LT-X4300 PNL HYD RSVR</t>
  </si>
  <si>
    <t>LT-EPNB Ballast</t>
  </si>
  <si>
    <t>LT-EPSB Ballast</t>
  </si>
  <si>
    <t>LT-NE0BNE Ballast</t>
  </si>
  <si>
    <t>LT-NE0BSW Ballast</t>
  </si>
  <si>
    <t>LT-NE1TE Ballast</t>
  </si>
  <si>
    <t>LT-NE1TN_Ballast</t>
  </si>
  <si>
    <t>LT-NE1VS Void</t>
  </si>
  <si>
    <t>LT-NE1VW Void</t>
  </si>
  <si>
    <t>LT-NE2VE Void</t>
  </si>
  <si>
    <t>LT-NE2VN Void</t>
  </si>
  <si>
    <t>LT-NE2VS Void</t>
  </si>
  <si>
    <t>LT-NE2VW Void</t>
  </si>
  <si>
    <t>LT-NEAEC Center Void</t>
  </si>
  <si>
    <t>LT-NPEB Ballast</t>
  </si>
  <si>
    <t>LT-NPWB Ballast</t>
  </si>
  <si>
    <t>LT-NW0BNW Ballast</t>
  </si>
  <si>
    <t>LT-NW0BSE Ballast</t>
  </si>
  <si>
    <t>LT-NW1TN Ballast</t>
  </si>
  <si>
    <t>LT-NW1TW Ballast</t>
  </si>
  <si>
    <t>LT-NW1VE Void</t>
  </si>
  <si>
    <t>LT-NW1VS Void</t>
  </si>
  <si>
    <t>LT-NW2VE Void</t>
  </si>
  <si>
    <t>LT-NW2VN Void</t>
  </si>
  <si>
    <t>LT-NW2VS Void</t>
  </si>
  <si>
    <t>LT-NW2VW Void</t>
  </si>
  <si>
    <t>LT-NWAEC Center Void</t>
  </si>
  <si>
    <t>LT-SE0BNW Ballast</t>
  </si>
  <si>
    <t>LT-SE0BSE Ballast</t>
  </si>
  <si>
    <t>LT-SE1TE Ballast</t>
  </si>
  <si>
    <t>LT-SE1TS Ballast</t>
  </si>
  <si>
    <t>LT-SE1VN Void</t>
  </si>
  <si>
    <t>LT-SE1VW Void</t>
  </si>
  <si>
    <t>LT-SE2VE Void</t>
  </si>
  <si>
    <t>LT-SE2VN Void</t>
  </si>
  <si>
    <t>LT-SE2VS Void</t>
  </si>
  <si>
    <t>LT-SE2VW Void</t>
  </si>
  <si>
    <t>LT-SEAEC Center Void</t>
  </si>
  <si>
    <t>LT-SPEB Ballast</t>
  </si>
  <si>
    <t>LT-SPWB Ballast</t>
  </si>
  <si>
    <t>LT-SW0BNE Ballast</t>
  </si>
  <si>
    <t>LT-SW0BSW Ballast</t>
  </si>
  <si>
    <t>LT-SW1TS Ballast</t>
  </si>
  <si>
    <t>LT-SW1TW Ballast</t>
  </si>
  <si>
    <t>LT-SW1VE Void</t>
  </si>
  <si>
    <t>LT-SW1VN Void</t>
  </si>
  <si>
    <t>LT-SW2VE Void</t>
  </si>
  <si>
    <t>LT-SW2VN Void</t>
  </si>
  <si>
    <t>LT-SW2VS Void</t>
  </si>
  <si>
    <t>LT-SW2VW Void</t>
  </si>
  <si>
    <t>LT-SWAEC Center Void</t>
  </si>
  <si>
    <t>LT-WPNB Ballast</t>
  </si>
  <si>
    <t>LT-WPSB Ballast</t>
  </si>
  <si>
    <t>DCS Watchdog Counter</t>
  </si>
  <si>
    <t>LT-EPNB Ballast Hi</t>
  </si>
  <si>
    <t>LT-EPSB Ballast Hi</t>
  </si>
  <si>
    <t>LT-NE0BNE Ballast Hi</t>
  </si>
  <si>
    <t>LT-NE0BSW Ballast Hi</t>
  </si>
  <si>
    <t>LT-NE1TE Ballast Hi</t>
  </si>
  <si>
    <t>LT-NE1TN_Ballast Hi</t>
  </si>
  <si>
    <t>LT-NPEB Ballast Hi</t>
  </si>
  <si>
    <t>LT-NPWB Ballast Hi</t>
  </si>
  <si>
    <t>LT-NW0BNW Ballast Hi</t>
  </si>
  <si>
    <t>LT-NW0BSE Ballast Hi</t>
  </si>
  <si>
    <t>LT-NW1TN Ballast Hi</t>
  </si>
  <si>
    <t>LT-NW1TW Ballast Hi</t>
  </si>
  <si>
    <t>LT-SE0BNW Ballast Hi</t>
  </si>
  <si>
    <t>LT-SE0BSE Ballast Hi</t>
  </si>
  <si>
    <t>LT-SE1TE Ballast Hi</t>
  </si>
  <si>
    <t>LT-SE1TS Ballast Hi</t>
  </si>
  <si>
    <t>LT-SPEB Ballast Hi</t>
  </si>
  <si>
    <t>LT-SPWB Ballast Hi</t>
  </si>
  <si>
    <t>LT-SW0BNE Ballast Hi</t>
  </si>
  <si>
    <t>LT-SW0BSW Ballast Hi</t>
  </si>
  <si>
    <t>LT-SW1TS Ballast Hi</t>
  </si>
  <si>
    <t>LT-SW1TW Ballast Hi</t>
  </si>
  <si>
    <t>LT-WPNB Ballast Hi</t>
  </si>
  <si>
    <t>LT-WPSB Ballast Hi</t>
  </si>
  <si>
    <t>LT-5160A1 Methanol Hi</t>
  </si>
  <si>
    <t>LT-5161A1 Methanol Hi</t>
  </si>
  <si>
    <t>LT-5360A1 Diesel Tnk Hi</t>
  </si>
  <si>
    <t>LT-5460A1 Drill Water Hi</t>
  </si>
  <si>
    <t>LT_NE1VS Void Hi</t>
  </si>
  <si>
    <t>LT_NE1VW Void Hi</t>
  </si>
  <si>
    <t>LT_NE2VE Void Hi</t>
  </si>
  <si>
    <t>LT_NE2VN Void Hi</t>
  </si>
  <si>
    <t>LT_NE2VS Void Hi</t>
  </si>
  <si>
    <t>LT_NE2VW Void Hi</t>
  </si>
  <si>
    <t>LT_NEAEC Void Hi</t>
  </si>
  <si>
    <t>LT_NW1VE Void Hi</t>
  </si>
  <si>
    <t>LT_NW1VS Void Hi</t>
  </si>
  <si>
    <t>LT_NW2VE Void Hi</t>
  </si>
  <si>
    <t>LT_NW2VN Void Hi</t>
  </si>
  <si>
    <t>LT_NW2VS Void Hi</t>
  </si>
  <si>
    <t>LT_NW2VW Void Hi</t>
  </si>
  <si>
    <t>LT_NWAEC Void Hi</t>
  </si>
  <si>
    <t>LT_SE1VN Void Hi</t>
  </si>
  <si>
    <t>LT_SE1VW Void Hi</t>
  </si>
  <si>
    <t>LT_SE2VE Void Hi</t>
  </si>
  <si>
    <t>LT_SE2VN Void Hi</t>
  </si>
  <si>
    <t>LT_SE2VS Void Hi</t>
  </si>
  <si>
    <t>LT_SE2VW Void Hi</t>
  </si>
  <si>
    <t>LT_SEAEC Void Hi</t>
  </si>
  <si>
    <t>LT_SW1VE Void Hi</t>
  </si>
  <si>
    <t>LT_SW1VN Void Hi</t>
  </si>
  <si>
    <t>LT_SW2VE Void Hi</t>
  </si>
  <si>
    <t>LT_SW2VN Void Hi</t>
  </si>
  <si>
    <t>LT_SW2VS Void Hi</t>
  </si>
  <si>
    <t>LT_SW2VW Void Hi</t>
  </si>
  <si>
    <t>LT_SWAEC Void Hi</t>
  </si>
  <si>
    <t>LT-EPNB Ballast Lo</t>
  </si>
  <si>
    <t>LT-EPSB Ballast Lo</t>
  </si>
  <si>
    <t>LT-NE0BNE Ballast Lo</t>
  </si>
  <si>
    <t>LT-NE0BSW Ballast Lo</t>
  </si>
  <si>
    <t>LT-NE1TE Ballast Lo</t>
  </si>
  <si>
    <t>LT-NE1TN_Ballast Lo</t>
  </si>
  <si>
    <t>LT-NPEB Ballast Lo</t>
  </si>
  <si>
    <t>LT-NPWB Ballast Lo</t>
  </si>
  <si>
    <t>LT-NW0BNW Ballast Lo</t>
  </si>
  <si>
    <t>LT-NW0BSE Ballast Lo</t>
  </si>
  <si>
    <t>LT-NW1TN Ballast Lo</t>
  </si>
  <si>
    <t>LT-NW1TW Ballast Lo</t>
  </si>
  <si>
    <t>LT-SE0BNW Ballast Lo</t>
  </si>
  <si>
    <t>LT-SE0BSE Ballast Lo</t>
  </si>
  <si>
    <t>LT-SE1TE Ballast Lo</t>
  </si>
  <si>
    <t>LT-SE1TS Ballast Lo</t>
  </si>
  <si>
    <t>LT-SPEB Ballast Lo</t>
  </si>
  <si>
    <t>LT-SPWB Ballast Lo</t>
  </si>
  <si>
    <t>LT-SW0BNE Ballast Lo</t>
  </si>
  <si>
    <t>LT-SW0BSW Ballast Lo</t>
  </si>
  <si>
    <t>LT-SW1TS Ballast Lo</t>
  </si>
  <si>
    <t>LT-SW1TW Ballast Lo</t>
  </si>
  <si>
    <t>LT-WPNB Ballast Lo</t>
  </si>
  <si>
    <t>LT-WPSB Ballast Lo</t>
  </si>
  <si>
    <t>LT-5160A1 Methanol Lo</t>
  </si>
  <si>
    <t>LT-5161A1 Methanol Lo</t>
  </si>
  <si>
    <t>LT-5360A1 Diesel Tnk Lo</t>
  </si>
  <si>
    <t>LT-5460A1 Drill Water Lo</t>
  </si>
  <si>
    <t>LT_NE1VS Void Lo</t>
  </si>
  <si>
    <t>LT_NE1VW Void Lo</t>
  </si>
  <si>
    <t>LT_NE2VE Void Lo</t>
  </si>
  <si>
    <t>LT_NE2VN Void Lo</t>
  </si>
  <si>
    <t>LT_NE2VS Void Lo</t>
  </si>
  <si>
    <t>LT_NE2VW Void Lo</t>
  </si>
  <si>
    <t>LT_NEAEC Void Lo</t>
  </si>
  <si>
    <t>LT_NW1VE Void Lo</t>
  </si>
  <si>
    <t>LT_NW1VS Void Lo</t>
  </si>
  <si>
    <t>LT_NW2VE Void Lo</t>
  </si>
  <si>
    <t>LT_NW2VN Void Lo</t>
  </si>
  <si>
    <t>LT_NW2VS Void Lo</t>
  </si>
  <si>
    <t>LT_NW2VW Void Lo</t>
  </si>
  <si>
    <t>LT_NWAEC Void Lo</t>
  </si>
  <si>
    <t>LT_SE1VN Void Lo</t>
  </si>
  <si>
    <t>LT_SE1VW Void Lo</t>
  </si>
  <si>
    <t>LT_SE2VE Void Lo</t>
  </si>
  <si>
    <t>LT_SE2VN Void Lo</t>
  </si>
  <si>
    <t>LT_SE2VS Void Lo</t>
  </si>
  <si>
    <t>LT_SE2VW Void Lo</t>
  </si>
  <si>
    <t>LT_SEAEC Void Lo</t>
  </si>
  <si>
    <t>LT_SW1VE Void Lo</t>
  </si>
  <si>
    <t>LT_SW1VN Void Lo</t>
  </si>
  <si>
    <t>LT_SW2VE Void Lo</t>
  </si>
  <si>
    <t>LT_SW2VN Void Lo</t>
  </si>
  <si>
    <t>LT_SW2VS Void Lo</t>
  </si>
  <si>
    <t>LT_SW2VW Void Lo</t>
  </si>
  <si>
    <t>LT_SWAEC Void Lo</t>
  </si>
  <si>
    <t>LT-EPNB Ballast Hlth</t>
  </si>
  <si>
    <t>LT-EPSB Ballast Hlth</t>
  </si>
  <si>
    <t>LT-NE0BNE Ballast Hlth</t>
  </si>
  <si>
    <t>LT-NE0BSW Ballast Hlth</t>
  </si>
  <si>
    <t>LT-NE1TE Ballast Hlth</t>
  </si>
  <si>
    <t>LT-NE1TN_Ballast Hlth</t>
  </si>
  <si>
    <t>LT-NE1VS Void Hlth</t>
  </si>
  <si>
    <t>LT-NE1VW Void Hlth</t>
  </si>
  <si>
    <t>LT-NE2VE Void Hlth</t>
  </si>
  <si>
    <t>LT-NE2VN Void Hlth</t>
  </si>
  <si>
    <t>LT-NE2VS Void Hlth</t>
  </si>
  <si>
    <t>LT-NE2VW Void Hlth</t>
  </si>
  <si>
    <t>LT-NEAEC Center Void Hlth</t>
  </si>
  <si>
    <t>LT-NPEB Ballast Hlth</t>
  </si>
  <si>
    <t>LT-NPWB Ballast Hlth</t>
  </si>
  <si>
    <t>LT-NW0BNW Ballast Hlth</t>
  </si>
  <si>
    <t>LT-NW0BSE Ballast Hlth</t>
  </si>
  <si>
    <t>LT-NW1TN Ballast Hlth</t>
  </si>
  <si>
    <t>LT-NW1TW Ballast Hlth</t>
  </si>
  <si>
    <t>LT-NW1VE Void Hlth</t>
  </si>
  <si>
    <t>LT-NW1VS Void Hlth</t>
  </si>
  <si>
    <t>LT-NW2VE Void Hlth</t>
  </si>
  <si>
    <t>LT-NW2VN Void Hlth</t>
  </si>
  <si>
    <t>LT-NW2VS Void Hlth</t>
  </si>
  <si>
    <t>LT-NW2VW Void Hlth</t>
  </si>
  <si>
    <t>LT-NWAEC Center Void Hlth</t>
  </si>
  <si>
    <t>LT-SE0BNW Ballast Hlth</t>
  </si>
  <si>
    <t>LT-SE0BSE Ballast Hlth</t>
  </si>
  <si>
    <t>LT-SE1TE Ballast Hlth</t>
  </si>
  <si>
    <t>LT-SE1TS Ballast Hlth</t>
  </si>
  <si>
    <t>LT-SE1VN Void Hlth</t>
  </si>
  <si>
    <t>LT-SE1VW Void Hlth</t>
  </si>
  <si>
    <t>LT-SE2VE Void Hlth</t>
  </si>
  <si>
    <t>LT-SE2VN Void Hlth</t>
  </si>
  <si>
    <t>LT-SE2VS Void Hlth</t>
  </si>
  <si>
    <t>LT-SE2VW Void Hlth</t>
  </si>
  <si>
    <t>LT-SEAEC Center Void Hlth</t>
  </si>
  <si>
    <t>LT-SPEB Ballast Hlth</t>
  </si>
  <si>
    <t>LT-SPWB Ballast Hlth</t>
  </si>
  <si>
    <t>LT-SW0BNE Ballast Hlth</t>
  </si>
  <si>
    <t>LT-SW0BSW Ballast Hlth</t>
  </si>
  <si>
    <t>LT-SW1TS Ballast Hlth</t>
  </si>
  <si>
    <t>LT-SW1TW Ballast Hlth</t>
  </si>
  <si>
    <t>LT-SW1VE Void Hlth</t>
  </si>
  <si>
    <t>LT-SW1VN Void Hlth</t>
  </si>
  <si>
    <t>LT-SW2VE Void Hlth</t>
  </si>
  <si>
    <t>LT-SW2VN Void Hlth</t>
  </si>
  <si>
    <t>LT-SW2VS Void Hlth</t>
  </si>
  <si>
    <t>LT-SW2VW Void Hlth</t>
  </si>
  <si>
    <t>LT-SWAEC Center Void Hlth</t>
  </si>
  <si>
    <t>LT-WPNB Ballast Hlth</t>
  </si>
  <si>
    <t>LT-WPSB Ballast Hlth</t>
  </si>
  <si>
    <t>LT-5160A1 Methanol Hlth</t>
  </si>
  <si>
    <t>LT-5161A1 Methanol Hlth</t>
  </si>
  <si>
    <t>LT-5360A1 Diesel Tnk Hlth</t>
  </si>
  <si>
    <t>LT-5460A1 Drill Water Hlth</t>
  </si>
  <si>
    <t>MAWS Cloud Height</t>
  </si>
  <si>
    <t>Sky Condition 1</t>
  </si>
  <si>
    <t>Cloud Ht 2</t>
  </si>
  <si>
    <t>Sky Condition 2</t>
  </si>
  <si>
    <t>Cloud Ht 3</t>
  </si>
  <si>
    <t>Sky Condition 3</t>
  </si>
  <si>
    <t>MAWS Visibility</t>
  </si>
  <si>
    <t>Rain Last Hour</t>
  </si>
  <si>
    <t>MAWS Air Temperature</t>
  </si>
  <si>
    <t>Dew Point</t>
  </si>
  <si>
    <t>MAWSA Raw Wind Dir</t>
  </si>
  <si>
    <t>Wind Dir Mag 1</t>
  </si>
  <si>
    <t>MAWSA Raw Wind Spd</t>
  </si>
  <si>
    <t>Wind Spd Max 1</t>
  </si>
  <si>
    <t>MAWSB Raw Wind Dir</t>
  </si>
  <si>
    <t>Wind Dir Mag 2</t>
  </si>
  <si>
    <t>MAWSB Raw Wind Spd</t>
  </si>
  <si>
    <t>Wind Spd Max 2</t>
  </si>
  <si>
    <t>MAWS Baro Pressure</t>
  </si>
  <si>
    <t>Density Alt</t>
  </si>
  <si>
    <t>Altimeter</t>
  </si>
  <si>
    <t>Present Weather</t>
  </si>
  <si>
    <t>VADCP Current Speed</t>
  </si>
  <si>
    <t>VADCP Current Direction</t>
  </si>
  <si>
    <t>VADCP Water Temp</t>
  </si>
  <si>
    <t>Activity Code</t>
  </si>
  <si>
    <t>Depth Bit</t>
  </si>
  <si>
    <t>Rate of Penetration</t>
  </si>
  <si>
    <t>Hookload</t>
  </si>
  <si>
    <t>Weight on Bit</t>
  </si>
  <si>
    <t>Rotary Torque</t>
  </si>
  <si>
    <t>Rotary Speed</t>
  </si>
  <si>
    <t>Mud Weight Out</t>
  </si>
  <si>
    <t>Mud Weight In</t>
  </si>
  <si>
    <t>Max DLS Near Keel</t>
  </si>
  <si>
    <t>Max DLS Near Stressjoint</t>
  </si>
  <si>
    <t>RSM Error Code</t>
  </si>
  <si>
    <t>Riser Wear Error Code</t>
  </si>
  <si>
    <t>Max Riser Wear</t>
  </si>
  <si>
    <t>Max Riser Wear Rate</t>
  </si>
  <si>
    <t>Keel Riser Wear</t>
  </si>
  <si>
    <t>Keel Riser Wear Rate</t>
  </si>
  <si>
    <t>Stressjnt Riser Wear</t>
  </si>
  <si>
    <t>Stressjnt Riser wear Rate</t>
  </si>
  <si>
    <t>POW Raw Wind Dir</t>
  </si>
  <si>
    <t>POW Raw Wind Spd</t>
  </si>
  <si>
    <t>POW Enc Heading</t>
  </si>
  <si>
    <t>PRO Raw Wind Dir</t>
  </si>
  <si>
    <t>PRO Raw Wind Spd</t>
  </si>
  <si>
    <t>PRO Enc Heading</t>
  </si>
  <si>
    <t>DRL Raw Wind Dir</t>
  </si>
  <si>
    <t>DRL Raw Wind Spd</t>
  </si>
  <si>
    <t>DRL Enc Heading</t>
  </si>
  <si>
    <t>MIS Baro Pressure</t>
  </si>
  <si>
    <t>Tendon Bending 1</t>
  </si>
  <si>
    <t>Tendon Tension 1</t>
  </si>
  <si>
    <t>Tendon Status 1</t>
  </si>
  <si>
    <t>Tendon Angle 1</t>
  </si>
  <si>
    <t>Tendon Bending 4</t>
  </si>
  <si>
    <t>Tendon Tension 4</t>
  </si>
  <si>
    <t>Tendon Status 4</t>
  </si>
  <si>
    <t>Tendon Angle 4</t>
  </si>
  <si>
    <t>Tendon Bending 5</t>
  </si>
  <si>
    <t>Tendon Tension 5</t>
  </si>
  <si>
    <t>Tendon Status 5</t>
  </si>
  <si>
    <t>Tendon Angle 5</t>
  </si>
  <si>
    <t>Tendon Bending 8</t>
  </si>
  <si>
    <t>Tendon Tension 8</t>
  </si>
  <si>
    <t>Tendon Status 8</t>
  </si>
  <si>
    <t>Tendon Angle 8</t>
  </si>
  <si>
    <t>Tendon Bending 9</t>
  </si>
  <si>
    <t>Tendon Tension 9</t>
  </si>
  <si>
    <t>Tendon Status 9</t>
  </si>
  <si>
    <t>Tendon Angle 9</t>
  </si>
  <si>
    <t>Tendon Bending 12</t>
  </si>
  <si>
    <t>Tendon Tension 12</t>
  </si>
  <si>
    <t>Tendon Status 12</t>
  </si>
  <si>
    <t>Tendon Angle 12</t>
  </si>
  <si>
    <t>Tendon Bending 13</t>
  </si>
  <si>
    <t>Tendon Tension 13</t>
  </si>
  <si>
    <t>Tendon Status 13</t>
  </si>
  <si>
    <t>Tendon Angle 13</t>
  </si>
  <si>
    <t>Tendon Bending 16</t>
  </si>
  <si>
    <t>Tendon Tension 16</t>
  </si>
  <si>
    <t>Tendon Status 16</t>
  </si>
  <si>
    <t>Tendon Angle 16</t>
  </si>
  <si>
    <t>Apparent Tendon 13</t>
  </si>
  <si>
    <t>Apparent Tendon 14</t>
  </si>
  <si>
    <t>Apparent Tendon 15</t>
  </si>
  <si>
    <t>Apparent Tendon 16</t>
  </si>
  <si>
    <t>EPN-B</t>
  </si>
  <si>
    <t>EPS-B</t>
  </si>
  <si>
    <t>NE0-BNE</t>
  </si>
  <si>
    <t>NE0-BSW</t>
  </si>
  <si>
    <t>NPE-B</t>
  </si>
  <si>
    <t>NPW-B</t>
  </si>
  <si>
    <t>NW0-BNW</t>
  </si>
  <si>
    <t>NW0-BSE</t>
  </si>
  <si>
    <t>Rig Location</t>
  </si>
  <si>
    <t>SE0-BNW</t>
  </si>
  <si>
    <t>SE0-BSE</t>
  </si>
  <si>
    <t>SPE-B</t>
  </si>
  <si>
    <t>SPW-B</t>
  </si>
  <si>
    <t>SW0-BNE</t>
  </si>
  <si>
    <t>SW0-BSW</t>
  </si>
  <si>
    <t>Target Tendon 13</t>
  </si>
  <si>
    <t>Target Tendon 14</t>
  </si>
  <si>
    <t>Target Tendon 15</t>
  </si>
  <si>
    <t>Target Tendon 16</t>
  </si>
  <si>
    <t>WPN-B</t>
  </si>
  <si>
    <t>WPS-B</t>
  </si>
  <si>
    <t>DECK SURVEY Weight HI</t>
  </si>
  <si>
    <t>DECK SURVEY Weight LO</t>
  </si>
  <si>
    <t>DECK SURVEY VCG PV</t>
  </si>
  <si>
    <t>DECK SURVEY CG EW PV</t>
  </si>
  <si>
    <t>DECK SURVEY CG NS PV</t>
  </si>
  <si>
    <t>DECK SURVEY VMOM PV</t>
  </si>
  <si>
    <t>DECK SURVEY EW MOM PV</t>
  </si>
  <si>
    <t>DECK SURVEY NS MOM PV</t>
  </si>
  <si>
    <t>BAL Weight HI</t>
  </si>
  <si>
    <t>BAL Weight LO</t>
  </si>
  <si>
    <t>BAL VCG PV</t>
  </si>
  <si>
    <t>BAL CG EW PV</t>
  </si>
  <si>
    <t>BAL CG NS PV</t>
  </si>
  <si>
    <t>BAL VMOM PV</t>
  </si>
  <si>
    <t>BAL EW MOM PV</t>
  </si>
  <si>
    <t>BAL NS MOM PV</t>
  </si>
  <si>
    <t>BAL EW FS MOM PV</t>
  </si>
  <si>
    <t>BAL NS FS MOM PV</t>
  </si>
  <si>
    <t>VOID Weight HI</t>
  </si>
  <si>
    <t>VOID Weight LO</t>
  </si>
  <si>
    <t>VOID VCG PV</t>
  </si>
  <si>
    <t>VOID CG EW PV</t>
  </si>
  <si>
    <t>VOID CG NS PV</t>
  </si>
  <si>
    <t>VOID VMOM PV</t>
  </si>
  <si>
    <t>VOID EW MOM PV</t>
  </si>
  <si>
    <t>VOID NS MOM PV</t>
  </si>
  <si>
    <t>VOID EW FS MOM PV</t>
  </si>
  <si>
    <t>VOID NS FS MOM PV</t>
  </si>
  <si>
    <t>HULL FLUIDS Weight HI</t>
  </si>
  <si>
    <t>HULL FLUIDS Weight LO</t>
  </si>
  <si>
    <t>HULL FLUIDS VCG PV</t>
  </si>
  <si>
    <t>HULL FLUIDS CG EW PV</t>
  </si>
  <si>
    <t>HULL FLUIDS CG NS PV</t>
  </si>
  <si>
    <t>HULL FLUIDS VMOM PV</t>
  </si>
  <si>
    <t>HULL FLUIDS EW MOM PV</t>
  </si>
  <si>
    <t>HULL FLUIDS NS MOM PV</t>
  </si>
  <si>
    <t>HULL FLUIDS EW FS MOM PV</t>
  </si>
  <si>
    <t>HULL FLUIDS NS FS MOM PV</t>
  </si>
  <si>
    <t>DRILL TANKS Weight HI</t>
  </si>
  <si>
    <t>DRILL TANKS Weight LO</t>
  </si>
  <si>
    <t>DRILL TANKS VCG PV</t>
  </si>
  <si>
    <t>DRILL TANKS CG EW PV</t>
  </si>
  <si>
    <t>DRILL TANKS CG NS PV</t>
  </si>
  <si>
    <t>DRILL TANKS VMOM PV</t>
  </si>
  <si>
    <t>DRILL TANKS EW MOM PV</t>
  </si>
  <si>
    <t>DRILL TANKS NS MOM PV</t>
  </si>
  <si>
    <t>DRILL TANKS EW FS MOM PV</t>
  </si>
  <si>
    <t>DRILL TANKS NS FS MOM PV</t>
  </si>
  <si>
    <t>LSMOD Weight HI</t>
  </si>
  <si>
    <t>LSMOD Weight LO</t>
  </si>
  <si>
    <t>LSMOD VCG PV</t>
  </si>
  <si>
    <t>LSMOD CG EW PV</t>
  </si>
  <si>
    <t>LSMOD CG NS PV</t>
  </si>
  <si>
    <t>LSMOD VMOM PV</t>
  </si>
  <si>
    <t>LSMOD EW MOM PV</t>
  </si>
  <si>
    <t>LSMOD NS MOM PV</t>
  </si>
  <si>
    <t>DRILL LOAD Weight HI</t>
  </si>
  <si>
    <t>DRILL LOAD Weight LO</t>
  </si>
  <si>
    <t>DRILL LOAD VCG PV</t>
  </si>
  <si>
    <t>DRILL LOAD CG EW PV</t>
  </si>
  <si>
    <t>DRILL LOAD CG NS PV</t>
  </si>
  <si>
    <t>DRILL LOAD VMOM PV</t>
  </si>
  <si>
    <t>DRILL LOAD EW MOM PV</t>
  </si>
  <si>
    <t>DRILL LOAD NS MOM PV</t>
  </si>
  <si>
    <t>LIVE LOAD Weight HI</t>
  </si>
  <si>
    <t>LIVE LOAD Weight LO</t>
  </si>
  <si>
    <t>LIVE LOAD VCG PV</t>
  </si>
  <si>
    <t>LIVE LOAD CG EW PV</t>
  </si>
  <si>
    <t>LIVE LOAD CG NS PV</t>
  </si>
  <si>
    <t>LIVE LOAD VMOM PV</t>
  </si>
  <si>
    <t>LIVE LOAD EW MOM PV</t>
  </si>
  <si>
    <t>LIVE LOAD NS MOM PV</t>
  </si>
  <si>
    <t>SCR Weight HI</t>
  </si>
  <si>
    <t>SCR Weight LO</t>
  </si>
  <si>
    <t>SCR VCG PV</t>
  </si>
  <si>
    <t>SCR CG EW PV</t>
  </si>
  <si>
    <t>SCR CG NS PV</t>
  </si>
  <si>
    <t>SCR VMOM PV</t>
  </si>
  <si>
    <t>SCR EW MOM PV</t>
  </si>
  <si>
    <t>SCR NS MOM PV</t>
  </si>
  <si>
    <t>BIAS LINE Weight HI</t>
  </si>
  <si>
    <t>BIAS LINE Weight LO</t>
  </si>
  <si>
    <t>BIAS LINE VCG PV</t>
  </si>
  <si>
    <t>BIAS LINE CG EW PV</t>
  </si>
  <si>
    <t>BIAS LINE CG NS PV</t>
  </si>
  <si>
    <t>BIAS LINE VMOM PV</t>
  </si>
  <si>
    <t>BIAS LINE EW MOM PV</t>
  </si>
  <si>
    <t>BIAS LINE NS MOM PV</t>
  </si>
  <si>
    <t>TENDON Weight HI</t>
  </si>
  <si>
    <t>TENDON Weight LO</t>
  </si>
  <si>
    <t>TENDON VCG PV</t>
  </si>
  <si>
    <t>TENDON CG EW PV</t>
  </si>
  <si>
    <t>TENDON CG NS PV</t>
  </si>
  <si>
    <t>TENDON VMOM PV</t>
  </si>
  <si>
    <t>TENDON EW MOM PV</t>
  </si>
  <si>
    <t>TENDON NS MOM PV</t>
  </si>
  <si>
    <t>TTR Weight HI</t>
  </si>
  <si>
    <t>TTR Weight LO</t>
  </si>
  <si>
    <t>TTR VCG PV</t>
  </si>
  <si>
    <t>TTR CG EW PV</t>
  </si>
  <si>
    <t>TTR CG NS PV</t>
  </si>
  <si>
    <t>TTR VMOM PV</t>
  </si>
  <si>
    <t>TTR EW MOM PV</t>
  </si>
  <si>
    <t>TTR NS MOM PV</t>
  </si>
  <si>
    <t>KG Corrected EW PV</t>
  </si>
  <si>
    <t>KG Corrected NS PV</t>
  </si>
  <si>
    <t>GM Corrected EW PV</t>
  </si>
  <si>
    <t>GM Corrected NS PV</t>
  </si>
  <si>
    <t>Overall Operational Status</t>
  </si>
  <si>
    <t>Overall System Status</t>
  </si>
  <si>
    <t>PRO Wireless Wind Dir</t>
  </si>
  <si>
    <t>PRO Wireless Wind Spd</t>
  </si>
  <si>
    <t>PRO Wireless Enc Heading</t>
  </si>
  <si>
    <t>DRL Wireless Wind Dir</t>
  </si>
  <si>
    <t>DRL Wireless Wind Spd</t>
  </si>
  <si>
    <t>DRL Wireless Enc Heading</t>
  </si>
  <si>
    <t>POW Wireless Wind Dir</t>
  </si>
  <si>
    <t>POW Wireless Wind Spd</t>
  </si>
  <si>
    <t>POW Wireless Enc Heading</t>
  </si>
  <si>
    <t>POW Wind Spd</t>
  </si>
  <si>
    <t>POW True Wind Dir</t>
  </si>
  <si>
    <t>POW North Wind Spd</t>
  </si>
  <si>
    <t>POW East Wind Spd</t>
  </si>
  <si>
    <t>POW 3sec Wind Spd</t>
  </si>
  <si>
    <t>POW 3sec Wind Dir</t>
  </si>
  <si>
    <t>POW 1min Wind Spd</t>
  </si>
  <si>
    <t>POW 1min Wind Dir</t>
  </si>
  <si>
    <t>POW 1hr Wind Spd</t>
  </si>
  <si>
    <t>POW 1hr Wind Dir</t>
  </si>
  <si>
    <t>PRO Wind Spd</t>
  </si>
  <si>
    <t>PRO True Wind Dir</t>
  </si>
  <si>
    <t>PRO North Wind Spd</t>
  </si>
  <si>
    <t>PRO East Wind Spd</t>
  </si>
  <si>
    <t>PRO 3sec Wind Spd</t>
  </si>
  <si>
    <t>PRO 3sec Wind Dir</t>
  </si>
  <si>
    <t>PRO 1min Wind Spd</t>
  </si>
  <si>
    <t>PRO 1min Wind Dir</t>
  </si>
  <si>
    <t>PRO 1hr Wind Spd</t>
  </si>
  <si>
    <t>PRO 1hr Wind Dir</t>
  </si>
  <si>
    <t>DRL Wind Spd</t>
  </si>
  <si>
    <t>DRL True Wind Dir</t>
  </si>
  <si>
    <t>DRL North Wind Spd</t>
  </si>
  <si>
    <t>DRL East Wind Spd</t>
  </si>
  <si>
    <t>DRL 3sec Wind Spd</t>
  </si>
  <si>
    <t>DRL 3sec Wind Dir</t>
  </si>
  <si>
    <t>DRL 1min Wind Spd</t>
  </si>
  <si>
    <t>DRL 1min Wind Dir</t>
  </si>
  <si>
    <t>DRL 1hr Wind Spd</t>
  </si>
  <si>
    <t>DRL 1hr Wind Dir</t>
  </si>
  <si>
    <t>MAS True Wind Dir</t>
  </si>
  <si>
    <t>MAS North Wind Spd</t>
  </si>
  <si>
    <t>MAS East Wind Spd</t>
  </si>
  <si>
    <t>MAS 3sec Wind Spd</t>
  </si>
  <si>
    <t>MAS 3sec Wind Dir</t>
  </si>
  <si>
    <t>MAS 1min Wind Spd</t>
  </si>
  <si>
    <t>MAS 1min Wind Dir</t>
  </si>
  <si>
    <t>MAS 1hr Wind Spd</t>
  </si>
  <si>
    <t>MAS 1hr Wind Dir</t>
  </si>
  <si>
    <t>MAS Sensor Mask</t>
  </si>
  <si>
    <t>Fugro PQ UTM North</t>
  </si>
  <si>
    <t>Fugro PQ UTM East</t>
  </si>
  <si>
    <t>Orion GPS Lat</t>
  </si>
  <si>
    <t>Orion GPS Lon</t>
  </si>
  <si>
    <t>Orion GPS Altitude</t>
  </si>
  <si>
    <t>Orion GPS Northings</t>
  </si>
  <si>
    <t>Orion GPS Eastings</t>
  </si>
  <si>
    <t>Orion PQ Northings</t>
  </si>
  <si>
    <t>Orion PQ Eastings</t>
  </si>
  <si>
    <t>Orion PQ Offset</t>
  </si>
  <si>
    <t>Orion PQ Offset Dir</t>
  </si>
  <si>
    <t>Orion PQ Northings AVG</t>
  </si>
  <si>
    <t>Orion PQ Eastings AVG</t>
  </si>
  <si>
    <t>Orion PQ UTM North</t>
  </si>
  <si>
    <t>Orion PQ UTM East</t>
  </si>
  <si>
    <t>Combo GPS Lat</t>
  </si>
  <si>
    <t>Combo GPS Lon</t>
  </si>
  <si>
    <t>Combo GPS Altitude</t>
  </si>
  <si>
    <t>Combo PQ Northings</t>
  </si>
  <si>
    <t>Combo PQ Eastings</t>
  </si>
  <si>
    <t>Combo PQ Offset</t>
  </si>
  <si>
    <t>Combo PQ Offset Dir</t>
  </si>
  <si>
    <t>Combo PQ Northings Avg</t>
  </si>
  <si>
    <t>Combo PQ Eastings Avg</t>
  </si>
  <si>
    <t>Combo GPS Quality</t>
  </si>
  <si>
    <t>Combo No of Satellites</t>
  </si>
  <si>
    <t>Combo PQ Northings WC</t>
  </si>
  <si>
    <t>Combo PQ Eastings WC</t>
  </si>
  <si>
    <t>Combo PQ Offset WC</t>
  </si>
  <si>
    <t>Combo PQ Bearing WC</t>
  </si>
  <si>
    <t>Combo PQ UTM North</t>
  </si>
  <si>
    <t>Combo PQ UTM East</t>
  </si>
  <si>
    <t>2DOF Trim</t>
  </si>
  <si>
    <t>2DOF List</t>
  </si>
  <si>
    <t>PQ List</t>
  </si>
  <si>
    <t>PQ Trim</t>
  </si>
  <si>
    <t>PQ Roll RMS</t>
  </si>
  <si>
    <t>PQ Pitch RMS</t>
  </si>
  <si>
    <t>PQ Tilt</t>
  </si>
  <si>
    <t>PQ Tilt Dir</t>
  </si>
  <si>
    <t>PQ Surge Acc RMS</t>
  </si>
  <si>
    <t>PQ Sway Acc RMS</t>
  </si>
  <si>
    <t>PQ Heave Acc RMS</t>
  </si>
  <si>
    <t>PQ Deck Acc RMS</t>
  </si>
  <si>
    <t>PQ List 5min</t>
  </si>
  <si>
    <t>PQ Trim 5min</t>
  </si>
  <si>
    <t>PQ Roll RMS 5min</t>
  </si>
  <si>
    <t>PQ Pitch RMS 5min</t>
  </si>
  <si>
    <t>MIS Watchdog</t>
  </si>
  <si>
    <t>MAWS Air Temperature Avg</t>
  </si>
  <si>
    <t>MAWS Baro Pressure Avg</t>
  </si>
  <si>
    <t>MAWS Cloud Height Avg</t>
  </si>
  <si>
    <t>MAWS Visibility Avg</t>
  </si>
  <si>
    <t>Riser A Load PT1</t>
  </si>
  <si>
    <t>Riser A Load PT2</t>
  </si>
  <si>
    <t>Riser A Load PT3</t>
  </si>
  <si>
    <t>Riser A Load PT4</t>
  </si>
  <si>
    <t>Riser A Load PT5</t>
  </si>
  <si>
    <t>Riser A Load PT6</t>
  </si>
  <si>
    <t>Riser A Load PT7</t>
  </si>
  <si>
    <t>Riser A Load PT8</t>
  </si>
  <si>
    <t>Riser A PT1 Diff</t>
  </si>
  <si>
    <t>Riser A PT2 Diff</t>
  </si>
  <si>
    <t>Riser A PT3 Diff</t>
  </si>
  <si>
    <t>Riser A PT4 Diff</t>
  </si>
  <si>
    <t>Riser A PT5 Diff</t>
  </si>
  <si>
    <t>Riser A PT6 Diff</t>
  </si>
  <si>
    <t>Riser A PT7 Diff</t>
  </si>
  <si>
    <t>Riser A PT8 Diff</t>
  </si>
  <si>
    <t>Riser A Tension</t>
  </si>
  <si>
    <t>Riser B Load PT1</t>
  </si>
  <si>
    <t>Riser B Load PT2</t>
  </si>
  <si>
    <t>Riser B Load PT3</t>
  </si>
  <si>
    <t>Riser B Load PT4</t>
  </si>
  <si>
    <t>Riser B Load PT5</t>
  </si>
  <si>
    <t>Riser B Load PT6</t>
  </si>
  <si>
    <t>Riser B Load PT7</t>
  </si>
  <si>
    <t>Riser B Load PT8</t>
  </si>
  <si>
    <t>Riser B PT1 Diff</t>
  </si>
  <si>
    <t>Riser B PT2 Diff</t>
  </si>
  <si>
    <t>Riser B PT3 Diff</t>
  </si>
  <si>
    <t>Riser B PT4 Diff</t>
  </si>
  <si>
    <t>Riser B PT5 Diff</t>
  </si>
  <si>
    <t>Riser B PT6 Diff</t>
  </si>
  <si>
    <t>Riser B PT7 Diff</t>
  </si>
  <si>
    <t>Riser B PT8 Diff</t>
  </si>
  <si>
    <t>Riser B Tension</t>
  </si>
  <si>
    <t>Riser C Load PT1</t>
  </si>
  <si>
    <t>Riser C Load PT2</t>
  </si>
  <si>
    <t>Riser C Load PT3</t>
  </si>
  <si>
    <t>Riser C Load PT4</t>
  </si>
  <si>
    <t>Riser C Load PT5</t>
  </si>
  <si>
    <t>Riser C Load PT6</t>
  </si>
  <si>
    <t>Riser C Load PT7</t>
  </si>
  <si>
    <t>Riser C Load PT8</t>
  </si>
  <si>
    <t>Riser C PT1 Diff</t>
  </si>
  <si>
    <t>Riser C PT2 Diff</t>
  </si>
  <si>
    <t>Riser C PT3 Diff</t>
  </si>
  <si>
    <t>Riser C PT4 Diff</t>
  </si>
  <si>
    <t>Riser C PT5 Diff</t>
  </si>
  <si>
    <t>Riser C PT6 Diff</t>
  </si>
  <si>
    <t>Riser C PT7 Diff</t>
  </si>
  <si>
    <t>Riser C PT8 Diff</t>
  </si>
  <si>
    <t>Riser C Tension</t>
  </si>
  <si>
    <t>Riser D Load PT1</t>
  </si>
  <si>
    <t>Riser D Load PT2</t>
  </si>
  <si>
    <t>Riser D Load PT3</t>
  </si>
  <si>
    <t>Riser D Load PT4</t>
  </si>
  <si>
    <t>Riser D Load PT5</t>
  </si>
  <si>
    <t>Riser D Load PT6</t>
  </si>
  <si>
    <t>Riser D Load PT7</t>
  </si>
  <si>
    <t>Riser D Load PT8</t>
  </si>
  <si>
    <t>Riser D PT1 Diff</t>
  </si>
  <si>
    <t>Riser D PT2 Diff</t>
  </si>
  <si>
    <t>Riser D PT3 Diff</t>
  </si>
  <si>
    <t>Riser D PT4 Diff</t>
  </si>
  <si>
    <t>Riser D PT5 Diff</t>
  </si>
  <si>
    <t>Riser D PT6 Diff</t>
  </si>
  <si>
    <t>Riser D PT7 Diff</t>
  </si>
  <si>
    <t>Riser D PT8 Diff</t>
  </si>
  <si>
    <t>Riser D Tension</t>
  </si>
  <si>
    <t>Riser E Load PT1</t>
  </si>
  <si>
    <t>Riser E Load PT2</t>
  </si>
  <si>
    <t>Riser E Load PT3</t>
  </si>
  <si>
    <t>Riser E Load PT4</t>
  </si>
  <si>
    <t>Riser E PT1 Diff</t>
  </si>
  <si>
    <t>Riser E PT2 Diff</t>
  </si>
  <si>
    <t>Riser E PT3 Diff</t>
  </si>
  <si>
    <t>Riser E PT4 Diff</t>
  </si>
  <si>
    <t>Riser E Tension</t>
  </si>
  <si>
    <t>Riser F Load PT1</t>
  </si>
  <si>
    <t>Riser F Load PT2</t>
  </si>
  <si>
    <t>Riser F Load PT3</t>
  </si>
  <si>
    <t>Riser F Load PT4</t>
  </si>
  <si>
    <t>Riser F PT1 Diff</t>
  </si>
  <si>
    <t>Riser F PT2 Diff</t>
  </si>
  <si>
    <t>Riser F PT3 Diff</t>
  </si>
  <si>
    <t>Riser F PT4 Diff</t>
  </si>
  <si>
    <t>Riser F Tension</t>
  </si>
  <si>
    <t>Riser G Load PT1</t>
  </si>
  <si>
    <t>Riser G Load PT2</t>
  </si>
  <si>
    <t>Riser G Load PT3</t>
  </si>
  <si>
    <t>Riser G Load PT4</t>
  </si>
  <si>
    <t>Riser G Load PT5</t>
  </si>
  <si>
    <t>Riser G Load PT6</t>
  </si>
  <si>
    <t>Riser G Load PT7</t>
  </si>
  <si>
    <t>Riser G Load PT8</t>
  </si>
  <si>
    <t>Riser G PT1 Diff</t>
  </si>
  <si>
    <t>Riser G PT2 Diff</t>
  </si>
  <si>
    <t>Riser G PT3 Diff</t>
  </si>
  <si>
    <t>Riser G PT4 Diff</t>
  </si>
  <si>
    <t>Riser G PT5 Diff</t>
  </si>
  <si>
    <t>Riser G PT6 Diff</t>
  </si>
  <si>
    <t>Riser G PT7 Diff</t>
  </si>
  <si>
    <t>Riser G PT8 Diff</t>
  </si>
  <si>
    <t>Riser G Tension</t>
  </si>
  <si>
    <t>Riser H Load PT1</t>
  </si>
  <si>
    <t>Riser H Load PT2</t>
  </si>
  <si>
    <t>Riser H Load PT3</t>
  </si>
  <si>
    <t>Riser H Load PT4</t>
  </si>
  <si>
    <t>Riser H PT1 Diff</t>
  </si>
  <si>
    <t>Riser H PT2 Diff</t>
  </si>
  <si>
    <t>Riser H PT3 Diff</t>
  </si>
  <si>
    <t>Riser H PT4 Diff</t>
  </si>
  <si>
    <t>Riser H Tension</t>
  </si>
  <si>
    <t>Riser I Load PT1</t>
  </si>
  <si>
    <t>Riser I Load PT2</t>
  </si>
  <si>
    <t>Riser I Load PT3</t>
  </si>
  <si>
    <t>Riser I Load PT4</t>
  </si>
  <si>
    <t>Riser I PT1 Diff</t>
  </si>
  <si>
    <t>Riser I PT2 Diff</t>
  </si>
  <si>
    <t>Riser I PT3 Diff</t>
  </si>
  <si>
    <t>Riser I PT4 Diff</t>
  </si>
  <si>
    <t>Riser I Tension</t>
  </si>
  <si>
    <t>Riser J Load PT1</t>
  </si>
  <si>
    <t>Riser J Load PT2</t>
  </si>
  <si>
    <t>Riser J Load PT3</t>
  </si>
  <si>
    <t>Riser J Load PT4</t>
  </si>
  <si>
    <t>Riser J PT1 Diff</t>
  </si>
  <si>
    <t>Riser J PT2 Diff</t>
  </si>
  <si>
    <t>Riser J PT3 Diff</t>
  </si>
  <si>
    <t>Riser J PT4 Diff</t>
  </si>
  <si>
    <t>Riser J Tension</t>
  </si>
  <si>
    <t>Riser K Load PT1</t>
  </si>
  <si>
    <t>Riser K Load PT2</t>
  </si>
  <si>
    <t>Riser K Load PT3</t>
  </si>
  <si>
    <t>Riser K Load PT4</t>
  </si>
  <si>
    <t>Riser K PT1 Diff</t>
  </si>
  <si>
    <t>Riser K PT2 Diff</t>
  </si>
  <si>
    <t>Riser K PT3 Diff</t>
  </si>
  <si>
    <t>Riser K PT4 Diff</t>
  </si>
  <si>
    <t>Riser K Tension</t>
  </si>
  <si>
    <t>Riser L Load PT1</t>
  </si>
  <si>
    <t>Riser L Load PT2</t>
  </si>
  <si>
    <t>Riser L Load PT3</t>
  </si>
  <si>
    <t>Riser L Load PT4</t>
  </si>
  <si>
    <t>Riser L PT1 Diff</t>
  </si>
  <si>
    <t>Riser L PT2 Diff</t>
  </si>
  <si>
    <t>Riser L PT3 Diff</t>
  </si>
  <si>
    <t>Riser L PT4 Diff</t>
  </si>
  <si>
    <t>Riser L Tension</t>
  </si>
  <si>
    <t>Riser M Load PT1</t>
  </si>
  <si>
    <t>Riser M Load PT2</t>
  </si>
  <si>
    <t>Riser M Load PT3</t>
  </si>
  <si>
    <t>Riser M Load PT4</t>
  </si>
  <si>
    <t>Riser M PT1 Diff</t>
  </si>
  <si>
    <t>Riser M PT2 Diff</t>
  </si>
  <si>
    <t>Riser M PT3 Diff</t>
  </si>
  <si>
    <t>Riser M PT4 Diff</t>
  </si>
  <si>
    <t>Riser M Tension</t>
  </si>
  <si>
    <t>Riser N Load PT1</t>
  </si>
  <si>
    <t>Riser N Load PT2</t>
  </si>
  <si>
    <t>Riser N Load PT3</t>
  </si>
  <si>
    <t>Riser N Load PT4</t>
  </si>
  <si>
    <t>Riser N Load PT5</t>
  </si>
  <si>
    <t>Riser N Load PT6</t>
  </si>
  <si>
    <t>Riser N Load PT7</t>
  </si>
  <si>
    <t>Riser N Load PT8</t>
  </si>
  <si>
    <t>Riser N PT1 Diff</t>
  </si>
  <si>
    <t>Riser N PT2 Diff</t>
  </si>
  <si>
    <t>Riser N PT3 Diff</t>
  </si>
  <si>
    <t>Riser N PT4 Diff</t>
  </si>
  <si>
    <t>Riser N PT5 Diff</t>
  </si>
  <si>
    <t>Riser N PT6 Diff</t>
  </si>
  <si>
    <t>Riser N PT7 Diff</t>
  </si>
  <si>
    <t>Riser N PT8 Diff</t>
  </si>
  <si>
    <t>Riser N Tension</t>
  </si>
  <si>
    <t>Riser O Load PT1</t>
  </si>
  <si>
    <t>Riser O Load PT2</t>
  </si>
  <si>
    <t>Riser O Load PT3</t>
  </si>
  <si>
    <t>Riser O Load PT4</t>
  </si>
  <si>
    <t>Riser O Load PT5</t>
  </si>
  <si>
    <t>Riser O Load PT6</t>
  </si>
  <si>
    <t>Riser O Load PT7</t>
  </si>
  <si>
    <t>Riser O Load PT8</t>
  </si>
  <si>
    <t>Riser O PT1 Diff</t>
  </si>
  <si>
    <t>Riser O PT2 Diff</t>
  </si>
  <si>
    <t>Riser O PT3 Diff</t>
  </si>
  <si>
    <t>Riser O PT4 Diff</t>
  </si>
  <si>
    <t>Riser O PT5 Diff</t>
  </si>
  <si>
    <t>Riser O PT6 Diff</t>
  </si>
  <si>
    <t>Riser O PT7 Diff</t>
  </si>
  <si>
    <t>Riser O PT8 Diff</t>
  </si>
  <si>
    <t>Riser O Tension</t>
  </si>
  <si>
    <t>Riser P Load PT1</t>
  </si>
  <si>
    <t>Riser P Load PT2</t>
  </si>
  <si>
    <t>Riser P Load PT3</t>
  </si>
  <si>
    <t>Riser P Load PT4</t>
  </si>
  <si>
    <t>Riser P PT1 Diff</t>
  </si>
  <si>
    <t>Riser P PT2 Diff</t>
  </si>
  <si>
    <t>Riser P PT3 Diff</t>
  </si>
  <si>
    <t>Riser P PT4 Diff</t>
  </si>
  <si>
    <t>Riser P Tension</t>
  </si>
  <si>
    <t>Riser Q Load PT1</t>
  </si>
  <si>
    <t>Riser Q Load PT2</t>
  </si>
  <si>
    <t>Riser Q Load PT3</t>
  </si>
  <si>
    <t>Riser Q Load PT4</t>
  </si>
  <si>
    <t>Riser Q PT1 Diff</t>
  </si>
  <si>
    <t>Riser Q PT2 Diff</t>
  </si>
  <si>
    <t>Riser Q PT3 Diff</t>
  </si>
  <si>
    <t>Riser Q PT4 Diff</t>
  </si>
  <si>
    <t>Riser Q Tension</t>
  </si>
  <si>
    <t>Riser R Load PT1</t>
  </si>
  <si>
    <t>Riser R Load PT2</t>
  </si>
  <si>
    <t>Riser R Load PT3</t>
  </si>
  <si>
    <t>Riser R Load PT4</t>
  </si>
  <si>
    <t>Riser R PT1 Diff</t>
  </si>
  <si>
    <t>Riser R PT2 Diff</t>
  </si>
  <si>
    <t>Riser R PT3 Diff</t>
  </si>
  <si>
    <t>Riser R PT4 Diff</t>
  </si>
  <si>
    <t>Riser R Tension</t>
  </si>
  <si>
    <t>Riser S Load PT1</t>
  </si>
  <si>
    <t>Riser S Load PT2</t>
  </si>
  <si>
    <t>Riser S Load PT3</t>
  </si>
  <si>
    <t>Riser S Load PT4</t>
  </si>
  <si>
    <t>Riser S Load PT5</t>
  </si>
  <si>
    <t>Riser S Load PT6</t>
  </si>
  <si>
    <t>Riser S Load PT7</t>
  </si>
  <si>
    <t>Riser S Load PT8</t>
  </si>
  <si>
    <t>Riser S PT1 Diff</t>
  </si>
  <si>
    <t>Riser S PT2 Diff</t>
  </si>
  <si>
    <t>Riser S PT3 Diff</t>
  </si>
  <si>
    <t>Riser S PT4 Diff</t>
  </si>
  <si>
    <t>Riser S PT5 Diff</t>
  </si>
  <si>
    <t>Riser S PT6 Diff</t>
  </si>
  <si>
    <t>Riser S PT7 Diff</t>
  </si>
  <si>
    <t>Riser S PT8 Diff</t>
  </si>
  <si>
    <t>Riser S Tension</t>
  </si>
  <si>
    <t>Riser T Load PT1</t>
  </si>
  <si>
    <t>Riser T Load PT2</t>
  </si>
  <si>
    <t>Riser T Load PT3</t>
  </si>
  <si>
    <t>Riser T Load PT4</t>
  </si>
  <si>
    <t>Riser T Load PT5</t>
  </si>
  <si>
    <t>Riser T Load PT6</t>
  </si>
  <si>
    <t>Riser T Load PT7</t>
  </si>
  <si>
    <t>Riser T Load PT8</t>
  </si>
  <si>
    <t>Riser T PT1 Diff</t>
  </si>
  <si>
    <t>Riser T PT2 Diff</t>
  </si>
  <si>
    <t>Riser T PT3 Diff</t>
  </si>
  <si>
    <t>Riser T PT4 Diff</t>
  </si>
  <si>
    <t>Riser T PT5 Diff</t>
  </si>
  <si>
    <t>Riser T PT6 Diff</t>
  </si>
  <si>
    <t>Riser T PT7 Diff</t>
  </si>
  <si>
    <t>Riser T PT8 Diff</t>
  </si>
  <si>
    <t>Riser T Tension</t>
  </si>
  <si>
    <t>Riser U Load PT1</t>
  </si>
  <si>
    <t>Riser U Load PT2</t>
  </si>
  <si>
    <t>Riser U Load PT3</t>
  </si>
  <si>
    <t>Riser U Load PT4</t>
  </si>
  <si>
    <t>Riser U PT1 Diff</t>
  </si>
  <si>
    <t>Riser U PT2 Diff</t>
  </si>
  <si>
    <t>Riser U PT3 Diff</t>
  </si>
  <si>
    <t>Riser U PT4 Diff</t>
  </si>
  <si>
    <t>Riser U Tension</t>
  </si>
  <si>
    <t>Riser V Load PT1</t>
  </si>
  <si>
    <t>Riser V Load PT2</t>
  </si>
  <si>
    <t>Riser V Load PT3</t>
  </si>
  <si>
    <t>Riser V Load PT4</t>
  </si>
  <si>
    <t>Riser V PT1 Diff</t>
  </si>
  <si>
    <t>Riser V PT2 Diff</t>
  </si>
  <si>
    <t>Riser V PT3 Diff</t>
  </si>
  <si>
    <t>Riser V PT4 Diff</t>
  </si>
  <si>
    <t>Riser V Tension</t>
  </si>
  <si>
    <t>Riser W Load PT1</t>
  </si>
  <si>
    <t>Riser W Load PT2</t>
  </si>
  <si>
    <t>Riser W Load PT3</t>
  </si>
  <si>
    <t>Riser W Load PT4</t>
  </si>
  <si>
    <t>Riser W PT1 Diff</t>
  </si>
  <si>
    <t>Riser W PT2 Diff</t>
  </si>
  <si>
    <t>Riser W PT3 Diff</t>
  </si>
  <si>
    <t>Riser W PT4 Diff</t>
  </si>
  <si>
    <t>Riser W Tension</t>
  </si>
  <si>
    <t>Riser X Load PT1</t>
  </si>
  <si>
    <t>Riser X Load PT2</t>
  </si>
  <si>
    <t>Riser X Load PT3</t>
  </si>
  <si>
    <t>Riser X Load PT4</t>
  </si>
  <si>
    <t>Riser X PT1 Diff</t>
  </si>
  <si>
    <t>Riser X PT2 Diff</t>
  </si>
  <si>
    <t>Riser X PT3 Diff</t>
  </si>
  <si>
    <t>Riser X PT4 Diff</t>
  </si>
  <si>
    <t>Riser X Tension</t>
  </si>
  <si>
    <t>DCS Link Health</t>
  </si>
  <si>
    <t>CL Draft from Airgaps</t>
  </si>
  <si>
    <t>Trim from Airgaps</t>
  </si>
  <si>
    <t>CL Draft from 6DOF</t>
  </si>
  <si>
    <t>List From Drafts</t>
  </si>
  <si>
    <t>Trim From Drafts</t>
  </si>
  <si>
    <t>CL Draft</t>
  </si>
  <si>
    <t>North Draft Delta</t>
  </si>
  <si>
    <t>East Draft Delta</t>
  </si>
  <si>
    <t>West Draft Delta</t>
  </si>
  <si>
    <t>South Draft Delta</t>
  </si>
  <si>
    <t>MAS Tendon Tension 1</t>
  </si>
  <si>
    <t>MAS Tendon Tension 4</t>
  </si>
  <si>
    <t>MAS Tendon Tension 5</t>
  </si>
  <si>
    <t>MAS Tendon Tension 8</t>
  </si>
  <si>
    <t>MAS Tendon Tension 9</t>
  </si>
  <si>
    <t>MAS Tendon Tension 12</t>
  </si>
  <si>
    <t>MAS Tendon Tension 13</t>
  </si>
  <si>
    <t>MAS Tendon Tension 16</t>
  </si>
  <si>
    <t>MAS Riser A Tension</t>
  </si>
  <si>
    <t>MAS Riser B Tension</t>
  </si>
  <si>
    <t>MAS Riser C Tension</t>
  </si>
  <si>
    <t>MAS Riser D Tension</t>
  </si>
  <si>
    <t>MAS Riser E Tension</t>
  </si>
  <si>
    <t>MAS Riser F Tension</t>
  </si>
  <si>
    <t>MAS Riser G Tension</t>
  </si>
  <si>
    <t>MAS Riser H Tension</t>
  </si>
  <si>
    <t>MAS Riser I Tension</t>
  </si>
  <si>
    <t>MAS Riser J Tension</t>
  </si>
  <si>
    <t>MAS Riser K Tension</t>
  </si>
  <si>
    <t>MAS Riser L Tension</t>
  </si>
  <si>
    <t>MAS Riser M Tension</t>
  </si>
  <si>
    <t>MAS Riser N Tension</t>
  </si>
  <si>
    <t>MAS Riser O Tension</t>
  </si>
  <si>
    <t>MAS Riser P Tension</t>
  </si>
  <si>
    <t>MAS Riser Q Tension</t>
  </si>
  <si>
    <t>MAS Riser R Tension</t>
  </si>
  <si>
    <t>MAS Riser S Tension</t>
  </si>
  <si>
    <t>MAS Riser T Tension</t>
  </si>
  <si>
    <t>MAS Riser U Tension</t>
  </si>
  <si>
    <t>MAS Riser V Tension</t>
  </si>
  <si>
    <t>MAS Riser W Tension</t>
  </si>
  <si>
    <t>MAS Riser X Tension</t>
  </si>
  <si>
    <t>OL ILST_100B1_FWKO</t>
  </si>
  <si>
    <t>OL ILST_100B2_FWKO</t>
  </si>
  <si>
    <t>OL ILST_100B3_FWKO</t>
  </si>
  <si>
    <t>OL ILST_300B_BOT</t>
  </si>
  <si>
    <t>OL ILT_100B1_FWKO</t>
  </si>
  <si>
    <t>OL ILT_1150A1_SMP</t>
  </si>
  <si>
    <t>OL ILT_1166B1_SLOP_TNK</t>
  </si>
  <si>
    <t>OL ILT_120B1_TEST_SEP</t>
  </si>
  <si>
    <t>OL ILT_300B1_BOT</t>
  </si>
  <si>
    <t>OL ILT_320B1_WOT</t>
  </si>
  <si>
    <t>OL LST_1007A_FGC_A1</t>
  </si>
  <si>
    <t>OL LST_100A_FWKO</t>
  </si>
  <si>
    <t>OL LST_1016A_FGC_A2</t>
  </si>
  <si>
    <t>OL LST_1057A_FGC_B1</t>
  </si>
  <si>
    <t>OL LST_1066A_FGC_B2</t>
  </si>
  <si>
    <t>OL LST_1091A_SEAL_GAS</t>
  </si>
  <si>
    <t>OL LST_1092A_SEAL_GAS</t>
  </si>
  <si>
    <t>OL LST_1101A_GLC</t>
  </si>
  <si>
    <t>OL LST_110A_HP_SEP</t>
  </si>
  <si>
    <t>OL LST_1110A_SEAL_GAS</t>
  </si>
  <si>
    <t>OL LST_1150A_SMP_CAISSON</t>
  </si>
  <si>
    <t>OL LST_1153A_PRE_SMP_OIL</t>
  </si>
  <si>
    <t>OL LST_1166A_OIL_BUCKET</t>
  </si>
  <si>
    <t>OL LST_1166C_SLOP_TNK</t>
  </si>
  <si>
    <t>OL LST_120A_TEST_SEP_OIL</t>
  </si>
  <si>
    <t>OL LST_120B_TEST_SEP_WTR</t>
  </si>
  <si>
    <t>OL LST_1901A_Methanol</t>
  </si>
  <si>
    <t>OL LST_206A_PL_PMP_LO</t>
  </si>
  <si>
    <t>OL LST_2084A_FG_SCRUB</t>
  </si>
  <si>
    <t>OL LST_2086A_FG_FLTR</t>
  </si>
  <si>
    <t>OL LST_2087A_FG_FLTR</t>
  </si>
  <si>
    <t>OL LST_2170A_DSL_FUEL</t>
  </si>
  <si>
    <t>OL LST_2230A_STEAM_SEP</t>
  </si>
  <si>
    <t>OL LST_2251A_MAKE_UP_WTR</t>
  </si>
  <si>
    <t>OL LST_226A_PL_PMP_LO</t>
  </si>
  <si>
    <t>OL LST_246A_PL_PMP_LO</t>
  </si>
  <si>
    <t>OL LST_2491A_DRILL_RIG</t>
  </si>
  <si>
    <t>OL LST_2605A_LDHI_TNK</t>
  </si>
  <si>
    <t>OL LST_2831A_Glycol</t>
  </si>
  <si>
    <t>OL LST_2840A_GLY_COND</t>
  </si>
  <si>
    <t>OL LST_300A_BOT_GAS_SIDE</t>
  </si>
  <si>
    <t>OL LST_300C_BOT_GRID</t>
  </si>
  <si>
    <t>OL LST_320A_WOT</t>
  </si>
  <si>
    <t>OL LST_330A_DOT</t>
  </si>
  <si>
    <t>OL LST_410A_FU</t>
  </si>
  <si>
    <t>OL LST_410B_FU_OIL</t>
  </si>
  <si>
    <t>OL LST_420A_FU</t>
  </si>
  <si>
    <t>OL LST_420B_FU</t>
  </si>
  <si>
    <t>OL LST_500A1_FLARE</t>
  </si>
  <si>
    <t>OL LST_500A2_FLARE</t>
  </si>
  <si>
    <t>OL LST_500A3_FLARE</t>
  </si>
  <si>
    <t>OL LST_5360A_DSL_TNK</t>
  </si>
  <si>
    <t>OL LST_600A_HP_CLSCNG</t>
  </si>
  <si>
    <t>OL LST_610A_GLY_CNTCR</t>
  </si>
  <si>
    <t>OL LST_903A_VRU_A1</t>
  </si>
  <si>
    <t>OL LST_907A_VRU_A1_DSCH</t>
  </si>
  <si>
    <t>OL LST_908A_VRU_A2</t>
  </si>
  <si>
    <t>OL LST_913A_VRU_A2_DSCH</t>
  </si>
  <si>
    <t>OL LST_920A_VRU_A_LO</t>
  </si>
  <si>
    <t>OL LST_953A_VRU_B1</t>
  </si>
  <si>
    <t>OL LST_957A_VRU_B1_DSCH</t>
  </si>
  <si>
    <t>OL LST_958A_VRU_B2</t>
  </si>
  <si>
    <t>OL LST_963A_VRU_B2_DSCH</t>
  </si>
  <si>
    <t>OL LST_970A_VRU_B_LO</t>
  </si>
  <si>
    <t>OL LT_1007A1_FGC_A1</t>
  </si>
  <si>
    <t>OL LT_100A1_Freewtr</t>
  </si>
  <si>
    <t>OL LT_1016A1_FGC_A2</t>
  </si>
  <si>
    <t>OL LT_1057A1_FGC_B1</t>
  </si>
  <si>
    <t>OL LT_1066A1_FGC_B2</t>
  </si>
  <si>
    <t>OL LT_1101A1_GLC</t>
  </si>
  <si>
    <t>OL LT_110A1_HP_Sep</t>
  </si>
  <si>
    <t>OL LT_1153A1_PRE_SMP_OIL</t>
  </si>
  <si>
    <t>OL LT_1153B1_PRE_SMP</t>
  </si>
  <si>
    <t>OL LT_1166A1_Dry_Oil</t>
  </si>
  <si>
    <t>OL LT_120A1_Well_Test</t>
  </si>
  <si>
    <t>OL LT_130A_WB_HYD</t>
  </si>
  <si>
    <t>OL LT_130B_PT_BLKG_PNL</t>
  </si>
  <si>
    <t>OL LT_2084A1_FG_SCRUB</t>
  </si>
  <si>
    <t>OL LT_2086A1_FG_FLTR</t>
  </si>
  <si>
    <t>OL LT_2086B1_FG_FLTR</t>
  </si>
  <si>
    <t>OL LT_2087A1_FG_FLTR</t>
  </si>
  <si>
    <t>OL LT_2087B1_FG_FLTR</t>
  </si>
  <si>
    <t>OL LT_2170A1_Diesel_Fuel</t>
  </si>
  <si>
    <t>OL LT_2601A1_Water</t>
  </si>
  <si>
    <t>OL LT_2602A1_Biocide</t>
  </si>
  <si>
    <t>OL LT_2603A1_Asphaltn</t>
  </si>
  <si>
    <t>OL LT_2604A1_SCALE_INH</t>
  </si>
  <si>
    <t>OL LT_2606A1_Sili_Def</t>
  </si>
  <si>
    <t>OL LT_2607A1_Asphaltn</t>
  </si>
  <si>
    <t>OL LT_2608A1_Asphaltn</t>
  </si>
  <si>
    <t>OL LT_2609A1_Asphaltn</t>
  </si>
  <si>
    <t>OL LT_2610A1_Fluor_Def</t>
  </si>
  <si>
    <t>OL LT_2611A1_CORR_INH</t>
  </si>
  <si>
    <t>OL LT_2612A1_CORR_INH</t>
  </si>
  <si>
    <t>OL LT_2613A1_Demulsifier</t>
  </si>
  <si>
    <t>OL LT_2721A1_Heli_Fuel</t>
  </si>
  <si>
    <t>OL LT_2722A1_Heli_Fuel</t>
  </si>
  <si>
    <t>OL LT_2723A1_Heli_Fuel</t>
  </si>
  <si>
    <t>OL LT_2825A1_GLY_RBL</t>
  </si>
  <si>
    <t>OL LT_2840A1_Separator</t>
  </si>
  <si>
    <t>OL LT_2840B1_GLY_COND</t>
  </si>
  <si>
    <t>OL LT_2881A1_Pot_Water</t>
  </si>
  <si>
    <t>OL LT_2882A1_Pot_Water</t>
  </si>
  <si>
    <t>OL LT_2883A1_Pot_Water</t>
  </si>
  <si>
    <t>OL LT_300A1_Oil_Treater</t>
  </si>
  <si>
    <t>OL LT_320A1_Wet_Oil</t>
  </si>
  <si>
    <t>OL LT_330A1_Dry_Oil</t>
  </si>
  <si>
    <t>OL LT_410A1_Flotation</t>
  </si>
  <si>
    <t>OL LT_410B1__OIL_OUT</t>
  </si>
  <si>
    <t>OL LT_420A1_WTR_OVERBRD</t>
  </si>
  <si>
    <t>OL LT_420B1_OIL_TO_WOT</t>
  </si>
  <si>
    <t>OL LT_500A1_FLR_SCRUB</t>
  </si>
  <si>
    <t>OL LT_5121A1_De_Watering</t>
  </si>
  <si>
    <t>OL LT_5160A1_METH_STRG</t>
  </si>
  <si>
    <t>OL LT_5161A1_METH_STRG</t>
  </si>
  <si>
    <t>OL LT_5221A1_De_Watering</t>
  </si>
  <si>
    <t>OL LT_5321A1_De_Watering</t>
  </si>
  <si>
    <t>OL LT_5360A1_DSL</t>
  </si>
  <si>
    <t>OL LT_5421A1_De_Watering</t>
  </si>
  <si>
    <t>OL LT_5460A1_DRILL_WTR</t>
  </si>
  <si>
    <t>OL LT_600A1_HP_CLSCNG</t>
  </si>
  <si>
    <t>OL LT_610A1_GLY_CNTCR</t>
  </si>
  <si>
    <t>OL LT_7101A1_SCSSV_HYD</t>
  </si>
  <si>
    <t>OL LT_7101B1_LP_HYD</t>
  </si>
  <si>
    <t>OL LT_7102A1_SCSSV_HYD</t>
  </si>
  <si>
    <t>OL LT_7102B1_LP_HYD</t>
  </si>
  <si>
    <t>OL LT_7103A1_SCSSV_HYD</t>
  </si>
  <si>
    <t>OL LT_7103B1_LP_HYD</t>
  </si>
  <si>
    <t>OL LT_7104A1_SCSSV_HYD</t>
  </si>
  <si>
    <t>OL LT_7104B1_LP_HYD</t>
  </si>
  <si>
    <t>OL LT_907A1_VRU_A1_DSCH</t>
  </si>
  <si>
    <t>OL LT_908A1_VRU_A2</t>
  </si>
  <si>
    <t>OL LT_913A1_VRU_A2_DSCH</t>
  </si>
  <si>
    <t>OL LT_957A1_VRU_B1_DSCH</t>
  </si>
  <si>
    <t>OL LT_958A1_VRU_B2</t>
  </si>
  <si>
    <t>OL LT_963A1_VRU_B2_DSCH</t>
  </si>
  <si>
    <t>OL LT_X4300_PNL_HYD_RSVR</t>
  </si>
  <si>
    <t>OL LT_EPNB_Ballast</t>
  </si>
  <si>
    <t>OL LT_EPSB_Ballast</t>
  </si>
  <si>
    <t>OL LT_NE0BNE_Ballast</t>
  </si>
  <si>
    <t>OL LT_NE0BSW_Ballast</t>
  </si>
  <si>
    <t>OL LT_NE1TE_Ballast</t>
  </si>
  <si>
    <t>OL LT_NE1TN_Ballast</t>
  </si>
  <si>
    <t>OL LT_NPEB_Ballast</t>
  </si>
  <si>
    <t>OL LT_NPWB_Ballast</t>
  </si>
  <si>
    <t>OL LT_NW0BNW_Ballast</t>
  </si>
  <si>
    <t>OL LT_NW0BSE_Ballast</t>
  </si>
  <si>
    <t>OL LT_NW1TN_Ballast</t>
  </si>
  <si>
    <t>OL LT_NW1TW_Ballast</t>
  </si>
  <si>
    <t>OL LT_SE0BNW_Ballast</t>
  </si>
  <si>
    <t>OL LT_SE0BSE_Ballast</t>
  </si>
  <si>
    <t>OL LT_SE1TE_Ballast</t>
  </si>
  <si>
    <t>OL LT_SE1TS_Ballast</t>
  </si>
  <si>
    <t>OL LT_SPEB_Ballast</t>
  </si>
  <si>
    <t>OL LT_SPWB_Ballast</t>
  </si>
  <si>
    <t>OL LT_SW0BNE_Ballast</t>
  </si>
  <si>
    <t>OL LT_SW0BSW_Ballast</t>
  </si>
  <si>
    <t>OL LT_SW1TS_Ballast</t>
  </si>
  <si>
    <t>OL LT_SW1TW_Ballast</t>
  </si>
  <si>
    <t>OL LT_WPNB_Ballast</t>
  </si>
  <si>
    <t>OL LT_WPSB_Ballast</t>
  </si>
  <si>
    <t>OL LT_5160A1_Methanol</t>
  </si>
  <si>
    <t>OL LT_5161A1_Methanol</t>
  </si>
  <si>
    <t>OL LT_5360A1_Diesel_Tnk</t>
  </si>
  <si>
    <t>OL LT_5460A1_Drill_Water</t>
  </si>
  <si>
    <t>OL North_Draft</t>
  </si>
  <si>
    <t>OL East_Draft</t>
  </si>
  <si>
    <t>OL South_Draft</t>
  </si>
  <si>
    <t>OL West_Draft</t>
  </si>
  <si>
    <t>OL Combo_PQ_Northings</t>
  </si>
  <si>
    <t>OL Combo_PQ_Eastings</t>
  </si>
  <si>
    <t>OL Surface_Current_Spd</t>
  </si>
  <si>
    <t>OL Surface_Current_Dir</t>
  </si>
  <si>
    <t>OL MIS_Baro_Pressure</t>
  </si>
  <si>
    <t>Riser Alarm</t>
  </si>
  <si>
    <t>Draft LL Alarm</t>
  </si>
  <si>
    <t>Draft HH Alarm</t>
  </si>
  <si>
    <t>Tendon Tension Alarm</t>
  </si>
  <si>
    <t>Current Spd Alarm</t>
  </si>
  <si>
    <t>TLP Position Alarm</t>
  </si>
  <si>
    <t>MAS Trim 1min</t>
  </si>
  <si>
    <t>MAS List 1min</t>
  </si>
  <si>
    <t>Keel PQ Northings</t>
  </si>
  <si>
    <t>Keel PQ Eastings</t>
  </si>
  <si>
    <t>CL Draft 1min</t>
  </si>
  <si>
    <t>CL Draft 5min</t>
  </si>
  <si>
    <t>CL Draft 20min</t>
  </si>
  <si>
    <t>BAL Weight PV</t>
  </si>
  <si>
    <t>VOID Weight PV</t>
  </si>
  <si>
    <t>HULL FLUIDS Weight PV</t>
  </si>
  <si>
    <t>DRILL TANKS Weight PV</t>
  </si>
  <si>
    <t>LSMOD Weight PV</t>
  </si>
  <si>
    <t>DRILL LOAD Weight PV</t>
  </si>
  <si>
    <t>SCR Weight PV</t>
  </si>
  <si>
    <t>BIAS LINE Weight PV</t>
  </si>
  <si>
    <t>TENDON Weight PV</t>
  </si>
  <si>
    <t>TTR Weight PV</t>
  </si>
  <si>
    <t>ft*10000</t>
  </si>
  <si>
    <t>psi</t>
  </si>
  <si>
    <t>knot</t>
  </si>
  <si>
    <t>InHg</t>
  </si>
  <si>
    <t>mBar</t>
  </si>
  <si>
    <t>ft/hr</t>
  </si>
  <si>
    <t>rpm</t>
  </si>
  <si>
    <t>ppg</t>
  </si>
  <si>
    <t>deg/ft</t>
  </si>
  <si>
    <t>inches</t>
  </si>
  <si>
    <t>in/24hrs</t>
  </si>
  <si>
    <t>a-n</t>
  </si>
  <si>
    <t>Bool</t>
  </si>
  <si>
    <t>Fugro No of Satellites</t>
  </si>
  <si>
    <t>Orion No of Satellites</t>
  </si>
  <si>
    <t>Low Riser S-A PT1</t>
  </si>
  <si>
    <t>Low Riser S-A PT2</t>
  </si>
  <si>
    <t>Low Riser S-A PT3</t>
  </si>
  <si>
    <t>Low Riser S-A PT4</t>
  </si>
  <si>
    <t>High Riser S-A PT1</t>
  </si>
  <si>
    <t>High Riser S-A PT2</t>
  </si>
  <si>
    <t>High Riser S-A PT3</t>
  </si>
  <si>
    <t>High Riser S-A PT4</t>
  </si>
  <si>
    <t>Riser S-A Stroke</t>
  </si>
  <si>
    <t>Low Riser S-B PT1</t>
  </si>
  <si>
    <t>Low Riser S-B PT2</t>
  </si>
  <si>
    <t>Low Riser S-B PT3</t>
  </si>
  <si>
    <t>Low Riser S-B PT4</t>
  </si>
  <si>
    <t>High Riser S-B PT1</t>
  </si>
  <si>
    <t>High Riser S-B PT2</t>
  </si>
  <si>
    <t>High Riser S-B PT3</t>
  </si>
  <si>
    <t>High Riser S-B PT4</t>
  </si>
  <si>
    <t>Riser S-B Stroke</t>
  </si>
  <si>
    <t>Low Riser S-C PT1</t>
  </si>
  <si>
    <t>Low Riser S-C PT2</t>
  </si>
  <si>
    <t>Low Riser S-C PT3</t>
  </si>
  <si>
    <t>Low Riser S-C PT4</t>
  </si>
  <si>
    <t>High Riser S-C PT1</t>
  </si>
  <si>
    <t>High Riser S-C PT2</t>
  </si>
  <si>
    <t>High Riser S-C PT3</t>
  </si>
  <si>
    <t>High Riser S-C PT4</t>
  </si>
  <si>
    <t>Riser S-C Stroke</t>
  </si>
  <si>
    <t>Low Riser S-D PT1</t>
  </si>
  <si>
    <t>Low Riser S-D PT2</t>
  </si>
  <si>
    <t>Low Riser S-D PT3</t>
  </si>
  <si>
    <t>Low Riser S-D PT4</t>
  </si>
  <si>
    <t>High Riser S-D PT1</t>
  </si>
  <si>
    <t>High Riser S-D PT2</t>
  </si>
  <si>
    <t>High Riser S-D PT3</t>
  </si>
  <si>
    <t>High Riser S-D PT4</t>
  </si>
  <si>
    <t>Riser S-D Stroke</t>
  </si>
  <si>
    <t>Low Riser S-E PT1</t>
  </si>
  <si>
    <t>Low Riser S-E PT2</t>
  </si>
  <si>
    <t>Low Riser S-E PT3</t>
  </si>
  <si>
    <t>Low Riser S-E PT4</t>
  </si>
  <si>
    <t>High Riser S-E PT1</t>
  </si>
  <si>
    <t>High Riser S-E PT2</t>
  </si>
  <si>
    <t>High Riser S-E PT3</t>
  </si>
  <si>
    <t>High Riser S-E PT4</t>
  </si>
  <si>
    <t>Riser S-E Stroke</t>
  </si>
  <si>
    <t>Low Riser S-DCR PT1</t>
  </si>
  <si>
    <t>Low Riser S-DCR PT2</t>
  </si>
  <si>
    <t>Low Riser S-DCR PT3</t>
  </si>
  <si>
    <t>Low Riser S-DCR PT4</t>
  </si>
  <si>
    <t>High Riser S-DCR PT1</t>
  </si>
  <si>
    <t>High Riser S-DCR PT2</t>
  </si>
  <si>
    <t>High Riser S-DCR PT3</t>
  </si>
  <si>
    <t>High Riser S-DCR PT4</t>
  </si>
  <si>
    <t>Riser S-DCR Stroke</t>
  </si>
  <si>
    <t>Peak Direction</t>
  </si>
  <si>
    <t>Peak Period</t>
  </si>
  <si>
    <t>Peak Wave Length</t>
  </si>
  <si>
    <t>1st Peak Direction</t>
  </si>
  <si>
    <t>1st Peak Period</t>
  </si>
  <si>
    <t>1st Peak Wave Length</t>
  </si>
  <si>
    <t>2nd Peak Direction</t>
  </si>
  <si>
    <t>2nd Peak Period</t>
  </si>
  <si>
    <t>2nd Peak Wave Length</t>
  </si>
  <si>
    <t>WaMos Current Dir</t>
  </si>
  <si>
    <t>WaMos Current Spd</t>
  </si>
  <si>
    <t>Methanol1 Tank Level</t>
  </si>
  <si>
    <t>Methanol2 Tank Level</t>
  </si>
  <si>
    <t>LDHI Tank Level</t>
  </si>
  <si>
    <t>Drill Water Tank Level</t>
  </si>
  <si>
    <t>Diesel Oil Tank Level</t>
  </si>
  <si>
    <t>Hull Dead Oil1 Tank Level</t>
  </si>
  <si>
    <t>Hull Dead Oil2 Tank Level</t>
  </si>
  <si>
    <t>Dry Oil Tank Level</t>
  </si>
  <si>
    <t>2060 Prt Water Tank A</t>
  </si>
  <si>
    <t>2060 Prt Water Tank B</t>
  </si>
  <si>
    <t>2080 Diesel Tank</t>
  </si>
  <si>
    <t>8750 Topside HPU</t>
  </si>
  <si>
    <t>2170 HPU Supply</t>
  </si>
  <si>
    <t>2170 HPU Return</t>
  </si>
  <si>
    <t>2300 Asphaltene Inh</t>
  </si>
  <si>
    <t>2310 Corrosion Inhi</t>
  </si>
  <si>
    <t>2320 Demulsifier</t>
  </si>
  <si>
    <t>2330 Defoamer</t>
  </si>
  <si>
    <t>2340 LDHI</t>
  </si>
  <si>
    <t>2350 Methanol</t>
  </si>
  <si>
    <t>2360 Paraffin Inhi</t>
  </si>
  <si>
    <t>2370 Scale Inhibito</t>
  </si>
  <si>
    <t>2380 Antifoam</t>
  </si>
  <si>
    <t>2390 Acid Dmlsifier</t>
  </si>
  <si>
    <t>2400 Water Clarifie</t>
  </si>
  <si>
    <t>2410 Flotatn Aid</t>
  </si>
  <si>
    <t>2420 Tri-Ethl Glyco</t>
  </si>
  <si>
    <t>2430 H2S Scavenger</t>
  </si>
  <si>
    <t>2440 Nitrate</t>
  </si>
  <si>
    <t>2450 Biocide</t>
  </si>
  <si>
    <t>2460 Scale Inhibito</t>
  </si>
  <si>
    <t>2470 O2 Scavenger</t>
  </si>
  <si>
    <t>2480 Gas P/L Corr</t>
  </si>
  <si>
    <t>2490 Oil P/L Corr</t>
  </si>
  <si>
    <t>2500 Pour Point Dep</t>
  </si>
  <si>
    <t>DRY OIL TANK</t>
  </si>
  <si>
    <t>Potable Water Tank A</t>
  </si>
  <si>
    <t>Potable Water Tank B</t>
  </si>
  <si>
    <t>MBD-1060</t>
  </si>
  <si>
    <t>MBD-1610A</t>
  </si>
  <si>
    <t>MBD-1610B</t>
  </si>
  <si>
    <t>MBD-1610C</t>
  </si>
  <si>
    <t>MBD-1610D</t>
  </si>
  <si>
    <t>MBD-1610E</t>
  </si>
  <si>
    <t>BBC1220</t>
  </si>
  <si>
    <t>ABJ-2030</t>
  </si>
  <si>
    <t>MBD-124003</t>
  </si>
  <si>
    <t>MBD-124005</t>
  </si>
  <si>
    <t>MBJ-1330</t>
  </si>
  <si>
    <t>MBD-1520A</t>
  </si>
  <si>
    <t>MBD-1520B</t>
  </si>
  <si>
    <t>MBD-1520C</t>
  </si>
  <si>
    <t>MBD-1520D</t>
  </si>
  <si>
    <t>MBD-1520E</t>
  </si>
  <si>
    <t>MBF-1190A</t>
  </si>
  <si>
    <t>MBF-1190B</t>
  </si>
  <si>
    <t>MBF-1200A</t>
  </si>
  <si>
    <t>MBF-1200B</t>
  </si>
  <si>
    <t>MBM-151001</t>
  </si>
  <si>
    <t>MBM-151006</t>
  </si>
  <si>
    <t>MBD-105013</t>
  </si>
  <si>
    <t>MBD-105018</t>
  </si>
  <si>
    <t>MAK-1110A04</t>
  </si>
  <si>
    <t>MAK-1110A06</t>
  </si>
  <si>
    <t>MAK-1110B04</t>
  </si>
  <si>
    <t>MAK-1110B06</t>
  </si>
  <si>
    <t>MBF-1090</t>
  </si>
  <si>
    <t>MBM-154001</t>
  </si>
  <si>
    <t>MBM-154003</t>
  </si>
  <si>
    <t>MBF-1080</t>
  </si>
  <si>
    <t>MBD-1630-25</t>
  </si>
  <si>
    <t>MBD-1630-35</t>
  </si>
  <si>
    <t>Static Tension ML1</t>
  </si>
  <si>
    <t>Static Tension ML2</t>
  </si>
  <si>
    <t>Static Tension ML3</t>
  </si>
  <si>
    <t>Static Tension ML4</t>
  </si>
  <si>
    <t>Static Tension ML5</t>
  </si>
  <si>
    <t>Static Tension ML6</t>
  </si>
  <si>
    <t>Static Tension ML7</t>
  </si>
  <si>
    <t>Static Tension ML8</t>
  </si>
  <si>
    <t>Static Tension ML9</t>
  </si>
  <si>
    <t>Dynamic Tension ML1</t>
  </si>
  <si>
    <t>Dynamic Tension ML2</t>
  </si>
  <si>
    <t>Dynamic Tension ML3</t>
  </si>
  <si>
    <t>Dynamic Tension ML4</t>
  </si>
  <si>
    <t>Dynamic Tension ML5</t>
  </si>
  <si>
    <t>Dynamic Tension ML6</t>
  </si>
  <si>
    <t>Dynamic Tension ML7</t>
  </si>
  <si>
    <t>Dynamic Tension ML8</t>
  </si>
  <si>
    <t>Dynamic Tension ML9</t>
  </si>
  <si>
    <t>Chain Footage ML1</t>
  </si>
  <si>
    <t>Chain Footage ML2</t>
  </si>
  <si>
    <t>Chain Footage ML3</t>
  </si>
  <si>
    <t>Chain Footage ML4</t>
  </si>
  <si>
    <t>Chain Footage ML5</t>
  </si>
  <si>
    <t>Chain Footage ML6</t>
  </si>
  <si>
    <t>Chain Footage ML7</t>
  </si>
  <si>
    <t>Chain Footage ML8</t>
  </si>
  <si>
    <t>Chain Footage ML9</t>
  </si>
  <si>
    <t>Dynamic Over Tension ML1</t>
  </si>
  <si>
    <t>Dynamic Under Tension ML1</t>
  </si>
  <si>
    <t>loadcell error ML1</t>
  </si>
  <si>
    <t>Ratchet sensor error ML1</t>
  </si>
  <si>
    <t>Chain stopper error ML1</t>
  </si>
  <si>
    <t>Operation error ML1</t>
  </si>
  <si>
    <t>Position error ML1</t>
  </si>
  <si>
    <t>Max chain out ML1</t>
  </si>
  <si>
    <t>Max chain in ML1</t>
  </si>
  <si>
    <t>PT loop fail ML1</t>
  </si>
  <si>
    <t>Over Speed ML1</t>
  </si>
  <si>
    <t>Dynamic Over Tension ML2</t>
  </si>
  <si>
    <t>Dynamic Under Tension ML2</t>
  </si>
  <si>
    <t>loadcell error ML2</t>
  </si>
  <si>
    <t>Ratchet sensor error ML2</t>
  </si>
  <si>
    <t>Chain stopper error ML2</t>
  </si>
  <si>
    <t>Operation error ML2</t>
  </si>
  <si>
    <t>Position error ML2</t>
  </si>
  <si>
    <t>Max chain out ML2</t>
  </si>
  <si>
    <t>Max chain in ML2</t>
  </si>
  <si>
    <t>PT loop fail ML2</t>
  </si>
  <si>
    <t>Over Speed ML2</t>
  </si>
  <si>
    <t>Dynamic Over Tension ML3</t>
  </si>
  <si>
    <t>Dynamic Under Tension ML3</t>
  </si>
  <si>
    <t>loadcell error ML3</t>
  </si>
  <si>
    <t>Ratchet sensor error ML3</t>
  </si>
  <si>
    <t>Chain stopper error ML3</t>
  </si>
  <si>
    <t>Operation error ML3</t>
  </si>
  <si>
    <t>Position error ML3</t>
  </si>
  <si>
    <t>Max chain out ML3</t>
  </si>
  <si>
    <t>Max chain in ML3</t>
  </si>
  <si>
    <t>PT loop fail ML3</t>
  </si>
  <si>
    <t>Over Speed ML3</t>
  </si>
  <si>
    <t>Dynamic Over Tension ML4</t>
  </si>
  <si>
    <t>Dynamic Under Tension ML4</t>
  </si>
  <si>
    <t>loadcell error ML4</t>
  </si>
  <si>
    <t>Ratchet sensor error ML4</t>
  </si>
  <si>
    <t>Chain stopper error ML4</t>
  </si>
  <si>
    <t>Operation error ML4</t>
  </si>
  <si>
    <t>Position error ML4</t>
  </si>
  <si>
    <t>Max chain out ML4</t>
  </si>
  <si>
    <t>Max chain in ML4</t>
  </si>
  <si>
    <t>PT loop fail ML4</t>
  </si>
  <si>
    <t>Over Speed ML4</t>
  </si>
  <si>
    <t>Dynamic Over Tension ML5</t>
  </si>
  <si>
    <t>Dynamic Under Tension ML5</t>
  </si>
  <si>
    <t>loadcell error ML5</t>
  </si>
  <si>
    <t>Ratchet sensor error ML5</t>
  </si>
  <si>
    <t>Chain stopper error ML5</t>
  </si>
  <si>
    <t>Operation error ML5</t>
  </si>
  <si>
    <t>Position error ML5</t>
  </si>
  <si>
    <t>Max chain out ML5</t>
  </si>
  <si>
    <t>Max chain in ML5</t>
  </si>
  <si>
    <t>PT loop fail ML5</t>
  </si>
  <si>
    <t>Over Speed ML5</t>
  </si>
  <si>
    <t>Dynamic Over Tension ML6</t>
  </si>
  <si>
    <t>Dynamic Under Tension ML6</t>
  </si>
  <si>
    <t>loadcell error ML6</t>
  </si>
  <si>
    <t>Ratchet sensor error ML6</t>
  </si>
  <si>
    <t>Chain stopper error ML6</t>
  </si>
  <si>
    <t>Operation error ML6</t>
  </si>
  <si>
    <t>Position error ML6</t>
  </si>
  <si>
    <t>Max chain out ML6</t>
  </si>
  <si>
    <t>Max chain in ML6</t>
  </si>
  <si>
    <t>PT loop fail ML6</t>
  </si>
  <si>
    <t>Over Speed ML6</t>
  </si>
  <si>
    <t>Dynamic Over Tension ML7</t>
  </si>
  <si>
    <t>Dynamic Under Tension ML7</t>
  </si>
  <si>
    <t>loadcell error ML7</t>
  </si>
  <si>
    <t>Ratchet sensor error ML7</t>
  </si>
  <si>
    <t>Chain stopper error ML7</t>
  </si>
  <si>
    <t>Operation error ML7</t>
  </si>
  <si>
    <t>Position error ML7</t>
  </si>
  <si>
    <t>Max chain out ML7</t>
  </si>
  <si>
    <t>Max chain in ML7</t>
  </si>
  <si>
    <t>PT loop fail ML7</t>
  </si>
  <si>
    <t>Over Speed ML7</t>
  </si>
  <si>
    <t>Dynamic Over Tension ML8</t>
  </si>
  <si>
    <t>Dynamic Under Tension ML8</t>
  </si>
  <si>
    <t>loadcell error ML8</t>
  </si>
  <si>
    <t>Ratchet sensor error ML8</t>
  </si>
  <si>
    <t>Chain stopper error ML8</t>
  </si>
  <si>
    <t>Operation error ML8</t>
  </si>
  <si>
    <t>Position error ML8</t>
  </si>
  <si>
    <t>Max chain out ML8</t>
  </si>
  <si>
    <t>Max chain in ML8</t>
  </si>
  <si>
    <t>PT loop fail ML8</t>
  </si>
  <si>
    <t>Over Speed ML8</t>
  </si>
  <si>
    <t>Dynamic Over Tension ML9</t>
  </si>
  <si>
    <t>Dynamic Under Tension ML9</t>
  </si>
  <si>
    <t>loadcell error ML9</t>
  </si>
  <si>
    <t>Ratchet sensor error ML9</t>
  </si>
  <si>
    <t>Chain stopper error ML9</t>
  </si>
  <si>
    <t>Operation error ML9</t>
  </si>
  <si>
    <t>Position error ML9</t>
  </si>
  <si>
    <t>Max chain out ML9</t>
  </si>
  <si>
    <t>Max chain in ML9</t>
  </si>
  <si>
    <t>PT loop fail ML9</t>
  </si>
  <si>
    <t>Over Speed ML9</t>
  </si>
  <si>
    <t>Oil Level Lo</t>
  </si>
  <si>
    <t>Oil Level LoLo</t>
  </si>
  <si>
    <t>Oil Temp Hi</t>
  </si>
  <si>
    <t>Oil Temp HiHi</t>
  </si>
  <si>
    <t>Oil Temp HiHiHi</t>
  </si>
  <si>
    <t>PLC Low Battery</t>
  </si>
  <si>
    <t>EmStop Group1 Activated</t>
  </si>
  <si>
    <t>EmStop Group2 Activated</t>
  </si>
  <si>
    <t>EmStop Group3 Activated</t>
  </si>
  <si>
    <t>EmStop HPU Activated</t>
  </si>
  <si>
    <t>Return Filter Clogged1</t>
  </si>
  <si>
    <t>Return Filter Clogged2</t>
  </si>
  <si>
    <t>Main Pump1 Running</t>
  </si>
  <si>
    <t>Main Pump2 Running</t>
  </si>
  <si>
    <t>Main Pump3 Running</t>
  </si>
  <si>
    <t>Main Pump4 Running</t>
  </si>
  <si>
    <t>Cir Pump1 Running</t>
  </si>
  <si>
    <t>Cir Pump2 Running</t>
  </si>
  <si>
    <t>Cooling Fan Running1</t>
  </si>
  <si>
    <t>Cooling Fan Running2</t>
  </si>
  <si>
    <t>Cooling Fan Running3</t>
  </si>
  <si>
    <t>Hydr. Press Standby</t>
  </si>
  <si>
    <t>Hydr. Press Work</t>
  </si>
  <si>
    <t>Hydr. Press Work High</t>
  </si>
  <si>
    <t>Prssure Available</t>
  </si>
  <si>
    <t>ML Watchdog Counter</t>
  </si>
  <si>
    <t>BCS Draft1</t>
  </si>
  <si>
    <t>BCS Draft2</t>
  </si>
  <si>
    <t>3NVB Ballast Tank Level</t>
  </si>
  <si>
    <t>3EVB Ballast Tank Level</t>
  </si>
  <si>
    <t>3SVB Ballast Tank Level</t>
  </si>
  <si>
    <t>3WVB Ballast Tank Level</t>
  </si>
  <si>
    <t>4NVO Void</t>
  </si>
  <si>
    <t>4EVO Void</t>
  </si>
  <si>
    <t>4SVO Void</t>
  </si>
  <si>
    <t>4WVO Void</t>
  </si>
  <si>
    <t>5NVO Void</t>
  </si>
  <si>
    <t>5EVO Void</t>
  </si>
  <si>
    <t>5SVO Void</t>
  </si>
  <si>
    <t>5WVO Void</t>
  </si>
  <si>
    <t>6NVO1 Void</t>
  </si>
  <si>
    <t>6NVO2 Void</t>
  </si>
  <si>
    <t>6EVO1 Void</t>
  </si>
  <si>
    <t>6EVO2 Void</t>
  </si>
  <si>
    <t>6SVO1 Void</t>
  </si>
  <si>
    <t>6SVO2 Void</t>
  </si>
  <si>
    <t>6WVO1 Void</t>
  </si>
  <si>
    <t>6WVO2 Void</t>
  </si>
  <si>
    <t>ROV Current Spd</t>
  </si>
  <si>
    <t>ROV Current Dir</t>
  </si>
  <si>
    <t>ROV Water Temp</t>
  </si>
  <si>
    <t>Lightship Weight</t>
  </si>
  <si>
    <t>Lightship Mt Vert HI</t>
  </si>
  <si>
    <t>Lightship Mt Vert LO</t>
  </si>
  <si>
    <t>Lightship Mt EW HI</t>
  </si>
  <si>
    <t>Lightship Mt EW LO</t>
  </si>
  <si>
    <t>Lightship Mt NS HI</t>
  </si>
  <si>
    <t>Lightship Mt NS LO</t>
  </si>
  <si>
    <t>Lightship Ch Weight</t>
  </si>
  <si>
    <t>Lightship Ch VCG</t>
  </si>
  <si>
    <t>Lightship Ch CG EW</t>
  </si>
  <si>
    <t>Lightship Ch CG NS</t>
  </si>
  <si>
    <t>Lightship Ch Mt Vert HI</t>
  </si>
  <si>
    <t>Lightship Ch Mt Vert LO</t>
  </si>
  <si>
    <t>Lightship Ch Mt EW HI</t>
  </si>
  <si>
    <t>Lightship Ch Mt EW LO</t>
  </si>
  <si>
    <t>Lightship Ch Mt NS HI</t>
  </si>
  <si>
    <t>Lightship Ch Mt NS LO</t>
  </si>
  <si>
    <t>Ballast Weight</t>
  </si>
  <si>
    <t>Ballast Mt Vert HI</t>
  </si>
  <si>
    <t>Ballast Mt Vert LO</t>
  </si>
  <si>
    <t>Ballast Mt EW HI</t>
  </si>
  <si>
    <t>Ballast Mt EW LO</t>
  </si>
  <si>
    <t>Ballast Mt NS HI</t>
  </si>
  <si>
    <t>Ballast Mt NS LO</t>
  </si>
  <si>
    <t>Ballast FS Mt EW HI</t>
  </si>
  <si>
    <t>Ballast FS Mt EW LO</t>
  </si>
  <si>
    <t>Ballast FS Mt NS HI</t>
  </si>
  <si>
    <t>Ballast FS Mt NS LO</t>
  </si>
  <si>
    <t>Diesel Oil Weight</t>
  </si>
  <si>
    <t>Diesel Oil VCG</t>
  </si>
  <si>
    <t>Diesel Oil CG EW</t>
  </si>
  <si>
    <t>Diesel Oil CG NS</t>
  </si>
  <si>
    <t>Diesel Oil Mt Vert HI</t>
  </si>
  <si>
    <t>Diesel Oil Mt Vert LO</t>
  </si>
  <si>
    <t>Diesel Oil Mt EW HI</t>
  </si>
  <si>
    <t>Diesel Oil Mt EW LO</t>
  </si>
  <si>
    <t>Diesel Oil Mt NS</t>
  </si>
  <si>
    <t>Diesel Oil FS Mt EW HI</t>
  </si>
  <si>
    <t>Diesel Oil FS Mt EW LO</t>
  </si>
  <si>
    <t>Diesel Oil FS Mt NS HI</t>
  </si>
  <si>
    <t>Diesel Oil FS Mt NS LO</t>
  </si>
  <si>
    <t>Drill Water Weight</t>
  </si>
  <si>
    <t>Drill Water VCG</t>
  </si>
  <si>
    <t>Drill Water CG EW</t>
  </si>
  <si>
    <t>Drill Water CG NS</t>
  </si>
  <si>
    <t>Drill Water Mt Vert HI</t>
  </si>
  <si>
    <t>Drill Water Mt Vert LO</t>
  </si>
  <si>
    <t>Drill Water Mt EW HI</t>
  </si>
  <si>
    <t>Drill Water Mt EW LO</t>
  </si>
  <si>
    <t>Drill Water Mt NS HI</t>
  </si>
  <si>
    <t>Drill Water Mt NS LO</t>
  </si>
  <si>
    <t>Drill Water FS Mt EW HI</t>
  </si>
  <si>
    <t>Drill Water FS Mt EW LO</t>
  </si>
  <si>
    <t>Drill Water FS Mt NS HI</t>
  </si>
  <si>
    <t>Drill Water FS Mt NS LO</t>
  </si>
  <si>
    <t>Methanol Weight</t>
  </si>
  <si>
    <t>Methanol VCG</t>
  </si>
  <si>
    <t>Methanol CG EW</t>
  </si>
  <si>
    <t>Methanol CG NS</t>
  </si>
  <si>
    <t>Methanol Mt Vert HI</t>
  </si>
  <si>
    <t>Methanol Mt Vert LO</t>
  </si>
  <si>
    <t>Methanol Mt EW HI</t>
  </si>
  <si>
    <t>Methanol Mt EW LO</t>
  </si>
  <si>
    <t>Methanol Mt NS HI</t>
  </si>
  <si>
    <t>Methanol Mt NS LO</t>
  </si>
  <si>
    <t>Methanol FS Mt EW HI</t>
  </si>
  <si>
    <t>Methanol FS Mt EW LO</t>
  </si>
  <si>
    <t>Methanol FS Mt NS HI</t>
  </si>
  <si>
    <t>Methanol FS Mt NS LO</t>
  </si>
  <si>
    <t>DO LDHI Weight</t>
  </si>
  <si>
    <t>DO LDHI VCG</t>
  </si>
  <si>
    <t>DO LDHI CG EW</t>
  </si>
  <si>
    <t>DO LDHI CG NS</t>
  </si>
  <si>
    <t>DO LDHI Mt Vert HI</t>
  </si>
  <si>
    <t>DO LDHI Mt Vert LO</t>
  </si>
  <si>
    <t>DO LDHI Mt EW HI</t>
  </si>
  <si>
    <t>DO LDHI Mt EW LO</t>
  </si>
  <si>
    <t>DO LDHI Mt NS HI</t>
  </si>
  <si>
    <t>DO LDHI Mt NS LO</t>
  </si>
  <si>
    <t>DO LDHI FS Mt EW HI</t>
  </si>
  <si>
    <t>DO LDHI FS Mt EW LO</t>
  </si>
  <si>
    <t>DO LDHI FS Mt NS HI</t>
  </si>
  <si>
    <t>DO LDHI FS Mt NS LO</t>
  </si>
  <si>
    <t>Chain Locker Weight</t>
  </si>
  <si>
    <t>Chain Locker VCG</t>
  </si>
  <si>
    <t>Chain Locker CG EW</t>
  </si>
  <si>
    <t>Chain Locker CG NS</t>
  </si>
  <si>
    <t>Chain Locker Mt Vert HI</t>
  </si>
  <si>
    <t>Chain Locker Mt Vert LO</t>
  </si>
  <si>
    <t>Chain Locker Mt EW HI</t>
  </si>
  <si>
    <t>Chain Locker Mt EW LO</t>
  </si>
  <si>
    <t>Chain Locker Mt NS HI</t>
  </si>
  <si>
    <t>Chain Locker Mt NS LO</t>
  </si>
  <si>
    <t>Chain Weights Weight</t>
  </si>
  <si>
    <t>Chain Weights VCG</t>
  </si>
  <si>
    <t>Chain Weights CG EW</t>
  </si>
  <si>
    <t>Chain Weights CG NS</t>
  </si>
  <si>
    <t>Chain Weights Mt Vert HI</t>
  </si>
  <si>
    <t>Chain Weights Mt Vert LO</t>
  </si>
  <si>
    <t>Chain Weights Mt EW HI</t>
  </si>
  <si>
    <t>Chain Weights Mt EW LO</t>
  </si>
  <si>
    <t>Chain Weights Mt NS HI</t>
  </si>
  <si>
    <t>Chain Weights Mt NS LO</t>
  </si>
  <si>
    <t>Mooring Lines Weight</t>
  </si>
  <si>
    <t>Mooring Lines VCG</t>
  </si>
  <si>
    <t>Mooring Lines CG EW</t>
  </si>
  <si>
    <t>Mooring Lines CG NS</t>
  </si>
  <si>
    <t>Mooring Lines Mt Vert HI</t>
  </si>
  <si>
    <t>Mooring Lines Mt Vert LO</t>
  </si>
  <si>
    <t>Mooring Lines Mt EW HI</t>
  </si>
  <si>
    <t>Mooring Lines Mt EW LO</t>
  </si>
  <si>
    <t>Mooring Lines Mt NS HI</t>
  </si>
  <si>
    <t>Mooring Lines Mt NS LO</t>
  </si>
  <si>
    <t>Risers Weight</t>
  </si>
  <si>
    <t>Risers Mt Vert HI</t>
  </si>
  <si>
    <t>Risers Mt Vert LO</t>
  </si>
  <si>
    <t>Risers Mt EW HI</t>
  </si>
  <si>
    <t>Risers Mt EW LO</t>
  </si>
  <si>
    <t>Risers Mt NS HI</t>
  </si>
  <si>
    <t>Risers Mt NS LO</t>
  </si>
  <si>
    <t>Drilling Rig Weight</t>
  </si>
  <si>
    <t>Drilling Rig VCG</t>
  </si>
  <si>
    <t>Drilling Rig CG EW</t>
  </si>
  <si>
    <t>Drilling Rig CG NS</t>
  </si>
  <si>
    <t>Drilling Rig Mt Vert HI</t>
  </si>
  <si>
    <t>Drilling Rig Mt Vert LO</t>
  </si>
  <si>
    <t>Drilling Rig Mt EW HI</t>
  </si>
  <si>
    <t>Drilling Rig Mt EW LO</t>
  </si>
  <si>
    <t>Drilling Rig Mt NS HI</t>
  </si>
  <si>
    <t>Drilling Rig Mt NS LO</t>
  </si>
  <si>
    <t>Prod Dk LIQ Weight</t>
  </si>
  <si>
    <t>Prod Dk LIQ VCG</t>
  </si>
  <si>
    <t>Prod Dk LIQ CG EW</t>
  </si>
  <si>
    <t>Prod Dk LIQ CG NS</t>
  </si>
  <si>
    <t>Prod Dk LIQ Mt Vert HI</t>
  </si>
  <si>
    <t>Prod Dk LIQ Mt Vert LO</t>
  </si>
  <si>
    <t>Prod Dk LIQ Mt EW HI</t>
  </si>
  <si>
    <t>Prod Dk LIQ Mt EW LO</t>
  </si>
  <si>
    <t>Prod Dk LIQ Mt NS HI</t>
  </si>
  <si>
    <t>Prod Dk LIQ Mt NS LO</t>
  </si>
  <si>
    <t>Prod Dk LIQ FS Mt EW HI</t>
  </si>
  <si>
    <t>Prod Dk LIQ FS Mt EW LO</t>
  </si>
  <si>
    <t>Prod Dk LIQ FS Mt NS HI</t>
  </si>
  <si>
    <t>Prod Dk LIQ FS Mt NS LO</t>
  </si>
  <si>
    <t>Cellr Dk Liq Weight</t>
  </si>
  <si>
    <t>Cellr Dk Liq VCG</t>
  </si>
  <si>
    <t>Cellr Dk Liq CG EW</t>
  </si>
  <si>
    <t>Cellr Dk Liq CG NS</t>
  </si>
  <si>
    <t>Cellr Dk Liq Mt Vert HI</t>
  </si>
  <si>
    <t>Cellr Dk Liq Mt Vert LO</t>
  </si>
  <si>
    <t>Cellr Dk Liq Mt EW HI</t>
  </si>
  <si>
    <t>Cellr Dk Liq Mt EW LO</t>
  </si>
  <si>
    <t>Cellr Dk Liq Mt NS HI</t>
  </si>
  <si>
    <t>Cellr Dk Liq Mt NS LO</t>
  </si>
  <si>
    <t>Cellr Dk Liq FS Mt EW HI</t>
  </si>
  <si>
    <t>Cellr Dk Liq FS Mt EW LO</t>
  </si>
  <si>
    <t>Cellr Dk Liq FS Mt NS HI</t>
  </si>
  <si>
    <t>Cellr Dk Liq FS Mt NS LO</t>
  </si>
  <si>
    <t>Drilling Fluids Weight</t>
  </si>
  <si>
    <t>Drilling Fluids VCG</t>
  </si>
  <si>
    <t>Drilling Fluids CG EW</t>
  </si>
  <si>
    <t>Drilling Fluids CG NS</t>
  </si>
  <si>
    <t>Drilling Flds Mt Vert HI</t>
  </si>
  <si>
    <t>Drilling Flds Mt Vert LO</t>
  </si>
  <si>
    <t>Drilling Fluids Mt EW HI</t>
  </si>
  <si>
    <t>Drilling Fluids Mt EW LO</t>
  </si>
  <si>
    <t>Drilling Fluids Mt NS HI</t>
  </si>
  <si>
    <t>Drilling Fluids Mt NS LO</t>
  </si>
  <si>
    <t>Drilling Flds FS Mt EW HI</t>
  </si>
  <si>
    <t>Drilling Flds FS Mt EW LO</t>
  </si>
  <si>
    <t>Drilling Flds FS Mt NS HI</t>
  </si>
  <si>
    <t>Drilling Flds FS Mt NS LO</t>
  </si>
  <si>
    <t>Spaces Weight</t>
  </si>
  <si>
    <t>Spaces VCG</t>
  </si>
  <si>
    <t>Spaces CG EW</t>
  </si>
  <si>
    <t>Spaces CG NS</t>
  </si>
  <si>
    <t>Spaces Mt Vert HI</t>
  </si>
  <si>
    <t>Spaces Mt Vert LO</t>
  </si>
  <si>
    <t>Spaces Mt EW HI</t>
  </si>
  <si>
    <t>Spaces Mt EW LO</t>
  </si>
  <si>
    <t>Spaces Mt NS HI</t>
  </si>
  <si>
    <t>Spaces Mt NS LO</t>
  </si>
  <si>
    <t>Main Dk Weight</t>
  </si>
  <si>
    <t>Main Dk VCG</t>
  </si>
  <si>
    <t>Main Dk CG EW</t>
  </si>
  <si>
    <t>Main Dk CG NS</t>
  </si>
  <si>
    <t>Main Dk Mt Vert HI</t>
  </si>
  <si>
    <t>Main Dk Mt Vert LO</t>
  </si>
  <si>
    <t>Main Dk Mt EW HI</t>
  </si>
  <si>
    <t>Main Dk Mt EW LO</t>
  </si>
  <si>
    <t>Main Dk Mt NS HI</t>
  </si>
  <si>
    <t>Main Dk Mt NS LO</t>
  </si>
  <si>
    <t>Prod Dk Weight</t>
  </si>
  <si>
    <t>Prod Dk VCG</t>
  </si>
  <si>
    <t>Prod Dk CG EW</t>
  </si>
  <si>
    <t>Prod Dk CG NS</t>
  </si>
  <si>
    <t>Prod Dk Mt Vert HI</t>
  </si>
  <si>
    <t>Prod Dk Mt Vert LO</t>
  </si>
  <si>
    <t>Prod Dk Mt EW HI</t>
  </si>
  <si>
    <t>Prod Dk Mt EW LO</t>
  </si>
  <si>
    <t>Prod Dk Mt NS HI</t>
  </si>
  <si>
    <t>Prod Dk Mt NS LO</t>
  </si>
  <si>
    <t>Cllr Dk Weight</t>
  </si>
  <si>
    <t>Cllr Dk VCG</t>
  </si>
  <si>
    <t>Cllr Dk CG EW</t>
  </si>
  <si>
    <t>Cllr Dk CG NS</t>
  </si>
  <si>
    <t>Cllr Dk Mt Vert HI</t>
  </si>
  <si>
    <t>Cllr Dk Mt Vert LO</t>
  </si>
  <si>
    <t>Cllr Dk Mt EW HI</t>
  </si>
  <si>
    <t>Cllr Dk Mt EW LO</t>
  </si>
  <si>
    <t>Cllr Dk Mt NS HI</t>
  </si>
  <si>
    <t>Cllr Dk Mt NS LO</t>
  </si>
  <si>
    <t>Spar Dk Weight</t>
  </si>
  <si>
    <t>Spar Dk VCG</t>
  </si>
  <si>
    <t>Spar Dk CG EW</t>
  </si>
  <si>
    <t>Spar Dk CG NS</t>
  </si>
  <si>
    <t>Spar Dk Mt Vert HI</t>
  </si>
  <si>
    <t>Spar Dk Mt Vert LO</t>
  </si>
  <si>
    <t>Spar Dk Mt EW HI</t>
  </si>
  <si>
    <t>Spar Dk Mt EW LO</t>
  </si>
  <si>
    <t>Spar Dk Mt NS HI</t>
  </si>
  <si>
    <t>Spar Dk Mt NS LO</t>
  </si>
  <si>
    <t>Voids Weight</t>
  </si>
  <si>
    <t>Voids VCG</t>
  </si>
  <si>
    <t>Voids CG EW</t>
  </si>
  <si>
    <t>Voids CG NS</t>
  </si>
  <si>
    <t>Voids Mt Vert HI</t>
  </si>
  <si>
    <t>Voids Mt Vert LO</t>
  </si>
  <si>
    <t>Voids Mt EW HI</t>
  </si>
  <si>
    <t>Voids Mt EW LO</t>
  </si>
  <si>
    <t>Voids Mt NS HI</t>
  </si>
  <si>
    <t>Voids Mt NS LO</t>
  </si>
  <si>
    <t>Voids FS Mt EW HI</t>
  </si>
  <si>
    <t>Voids FS Mt EW LO</t>
  </si>
  <si>
    <t>Voids FS Mt NS HI</t>
  </si>
  <si>
    <t>Voids FS Mt NS LO</t>
  </si>
  <si>
    <t>HFM Weight</t>
  </si>
  <si>
    <t>HFM VCG</t>
  </si>
  <si>
    <t>HFM CG EW</t>
  </si>
  <si>
    <t>HFM CG NS</t>
  </si>
  <si>
    <t>HFM Mt Vert HI</t>
  </si>
  <si>
    <t>HFM Mt Vert LO</t>
  </si>
  <si>
    <t>HFM Mt EW HI</t>
  </si>
  <si>
    <t>HFM Mt EW LO</t>
  </si>
  <si>
    <t>HFM Mt NS HI</t>
  </si>
  <si>
    <t>HFM Mt NS LO</t>
  </si>
  <si>
    <t>Disc Weight</t>
  </si>
  <si>
    <t>Disc Weight VCG</t>
  </si>
  <si>
    <t>Disc Weight CG EW</t>
  </si>
  <si>
    <t>Disc Weight CG NS</t>
  </si>
  <si>
    <t>LPF Mt EW HI</t>
  </si>
  <si>
    <t>LPF Mt EW LO</t>
  </si>
  <si>
    <t>LPF Mt NS HI</t>
  </si>
  <si>
    <t>LPF Mt NS LO</t>
  </si>
  <si>
    <t>Apparent Inclination EW</t>
  </si>
  <si>
    <t>Apparent Inclination NS</t>
  </si>
  <si>
    <t>Total Platform KG</t>
  </si>
  <si>
    <t>Operating KG Allow</t>
  </si>
  <si>
    <t>Storm KG Allow</t>
  </si>
  <si>
    <t>Total Weight Weight</t>
  </si>
  <si>
    <t>Total Weight VCG</t>
  </si>
  <si>
    <t>Total Weight CG EW</t>
  </si>
  <si>
    <t>Total Weight CG NS</t>
  </si>
  <si>
    <t>Total Weight FS Mt EW HI</t>
  </si>
  <si>
    <t>Total Weight FS Mt EW LO</t>
  </si>
  <si>
    <t>Total Weight FS Mt NS HI</t>
  </si>
  <si>
    <t>Total Weight FS Mt NS LO</t>
  </si>
  <si>
    <t>Miros Sig Wave Ht</t>
  </si>
  <si>
    <t>Miros Max Wave Ht</t>
  </si>
  <si>
    <t>Miros Wave Period</t>
  </si>
  <si>
    <t>Miros Wave Dir</t>
  </si>
  <si>
    <t>Miros Pri Wave Dir Spread</t>
  </si>
  <si>
    <t>Miros Wave Steepness</t>
  </si>
  <si>
    <t>Miros Sec Wave Peak Dir</t>
  </si>
  <si>
    <t>Miros Wave HI Time</t>
  </si>
  <si>
    <t>Miros Wave LO Time</t>
  </si>
  <si>
    <t>Miros Surface Current Spd</t>
  </si>
  <si>
    <t>Miros Surface Current Dir</t>
  </si>
  <si>
    <t>Miros Current HI Time</t>
  </si>
  <si>
    <t>Miros Current LO Time</t>
  </si>
  <si>
    <t>Fugro Crane Heading</t>
  </si>
  <si>
    <t>Orion Crane Heading</t>
  </si>
  <si>
    <t>Auto GPS Lat</t>
  </si>
  <si>
    <t>Auto GPS Lon</t>
  </si>
  <si>
    <t>Auto GPS Altitude</t>
  </si>
  <si>
    <t>Auto GPS Northings</t>
  </si>
  <si>
    <t>Auto GPS Eastings</t>
  </si>
  <si>
    <t>Auto PQ Northings</t>
  </si>
  <si>
    <t>Auto PQ Eastings</t>
  </si>
  <si>
    <t>Auto PQ Offset</t>
  </si>
  <si>
    <t>Auto PQ Offset Dir</t>
  </si>
  <si>
    <t>Auto PQ Northings AVG</t>
  </si>
  <si>
    <t>Auto PQ Eastings AVG</t>
  </si>
  <si>
    <t>Auto Crane Heading</t>
  </si>
  <si>
    <t>Auto GPS Quality</t>
  </si>
  <si>
    <t>Auto No of Satellites</t>
  </si>
  <si>
    <t>Auto PQ Northings WC</t>
  </si>
  <si>
    <t>Auto PQ Eastings WC</t>
  </si>
  <si>
    <t>Auto PQ Offset WC</t>
  </si>
  <si>
    <t>Auto PQ Bearing WC</t>
  </si>
  <si>
    <t>Auto PQ UTM North</t>
  </si>
  <si>
    <t>Auto PQ UTM East</t>
  </si>
  <si>
    <t>ML1 Current Link</t>
  </si>
  <si>
    <t>ML1 Current DOS</t>
  </si>
  <si>
    <t>ML2 Current Link</t>
  </si>
  <si>
    <t>ML2 Current DOS</t>
  </si>
  <si>
    <t>ML3 Current Link</t>
  </si>
  <si>
    <t>ML3 Current DOS</t>
  </si>
  <si>
    <t>ML4 Current Link</t>
  </si>
  <si>
    <t>ML4 Current DOS</t>
  </si>
  <si>
    <t>ML5 Current Link</t>
  </si>
  <si>
    <t>ML5 Current DOS</t>
  </si>
  <si>
    <t>ML6 Current Link</t>
  </si>
  <si>
    <t>ML6 Current DOS</t>
  </si>
  <si>
    <t>ML7 Current Link</t>
  </si>
  <si>
    <t>ML7 Current DOS</t>
  </si>
  <si>
    <t>ML8 Current Link</t>
  </si>
  <si>
    <t>ML8 Current DOS</t>
  </si>
  <si>
    <t>ML9 Current Link</t>
  </si>
  <si>
    <t>ML9 Current DOS</t>
  </si>
  <si>
    <t>MISMAS Watchdog</t>
  </si>
  <si>
    <t>AWOS Air Temperature Avg</t>
  </si>
  <si>
    <t>AWOS Dew Point Avg</t>
  </si>
  <si>
    <t>AWOS Altimeter Avg</t>
  </si>
  <si>
    <t>AWOS Cloud Height Avg</t>
  </si>
  <si>
    <t>AWOS Visibility Avg</t>
  </si>
  <si>
    <t>Lidar Air Temp Avg</t>
  </si>
  <si>
    <t>Lidar Air Pressure Avg</t>
  </si>
  <si>
    <t>Riser S-A Load PT1</t>
  </si>
  <si>
    <t>Riser S-A Load PT2</t>
  </si>
  <si>
    <t>Riser S-A Load PT3</t>
  </si>
  <si>
    <t>Riser S-A Load PT4</t>
  </si>
  <si>
    <t>Riser S-A PT1 Diff</t>
  </si>
  <si>
    <t>Riser S-A PT2 Diff</t>
  </si>
  <si>
    <t>Riser S-A PT3 Diff</t>
  </si>
  <si>
    <t>Riser S-A PT4 Diff</t>
  </si>
  <si>
    <t>Riser S-A Tension</t>
  </si>
  <si>
    <t>Riser S-A TF</t>
  </si>
  <si>
    <t>Riser S-A Stroke Rel</t>
  </si>
  <si>
    <t>Riser S-B Load PT1</t>
  </si>
  <si>
    <t>Riser S-B Load PT2</t>
  </si>
  <si>
    <t>Riser S-B Load PT3</t>
  </si>
  <si>
    <t>Riser S-B Load PT4</t>
  </si>
  <si>
    <t>Riser S-B PT1 Diff</t>
  </si>
  <si>
    <t>Riser S-B PT2 Diff</t>
  </si>
  <si>
    <t>Riser S-B PT3 Diff</t>
  </si>
  <si>
    <t>Riser S-B PT4 Diff</t>
  </si>
  <si>
    <t>Riser S-B Tension</t>
  </si>
  <si>
    <t>Riser S-B TF</t>
  </si>
  <si>
    <t>Riser S-B Stroke Rel</t>
  </si>
  <si>
    <t>Riser S-C Load PT1</t>
  </si>
  <si>
    <t>Riser S-C Load PT2</t>
  </si>
  <si>
    <t>Riser S-C Load PT3</t>
  </si>
  <si>
    <t>Riser S-C Load PT4</t>
  </si>
  <si>
    <t>Riser S-C PT1 Diff</t>
  </si>
  <si>
    <t>Riser S-C PT2 Diff</t>
  </si>
  <si>
    <t>Riser S-C PT3 Diff</t>
  </si>
  <si>
    <t>Riser S-C PT4 Diff</t>
  </si>
  <si>
    <t>Riser S-C Tension</t>
  </si>
  <si>
    <t>Riser S-C TF</t>
  </si>
  <si>
    <t>Riser S-C Stroke Rel</t>
  </si>
  <si>
    <t>Riser S-D Load PT1</t>
  </si>
  <si>
    <t>Riser S-D Load PT2</t>
  </si>
  <si>
    <t>Riser S-D Load PT3</t>
  </si>
  <si>
    <t>Riser S-D Load PT4</t>
  </si>
  <si>
    <t>Riser S-D PT1 Diff</t>
  </si>
  <si>
    <t>Riser S-D PT2 Diff</t>
  </si>
  <si>
    <t>Riser S-D PT3 Diff</t>
  </si>
  <si>
    <t>Riser S-D PT4 Diff</t>
  </si>
  <si>
    <t>Riser S-D Tension</t>
  </si>
  <si>
    <t>Riser S-D TF</t>
  </si>
  <si>
    <t>Riser S-D Stroke Rel</t>
  </si>
  <si>
    <t>Riser S-E Load PT1</t>
  </si>
  <si>
    <t>Riser S-E Load PT2</t>
  </si>
  <si>
    <t>Riser S-E Load PT3</t>
  </si>
  <si>
    <t>Riser S-E Load PT4</t>
  </si>
  <si>
    <t>Riser S-E PT1 Diff</t>
  </si>
  <si>
    <t>Riser S-E PT2 Diff</t>
  </si>
  <si>
    <t>Riser S-E PT3 Diff</t>
  </si>
  <si>
    <t>Riser S-E PT4 Diff</t>
  </si>
  <si>
    <t>Riser S-E Tension</t>
  </si>
  <si>
    <t>Riser S-E TF</t>
  </si>
  <si>
    <t>Riser S-E Stroke Rel</t>
  </si>
  <si>
    <t>Riser S-DCR Load PT1</t>
  </si>
  <si>
    <t>Riser S-DCR Load PT2</t>
  </si>
  <si>
    <t>Riser S-DCR Load PT3</t>
  </si>
  <si>
    <t>Riser S-DCR Load PT4</t>
  </si>
  <si>
    <t>Riser S-DCR PT1 Diff</t>
  </si>
  <si>
    <t>Riser S-DCR PT2 Diff</t>
  </si>
  <si>
    <t>Riser S-DCR PT3 Diff</t>
  </si>
  <si>
    <t>Riser S-DCR PT4 Diff</t>
  </si>
  <si>
    <t>Riser S-DCR Tension</t>
  </si>
  <si>
    <t>Riser S-DCR TF</t>
  </si>
  <si>
    <t>Riser S-DCR Stroke Rel</t>
  </si>
  <si>
    <t>Methanol1 Tank Wght</t>
  </si>
  <si>
    <t>Methanol2 Tank Wght</t>
  </si>
  <si>
    <t>LDHI Tank Wght</t>
  </si>
  <si>
    <t>Drill Water Tank Wght</t>
  </si>
  <si>
    <t>Diesel Oil Tank Wght</t>
  </si>
  <si>
    <t>Hull Dead Oil1 Tank Wght</t>
  </si>
  <si>
    <t>Hull Dead Oil2 Tank Wght</t>
  </si>
  <si>
    <t>3NVB Ballast Tank Wght</t>
  </si>
  <si>
    <t>3EVB Ballast Tank Wght</t>
  </si>
  <si>
    <t>3SVB Ballast Tank Wght</t>
  </si>
  <si>
    <t>3WVB Ballast Tank Wght</t>
  </si>
  <si>
    <t>ML Link Health</t>
  </si>
  <si>
    <t>Heli Max Roll 10min</t>
  </si>
  <si>
    <t>Heli Min Roll 10min</t>
  </si>
  <si>
    <t>Heli Max Pitch 10min</t>
  </si>
  <si>
    <t>Heli Min Pitch 10min</t>
  </si>
  <si>
    <t>Heli Max Heave 10min</t>
  </si>
  <si>
    <t>Heli Heave Rate 10min</t>
  </si>
  <si>
    <t>Heli Max Heave Rate 10min</t>
  </si>
  <si>
    <t>Heli Heave Period 10min</t>
  </si>
  <si>
    <t>Heli Wind Spd 10min</t>
  </si>
  <si>
    <t>Heli Wind Dir 10min</t>
  </si>
  <si>
    <t>MAS Trim</t>
  </si>
  <si>
    <t>MAS List</t>
  </si>
  <si>
    <t>MAS Heading</t>
  </si>
  <si>
    <t>MAS Northings</t>
  </si>
  <si>
    <t>MAS Eastings</t>
  </si>
  <si>
    <t>MAS Current Spd</t>
  </si>
  <si>
    <t>MAS Current Dir</t>
  </si>
  <si>
    <t>MAS Wave Height</t>
  </si>
  <si>
    <t>MAS Wave Direction</t>
  </si>
  <si>
    <t>MAS CL Draft</t>
  </si>
  <si>
    <t>MAS BCS Draft 1</t>
  </si>
  <si>
    <t>MAS BCS Draft 2</t>
  </si>
  <si>
    <t>MAS Methanol1 Tank Level</t>
  </si>
  <si>
    <t>MAS Methanol2 Tank Level</t>
  </si>
  <si>
    <t>MAS LDHI Tank Level</t>
  </si>
  <si>
    <t>MAS Drill Water Tank Level</t>
  </si>
  <si>
    <t>MAS Diesel Oil Tank Level</t>
  </si>
  <si>
    <t>MAS Hull Dead Oil1 Tnk Lvl</t>
  </si>
  <si>
    <t>MAS Hull Dead Oil2 Tnk Lvl</t>
  </si>
  <si>
    <t>MAS Dry Oil Tank Level</t>
  </si>
  <si>
    <t>MAS DCS Watchdog Counter</t>
  </si>
  <si>
    <t>MAS 2060 Prt Water Tank A</t>
  </si>
  <si>
    <t>MAS 2060 Prt Water Tank B</t>
  </si>
  <si>
    <t>MAS 2080 Diesel Tank</t>
  </si>
  <si>
    <t>MAS 8750 Topside HPU</t>
  </si>
  <si>
    <t>MAS 2170 HPU Supply</t>
  </si>
  <si>
    <t>MAS 2170 HPU Return</t>
  </si>
  <si>
    <t>MAS 2300 Asphaltene Inh</t>
  </si>
  <si>
    <t>MAS 2310 Corrosion Inhi</t>
  </si>
  <si>
    <t>MAS 2320 Demulsifier</t>
  </si>
  <si>
    <t>MAS 2330 Defoamer</t>
  </si>
  <si>
    <t>MAS 2340 LDHI</t>
  </si>
  <si>
    <t>MAS 2350 Methanol</t>
  </si>
  <si>
    <t>MAS 2360 Paraffin Inhi</t>
  </si>
  <si>
    <t>MAS 2370 Scale Inhibito</t>
  </si>
  <si>
    <t>MAS 2380 Antifoam</t>
  </si>
  <si>
    <t>MAS 2390 Acid Dmlsifier</t>
  </si>
  <si>
    <t>MAS 2400 Water Clarifie</t>
  </si>
  <si>
    <t>MAS 2410 Flotatn Aid</t>
  </si>
  <si>
    <t>MAS 2420 Tri Ethl Glyco</t>
  </si>
  <si>
    <t>MAS 2430 H2S Scavenger</t>
  </si>
  <si>
    <t>MAS 2440 Nitrate</t>
  </si>
  <si>
    <t>MAS 2450 Biocide</t>
  </si>
  <si>
    <t>MAS 2460 Scale Inhibito</t>
  </si>
  <si>
    <t>MAS 2470 O2 Scavenger</t>
  </si>
  <si>
    <t>MAS 2480 Gas P/L Corr</t>
  </si>
  <si>
    <t>MAS 2490 Oil P/L Corr</t>
  </si>
  <si>
    <t>MAS 2500 Pour Point Dep</t>
  </si>
  <si>
    <t>MAS DRY OIL TANK</t>
  </si>
  <si>
    <t>MAS Potable Water Tank A</t>
  </si>
  <si>
    <t>MAS Potable Water Tank B</t>
  </si>
  <si>
    <t>MAS MBD-1060</t>
  </si>
  <si>
    <t>MAS MBD-1610A</t>
  </si>
  <si>
    <t>MAS MBD-1610B</t>
  </si>
  <si>
    <t>MAS MBD-1610C</t>
  </si>
  <si>
    <t>MAS MBD-1610D</t>
  </si>
  <si>
    <t>MAS MBD-1610E</t>
  </si>
  <si>
    <t>MAS BBC1220</t>
  </si>
  <si>
    <t>MAS ABJ-2030</t>
  </si>
  <si>
    <t>MAS MBD-124003</t>
  </si>
  <si>
    <t>MAS MBD-124005</t>
  </si>
  <si>
    <t>MAS MBJ-1330</t>
  </si>
  <si>
    <t>MAS MBD-1520A</t>
  </si>
  <si>
    <t>MAS MBD-1520B</t>
  </si>
  <si>
    <t>MAS MBD-1520C</t>
  </si>
  <si>
    <t>MAS MBD-1520D</t>
  </si>
  <si>
    <t>MAS MBD-1520E</t>
  </si>
  <si>
    <t>MAS MBF-1190A</t>
  </si>
  <si>
    <t>MAS MBF-1190B</t>
  </si>
  <si>
    <t>MAS MBF-1200A</t>
  </si>
  <si>
    <t>MAS MBF-1200B</t>
  </si>
  <si>
    <t>MAS MBM-151001</t>
  </si>
  <si>
    <t>MAS MBM-151006</t>
  </si>
  <si>
    <t>MAS MBD-105013</t>
  </si>
  <si>
    <t>MAS MBD-105018</t>
  </si>
  <si>
    <t>MAS MAK-1110A04</t>
  </si>
  <si>
    <t>MAS MAK-1110A06</t>
  </si>
  <si>
    <t>MAS MAK-1110B04</t>
  </si>
  <si>
    <t>MAS MAK-1110B06</t>
  </si>
  <si>
    <t>MAS MBF-1090</t>
  </si>
  <si>
    <t>MAS MBM-154001</t>
  </si>
  <si>
    <t>MAS MBM-154003</t>
  </si>
  <si>
    <t>MAS MBF-1080</t>
  </si>
  <si>
    <t>MAS MBD-1630-25</t>
  </si>
  <si>
    <t>MAS MBD-1630-35</t>
  </si>
  <si>
    <t>MAS Static Tension ML1</t>
  </si>
  <si>
    <t>MAS Static Tension ML2</t>
  </si>
  <si>
    <t>MAS Static Tension ML3</t>
  </si>
  <si>
    <t>MAS Static Tension ML4</t>
  </si>
  <si>
    <t>MAS Static Tension ML5</t>
  </si>
  <si>
    <t>MAS Static Tension ML6</t>
  </si>
  <si>
    <t>MAS Static Tension ML7</t>
  </si>
  <si>
    <t>MAS Static Tension ML8</t>
  </si>
  <si>
    <t>MAS Static Tension ML9</t>
  </si>
  <si>
    <t>MAS Chain Footage ML1</t>
  </si>
  <si>
    <t>MAS Chain Footage ML2</t>
  </si>
  <si>
    <t>MAS Chain Footage ML3</t>
  </si>
  <si>
    <t>MAS Chain Footage ML4</t>
  </si>
  <si>
    <t>MAS Chain Footage ML5</t>
  </si>
  <si>
    <t>MAS Chain Footage ML6</t>
  </si>
  <si>
    <t>MAS Chain Footage ML7</t>
  </si>
  <si>
    <t>MAS Chain Footage ML8</t>
  </si>
  <si>
    <t>MAS Chain Footage ML9</t>
  </si>
  <si>
    <t>MAS 3NVB Ballast Tank Lvl</t>
  </si>
  <si>
    <t>MAS 3EVB Ballast Tank Lvl</t>
  </si>
  <si>
    <t>MAS 3SVB Ballast Tank Lvl</t>
  </si>
  <si>
    <t>MAS 3WVB Ballast Tank Lvl</t>
  </si>
  <si>
    <t>MAS Hookload</t>
  </si>
  <si>
    <t>MAS Riser S-A Tension</t>
  </si>
  <si>
    <t>MAS Riser S-B Tension</t>
  </si>
  <si>
    <t>MAS Riser S-C Tension</t>
  </si>
  <si>
    <t>MAS Riser S-D Tension</t>
  </si>
  <si>
    <t>MAS Riser S-E Tension</t>
  </si>
  <si>
    <t>MAS Riser S-DCR Tension</t>
  </si>
  <si>
    <t>Predicted Tide</t>
  </si>
  <si>
    <t>MAS ML1 Current Link</t>
  </si>
  <si>
    <t>MAS ML2 Current Link</t>
  </si>
  <si>
    <t>MAS ML3 Current Link</t>
  </si>
  <si>
    <t>MAS ML4 Current Link</t>
  </si>
  <si>
    <t>MAS ML5 Current Link</t>
  </si>
  <si>
    <t>MAS ML6 Current Link</t>
  </si>
  <si>
    <t>MAS ML7 Current Link</t>
  </si>
  <si>
    <t>MAS ML8 Current Link</t>
  </si>
  <si>
    <t>MAS ML9 Current Link</t>
  </si>
  <si>
    <t>Lightship Mt Vert</t>
  </si>
  <si>
    <t>Lightship Mt EW</t>
  </si>
  <si>
    <t>Lightship Mt NS</t>
  </si>
  <si>
    <t>Lightship Ch Mt Vert</t>
  </si>
  <si>
    <t>Lightship Ch Mt EW</t>
  </si>
  <si>
    <t>Lightship Ch Mt NS</t>
  </si>
  <si>
    <t>Ballast Mt Vert</t>
  </si>
  <si>
    <t>Ballast Mt EW</t>
  </si>
  <si>
    <t>Ballast Mt NS</t>
  </si>
  <si>
    <t>Ballast FS Mt EW</t>
  </si>
  <si>
    <t>Ballast FS Mt NS</t>
  </si>
  <si>
    <t>Diesel Oil Mt Vert</t>
  </si>
  <si>
    <t>Diesel Oil Mt EW</t>
  </si>
  <si>
    <t>Diesel Oil FS Mt EW</t>
  </si>
  <si>
    <t>Diesel Oil FS Mt NS</t>
  </si>
  <si>
    <t>Drill Water Mt Vert</t>
  </si>
  <si>
    <t>Drill Water Mt EW</t>
  </si>
  <si>
    <t>Drill Water Mt NS</t>
  </si>
  <si>
    <t>Drill Water FS Mt EW</t>
  </si>
  <si>
    <t>Drill Water FS Mt NS</t>
  </si>
  <si>
    <t>Methanol Mt Vert</t>
  </si>
  <si>
    <t>Methanol Mt EW</t>
  </si>
  <si>
    <t>Methanol Mt NS</t>
  </si>
  <si>
    <t>Methanol FS Mt EW</t>
  </si>
  <si>
    <t>Methanol FS Mt NS</t>
  </si>
  <si>
    <t>DO LDHI Mt Vert</t>
  </si>
  <si>
    <t>DO LDHI Mt EW</t>
  </si>
  <si>
    <t>DO LDHI Mt NS</t>
  </si>
  <si>
    <t>DO LDHI FS Mt EW</t>
  </si>
  <si>
    <t>DO LDHI FS Mt NS</t>
  </si>
  <si>
    <t>Chain Locker Mt Vert</t>
  </si>
  <si>
    <t>Chain Locker Mt EW</t>
  </si>
  <si>
    <t>Chain Locker Mt NS</t>
  </si>
  <si>
    <t>Chain Weights Mt Vert</t>
  </si>
  <si>
    <t>Chain Weights Mt EW</t>
  </si>
  <si>
    <t>Chain Weights Mt NS</t>
  </si>
  <si>
    <t>Mooring Lines Mt Vert</t>
  </si>
  <si>
    <t>Mooring Lines Mt EW</t>
  </si>
  <si>
    <t>Mooring Lines Mt NS</t>
  </si>
  <si>
    <t>Risers Mt Vert</t>
  </si>
  <si>
    <t>Risers Mt EW</t>
  </si>
  <si>
    <t>Risers Mt NS</t>
  </si>
  <si>
    <t>Drilling Rig Mt Vert</t>
  </si>
  <si>
    <t>Drilling Rig Mt EW</t>
  </si>
  <si>
    <t>Drilling Rig Mt NS</t>
  </si>
  <si>
    <t>Prod Dk LIQ Mt Vert</t>
  </si>
  <si>
    <t>Prod Dk LIQ Mt EW</t>
  </si>
  <si>
    <t>Prod Dk LIQ Mt NS</t>
  </si>
  <si>
    <t>Prod Dk LIQ FS Mt EW</t>
  </si>
  <si>
    <t>Prod Dk LIQ FS Mt NS</t>
  </si>
  <si>
    <t>Cellr Dk Liq Mt Vert</t>
  </si>
  <si>
    <t>Cellr Dk Liq Mt EW</t>
  </si>
  <si>
    <t>Cellr Dk Liq Mt NS</t>
  </si>
  <si>
    <t>Cellr Dk Liq FS Mt EW</t>
  </si>
  <si>
    <t>Cellr Dk Liq FS Mt NS</t>
  </si>
  <si>
    <t>Drilling Flds Mt Vert</t>
  </si>
  <si>
    <t>Drilling Fluids Mt EW</t>
  </si>
  <si>
    <t>Drilling Fluids Mt NS</t>
  </si>
  <si>
    <t>Drilling Flds FS Mt EW</t>
  </si>
  <si>
    <t>Drilling Flds FS Mt NS</t>
  </si>
  <si>
    <t>Spaces Mt Vert</t>
  </si>
  <si>
    <t>Spaces Mt EW</t>
  </si>
  <si>
    <t>Spaces Mt NS</t>
  </si>
  <si>
    <t>Main Dk Mt Vert</t>
  </si>
  <si>
    <t>Main Dk Mt EW</t>
  </si>
  <si>
    <t>Main Dk Mt NS</t>
  </si>
  <si>
    <t>Prod Dk Mt Vert</t>
  </si>
  <si>
    <t>Prod Dk Mt EW</t>
  </si>
  <si>
    <t>Prod Dk Mt NS</t>
  </si>
  <si>
    <t>Cllr Dk Mt Vert</t>
  </si>
  <si>
    <t>Cllr Dk Mt EW</t>
  </si>
  <si>
    <t>Cllr Dk Mt NS</t>
  </si>
  <si>
    <t>Spar Dk Mt Vert</t>
  </si>
  <si>
    <t>Spar Dk Mt EW</t>
  </si>
  <si>
    <t>Spar Dk Mt NS</t>
  </si>
  <si>
    <t>Voids Mt Vert</t>
  </si>
  <si>
    <t>Voids Mt EW</t>
  </si>
  <si>
    <t>Voids Mt NS</t>
  </si>
  <si>
    <t>Voids FS Mt EW</t>
  </si>
  <si>
    <t>Voids FS Mt NS</t>
  </si>
  <si>
    <t>HFM Mt Vert</t>
  </si>
  <si>
    <t>HFM Mt EW</t>
  </si>
  <si>
    <t>HFM Mt NS</t>
  </si>
  <si>
    <t>LPF Mt EW</t>
  </si>
  <si>
    <t>LPF Mt NS</t>
  </si>
  <si>
    <t>Total Weight FS Mt EW</t>
  </si>
  <si>
    <t>Total Weight FS Mt NS</t>
  </si>
  <si>
    <t>days</t>
  </si>
  <si>
    <t>ft/sec</t>
  </si>
  <si>
    <t>HELI Roll Rate</t>
  </si>
  <si>
    <t>HELI Pitch Rate</t>
  </si>
  <si>
    <t>HELI Yaw Rate</t>
  </si>
  <si>
    <t>HELI Surge Accel</t>
  </si>
  <si>
    <t>HELI Sway Accel</t>
  </si>
  <si>
    <t>HELI Heave Accel</t>
  </si>
  <si>
    <t>HELI Surge Accel Temp</t>
  </si>
  <si>
    <t>HELI Sway Accel Temp</t>
  </si>
  <si>
    <t>HELI Heave Accel Temp</t>
  </si>
  <si>
    <t>Turret Roll</t>
  </si>
  <si>
    <t>Turret Pitch</t>
  </si>
  <si>
    <t>Turret Heave</t>
  </si>
  <si>
    <t>Turret Roll Rate</t>
  </si>
  <si>
    <t>Turret Pitch Rate</t>
  </si>
  <si>
    <t>Turret Yaw Rate</t>
  </si>
  <si>
    <t>Turret Surge Acc</t>
  </si>
  <si>
    <t>Turret Sway Acc</t>
  </si>
  <si>
    <t>Turret Heave Acc</t>
  </si>
  <si>
    <t>Turret AHRS Status</t>
  </si>
  <si>
    <t>Turret Heading</t>
  </si>
  <si>
    <t>Turret Raw Wind Dir</t>
  </si>
  <si>
    <t>Turret Raw Wind Spd</t>
  </si>
  <si>
    <t>PORT Raw Wind Dir</t>
  </si>
  <si>
    <t>PORT Raw Wind Spd</t>
  </si>
  <si>
    <t>AWOS Raw Wind Dir</t>
  </si>
  <si>
    <t>AWOS Raw Wind Spd</t>
  </si>
  <si>
    <t>AWOS Raw Wind Spd Avg</t>
  </si>
  <si>
    <t>AWOS Sensor Status</t>
  </si>
  <si>
    <t>AWOS Sea Level Pressure</t>
  </si>
  <si>
    <t>Console Pressure</t>
  </si>
  <si>
    <t>AFT Raw Airgap</t>
  </si>
  <si>
    <t>GP150 Latitude DegMin</t>
  </si>
  <si>
    <t>GP150 Latitude DecMin</t>
  </si>
  <si>
    <t>GP150 Latitude DecMin2</t>
  </si>
  <si>
    <t>GP150 Longitude DegMin</t>
  </si>
  <si>
    <t>GP150 Longitude DecMin</t>
  </si>
  <si>
    <t>GP150 Longitude DecMin2</t>
  </si>
  <si>
    <t>GP150 Altitude 1</t>
  </si>
  <si>
    <t>GP150 Altitude 2</t>
  </si>
  <si>
    <t>GP150 GPS Quality</t>
  </si>
  <si>
    <t>GP150 Number of Sats</t>
  </si>
  <si>
    <t>GP150 HDOP</t>
  </si>
  <si>
    <t>GP150 Age of Diff Corr</t>
  </si>
  <si>
    <t>GYRO Heading</t>
  </si>
  <si>
    <t>Turret Moonpool PX1</t>
  </si>
  <si>
    <t>Turret Moonpool PX2</t>
  </si>
  <si>
    <t>Turret Moonpool PX3</t>
  </si>
  <si>
    <t>Turret Moonpool PX4</t>
  </si>
  <si>
    <t>SeaWater Temp Removed</t>
  </si>
  <si>
    <t>SeaWater to coolers Temp</t>
  </si>
  <si>
    <t>MET Buoy wdir 1</t>
  </si>
  <si>
    <t>MET Buoy wdir 2</t>
  </si>
  <si>
    <t>MET Buoy wspd 1</t>
  </si>
  <si>
    <t>MET Buoy wspd 2</t>
  </si>
  <si>
    <t>MET Buoy gust 1</t>
  </si>
  <si>
    <t>MET Buoy gust 2</t>
  </si>
  <si>
    <t>MET Buoy baro 1</t>
  </si>
  <si>
    <t>MET Buoy atmp 1</t>
  </si>
  <si>
    <t>MET Buoy wtmp 1</t>
  </si>
  <si>
    <t>MET Buoy wvhgt</t>
  </si>
  <si>
    <t>MET Buoy dompd</t>
  </si>
  <si>
    <t>MET Buoy dv001</t>
  </si>
  <si>
    <t>MET Buoy uv001</t>
  </si>
  <si>
    <t>MET Buoy vv001</t>
  </si>
  <si>
    <t>MET Buoy dv002</t>
  </si>
  <si>
    <t>MET Buoy uv002</t>
  </si>
  <si>
    <t>MET Buoy vv002</t>
  </si>
  <si>
    <t>MET Buoy dv003</t>
  </si>
  <si>
    <t>MET Buoy uv003</t>
  </si>
  <si>
    <t>MET Buoy vv003</t>
  </si>
  <si>
    <t>MET Buoy dv004</t>
  </si>
  <si>
    <t>MET Buoy uv004</t>
  </si>
  <si>
    <t>MET Buoy vv004</t>
  </si>
  <si>
    <t>MET Buoy dv005</t>
  </si>
  <si>
    <t>MET Buoy uv005</t>
  </si>
  <si>
    <t>MET Buoy vv005</t>
  </si>
  <si>
    <t>MET Buoy dv006</t>
  </si>
  <si>
    <t>MET Buoy uv006</t>
  </si>
  <si>
    <t>MET Buoy vv006</t>
  </si>
  <si>
    <t>MET Buoy dv007</t>
  </si>
  <si>
    <t>MET Buoy uv007</t>
  </si>
  <si>
    <t>MET Buoy vv007</t>
  </si>
  <si>
    <t>MET Buoy dv008</t>
  </si>
  <si>
    <t>MET Buoy uv008</t>
  </si>
  <si>
    <t>MET Buoy vv008</t>
  </si>
  <si>
    <t>MET Buoy dv009</t>
  </si>
  <si>
    <t>MET Buoy uv009</t>
  </si>
  <si>
    <t>MET Buoy vv009</t>
  </si>
  <si>
    <t>MET Buoy dv010</t>
  </si>
  <si>
    <t>MET Buoy uv010</t>
  </si>
  <si>
    <t>MET Buoy vv010</t>
  </si>
  <si>
    <t>MET Buoy dv011</t>
  </si>
  <si>
    <t>MET Buoy uv011</t>
  </si>
  <si>
    <t>MET Buoy vv011</t>
  </si>
  <si>
    <t>MET Buoy dv012</t>
  </si>
  <si>
    <t>MET Buoy uv012</t>
  </si>
  <si>
    <t>MET Buoy vv012</t>
  </si>
  <si>
    <t>MET Buoy dv013</t>
  </si>
  <si>
    <t>MET Buoy uv013</t>
  </si>
  <si>
    <t>MET Buoy vv013</t>
  </si>
  <si>
    <t>MET Buoy dv014</t>
  </si>
  <si>
    <t>MET Buoy uv014</t>
  </si>
  <si>
    <t>MET Buoy vv014</t>
  </si>
  <si>
    <t>MET Buoy dv015</t>
  </si>
  <si>
    <t>MET Buoy uv015</t>
  </si>
  <si>
    <t>MET Buoy vv015</t>
  </si>
  <si>
    <t>MET Buoy dv016</t>
  </si>
  <si>
    <t>MET Buoy uv016</t>
  </si>
  <si>
    <t>MET Buoy vv016</t>
  </si>
  <si>
    <t>MET Buoy dv017</t>
  </si>
  <si>
    <t>MET Buoy uv017</t>
  </si>
  <si>
    <t>MET Buoy vv017</t>
  </si>
  <si>
    <t>MET Buoy dv018</t>
  </si>
  <si>
    <t>MET Buoy uv018</t>
  </si>
  <si>
    <t>MET Buoy vv018</t>
  </si>
  <si>
    <t>MET Buoy dv019</t>
  </si>
  <si>
    <t>MET Buoy uv019</t>
  </si>
  <si>
    <t>MET Buoy vv019</t>
  </si>
  <si>
    <t>MET Buoy dv020</t>
  </si>
  <si>
    <t>MET Buoy uv020</t>
  </si>
  <si>
    <t>MET Buoy vv020</t>
  </si>
  <si>
    <t>MET Buoy dv021</t>
  </si>
  <si>
    <t>MET Buoy uv021</t>
  </si>
  <si>
    <t>MET Buoy vv021</t>
  </si>
  <si>
    <t>MET Buoy dv022</t>
  </si>
  <si>
    <t>MET Buoy uv022</t>
  </si>
  <si>
    <t>MET Buoy vv022</t>
  </si>
  <si>
    <t>MET Buoy dv023</t>
  </si>
  <si>
    <t>MET Buoy uv023</t>
  </si>
  <si>
    <t>MET Buoy vv023</t>
  </si>
  <si>
    <t>MET Buoy dv024</t>
  </si>
  <si>
    <t>MET Buoy uv024</t>
  </si>
  <si>
    <t>MET Buoy vv024</t>
  </si>
  <si>
    <t>MET Buoy dv025</t>
  </si>
  <si>
    <t>MET Buoy uv025</t>
  </si>
  <si>
    <t>MET Buoy vv025</t>
  </si>
  <si>
    <t>MET Buoy dv026</t>
  </si>
  <si>
    <t>MET Buoy uv026</t>
  </si>
  <si>
    <t>MET Buoy vv026</t>
  </si>
  <si>
    <t>MET Buoy dv027</t>
  </si>
  <si>
    <t>MET Buoy uv027</t>
  </si>
  <si>
    <t>MET Buoy vv027</t>
  </si>
  <si>
    <t>MET Buoy dv028</t>
  </si>
  <si>
    <t>MET Buoy uv028</t>
  </si>
  <si>
    <t>MET Buoy vv028</t>
  </si>
  <si>
    <t>MET Buoy dv029</t>
  </si>
  <si>
    <t>MET Buoy uv029</t>
  </si>
  <si>
    <t>MET Buoy vv029</t>
  </si>
  <si>
    <t>MET Buoy dv030</t>
  </si>
  <si>
    <t>MET Buoy uv030</t>
  </si>
  <si>
    <t>MET Buoy vv030</t>
  </si>
  <si>
    <t>MET Buoy dv031</t>
  </si>
  <si>
    <t>MET Buoy uv031</t>
  </si>
  <si>
    <t>MET Buoy vv031</t>
  </si>
  <si>
    <t>MET Buoy dv032</t>
  </si>
  <si>
    <t>MET Buoy uv032</t>
  </si>
  <si>
    <t>MET Buoy vv032</t>
  </si>
  <si>
    <t>MET Buoy dv033</t>
  </si>
  <si>
    <t>MET Buoy uv033</t>
  </si>
  <si>
    <t>MET Buoy vv033</t>
  </si>
  <si>
    <t>MET Buoy dv034</t>
  </si>
  <si>
    <t>MET Buoy uv034</t>
  </si>
  <si>
    <t>MET Buoy vv034</t>
  </si>
  <si>
    <t>MET Buoy dv035</t>
  </si>
  <si>
    <t>MET Buoy uv035</t>
  </si>
  <si>
    <t>MET Buoy vv035</t>
  </si>
  <si>
    <t>MET Buoy dv036</t>
  </si>
  <si>
    <t>MET Buoy uv036</t>
  </si>
  <si>
    <t>MET Buoy vv036</t>
  </si>
  <si>
    <t>MET Buoy dv037</t>
  </si>
  <si>
    <t>MET Buoy uv037</t>
  </si>
  <si>
    <t>MET Buoy vv037</t>
  </si>
  <si>
    <t>MET Buoy dv038</t>
  </si>
  <si>
    <t>MET Buoy uv038</t>
  </si>
  <si>
    <t>MET Buoy vv038</t>
  </si>
  <si>
    <t>MET Buoy dv039</t>
  </si>
  <si>
    <t>MET Buoy uv039</t>
  </si>
  <si>
    <t>MET Buoy vv039</t>
  </si>
  <si>
    <t>MET Buoy dv040</t>
  </si>
  <si>
    <t>MET Buoy uv040</t>
  </si>
  <si>
    <t>MET Buoy vv040</t>
  </si>
  <si>
    <t>MET Buoy dv041</t>
  </si>
  <si>
    <t>MET Buoy uv041</t>
  </si>
  <si>
    <t>MET Buoy vv041</t>
  </si>
  <si>
    <t>MET Buoy dv042</t>
  </si>
  <si>
    <t>MET Buoy uv042</t>
  </si>
  <si>
    <t>MET Buoy vv042</t>
  </si>
  <si>
    <t>MET Buoy dv043</t>
  </si>
  <si>
    <t>MET Buoy uv043</t>
  </si>
  <si>
    <t>MET Buoy vv043</t>
  </si>
  <si>
    <t>MET Buoy dv044</t>
  </si>
  <si>
    <t>MET Buoy uv044</t>
  </si>
  <si>
    <t>MET Buoy vv044</t>
  </si>
  <si>
    <t>MET Buoy dv045</t>
  </si>
  <si>
    <t>MET Buoy uv045</t>
  </si>
  <si>
    <t>MET Buoy vv045</t>
  </si>
  <si>
    <t>MET Buoy dv046</t>
  </si>
  <si>
    <t>MET Buoy uv046</t>
  </si>
  <si>
    <t>MET Buoy vv046</t>
  </si>
  <si>
    <t>MET Buoy dv047</t>
  </si>
  <si>
    <t>MET Buoy uv047</t>
  </si>
  <si>
    <t>MET Buoy vv047</t>
  </si>
  <si>
    <t>MET Buoy dv048</t>
  </si>
  <si>
    <t>MET Buoy uv048</t>
  </si>
  <si>
    <t>MET Buoy vv048</t>
  </si>
  <si>
    <t>MET Buoy dv049</t>
  </si>
  <si>
    <t>MET Buoy uv049</t>
  </si>
  <si>
    <t>MET Buoy vv049</t>
  </si>
  <si>
    <t>MET Buoy Hour Minute</t>
  </si>
  <si>
    <t>MET Buoy Month Day</t>
  </si>
  <si>
    <t>MET Buoy Year Second</t>
  </si>
  <si>
    <t>Turret Latitude DegMin</t>
  </si>
  <si>
    <t>Turret Latitude DecMin</t>
  </si>
  <si>
    <t>Turret Latitude DecMin2</t>
  </si>
  <si>
    <t>Turret Longitude DegMin</t>
  </si>
  <si>
    <t>Turret Longitude DecMin</t>
  </si>
  <si>
    <t>Turret Longitude DecMin2</t>
  </si>
  <si>
    <t>Turret Altitude 1</t>
  </si>
  <si>
    <t>Turret Altitude 2</t>
  </si>
  <si>
    <t>Turret GPS Quality</t>
  </si>
  <si>
    <t>Turret Number of Sats</t>
  </si>
  <si>
    <t>Turret HDOP</t>
  </si>
  <si>
    <t>Turret Age of Diff Corr</t>
  </si>
  <si>
    <t>TBMS Roll</t>
  </si>
  <si>
    <t>TBMS Pitch</t>
  </si>
  <si>
    <t>TBMS Surge</t>
  </si>
  <si>
    <t>TBMS Sway</t>
  </si>
  <si>
    <t>TBMS Heave</t>
  </si>
  <si>
    <t>TBMS Accel X</t>
  </si>
  <si>
    <t>TBMS Accel Y</t>
  </si>
  <si>
    <t>TBMS Accel Z</t>
  </si>
  <si>
    <t>TBMS AHRS Status</t>
  </si>
  <si>
    <t>TBMS Heading</t>
  </si>
  <si>
    <t>TBMS Watchdog</t>
  </si>
  <si>
    <t>MLM SSSA 1 Signal</t>
  </si>
  <si>
    <t>MLM SSSA 2 Signal</t>
  </si>
  <si>
    <t>MLM SSSA 3 Signal</t>
  </si>
  <si>
    <t>TBMS SSJB1 Temp</t>
  </si>
  <si>
    <t>MLM SSSA 4 Signal</t>
  </si>
  <si>
    <t>MLM SSSA 5 Signal</t>
  </si>
  <si>
    <t>MLM SSSA 6 Signal</t>
  </si>
  <si>
    <t>TBMS SSJB2 Temp</t>
  </si>
  <si>
    <t>MLM SSSA 7 Signal</t>
  </si>
  <si>
    <t>MLM SSSA 8 Signal</t>
  </si>
  <si>
    <t>MLM SSSA 9 Signal</t>
  </si>
  <si>
    <t>TBMS SSJB3 Temp</t>
  </si>
  <si>
    <t>TBMS Battery PX</t>
  </si>
  <si>
    <t>TBMS Internal PX</t>
  </si>
  <si>
    <t>TBMS External PX</t>
  </si>
  <si>
    <t>STBD Raw Wind Dir</t>
  </si>
  <si>
    <t>STBD Raw Wind Spd</t>
  </si>
  <si>
    <t>2201 POS Time 1</t>
  </si>
  <si>
    <t>2201 POS Time 2</t>
  </si>
  <si>
    <t>2201 Grid Northings 1</t>
  </si>
  <si>
    <t>2201 Grid Northings 2</t>
  </si>
  <si>
    <t>2201 Grid Eastings 1</t>
  </si>
  <si>
    <t>2201 Grid Eastings 2</t>
  </si>
  <si>
    <t>2201 Depth 1</t>
  </si>
  <si>
    <t>2201 Depth 2</t>
  </si>
  <si>
    <t>2201 POS Accuracy</t>
  </si>
  <si>
    <t>2201 Depth Accuracy</t>
  </si>
  <si>
    <t>2202 POS Time 1</t>
  </si>
  <si>
    <t>2202 POS Time 2</t>
  </si>
  <si>
    <t>2202 Grid Northings 1</t>
  </si>
  <si>
    <t>2202 Grid Northings 2</t>
  </si>
  <si>
    <t>2202 Grid Eastings 1</t>
  </si>
  <si>
    <t>2202 Grid Eastings 2</t>
  </si>
  <si>
    <t>2202 Depth 1</t>
  </si>
  <si>
    <t>2202 Depth 2</t>
  </si>
  <si>
    <t>2202 POS Accuracy</t>
  </si>
  <si>
    <t>2202 Depth Accuracy</t>
  </si>
  <si>
    <t>2203 POS Time 1</t>
  </si>
  <si>
    <t>2203 POS Time 2</t>
  </si>
  <si>
    <t>2203 Grid Northings 1</t>
  </si>
  <si>
    <t>2203 Grid Northings 2</t>
  </si>
  <si>
    <t>2203 Grid Eastings 1</t>
  </si>
  <si>
    <t>2203 Grid Eastings 2</t>
  </si>
  <si>
    <t>2203 Depth 1</t>
  </si>
  <si>
    <t>2203 Depth 2</t>
  </si>
  <si>
    <t>2203 POS Accuracy</t>
  </si>
  <si>
    <t>2203 Depth Accuracy</t>
  </si>
  <si>
    <t>FPSO POS Time 1</t>
  </si>
  <si>
    <t>FPSO POS Time 2</t>
  </si>
  <si>
    <t>FPSO Grid Northings 1</t>
  </si>
  <si>
    <t>FPSO Grid Northings 2</t>
  </si>
  <si>
    <t>FPSO Grid Eastings 1</t>
  </si>
  <si>
    <t>FPSO Grid Eastings 2</t>
  </si>
  <si>
    <t>FPSO Depth 1</t>
  </si>
  <si>
    <t>FPSO Depth 2</t>
  </si>
  <si>
    <t>FPSO POS Accuracy</t>
  </si>
  <si>
    <t>FPSO Depth Accuracy</t>
  </si>
  <si>
    <t>2201 Temp</t>
  </si>
  <si>
    <t>2201 Pitch</t>
  </si>
  <si>
    <t>2201 Roll</t>
  </si>
  <si>
    <t>2202 Temp</t>
  </si>
  <si>
    <t>2202 Pitch</t>
  </si>
  <si>
    <t>2202 Roll</t>
  </si>
  <si>
    <t>2203 Temp</t>
  </si>
  <si>
    <t>2203 Pitch</t>
  </si>
  <si>
    <t>2203 Roll</t>
  </si>
  <si>
    <t>Latching mechanism PT</t>
  </si>
  <si>
    <t>Reconnontion Wnch Pay Rate</t>
  </si>
  <si>
    <t>Abandonment Winch Pay Rate</t>
  </si>
  <si>
    <t>Storage Winch Pay Rate</t>
  </si>
  <si>
    <t>HPU Shutdown Confirmation</t>
  </si>
  <si>
    <t>HPU Shutdown Command</t>
  </si>
  <si>
    <t>Load Cell Tension</t>
  </si>
  <si>
    <t>Mean Load Cell Tension</t>
  </si>
  <si>
    <t>Reconnection Winch Tension</t>
  </si>
  <si>
    <t>Abandonment Winch Tension</t>
  </si>
  <si>
    <t>Storage Winch Tension</t>
  </si>
  <si>
    <t>HC Ready to Connect</t>
  </si>
  <si>
    <t>HC Package Common Alarm</t>
  </si>
  <si>
    <t>Winch Package Common Alarm</t>
  </si>
  <si>
    <t>HPU Common Alarm</t>
  </si>
  <si>
    <t>HPU Fault Condition</t>
  </si>
  <si>
    <t>HC General Status</t>
  </si>
  <si>
    <t>Heave Comp Ready Signal</t>
  </si>
  <si>
    <t>Full Auto Heave Comp Mode</t>
  </si>
  <si>
    <t>HC Fully Pressurized</t>
  </si>
  <si>
    <t>Struct Connectors Latched</t>
  </si>
  <si>
    <t>Package General Status</t>
  </si>
  <si>
    <t>HPU System General</t>
  </si>
  <si>
    <t>HPU Running Status Signal</t>
  </si>
  <si>
    <t>fld Stbplt #1 Open CMD</t>
  </si>
  <si>
    <t>fld Stbplt #1 Close CMD</t>
  </si>
  <si>
    <t>fld Stbplt #2 Open CMD</t>
  </si>
  <si>
    <t>fld Stbplt #2 Close CMD</t>
  </si>
  <si>
    <t>E&amp;I Stbplt #3 Open CMD</t>
  </si>
  <si>
    <t>E&amp;I Stb plt #3 Close CMD</t>
  </si>
  <si>
    <t>E&amp;I Stbplt #4 Open CMD</t>
  </si>
  <si>
    <t>E&amp;I Stbplt #4 Close CMD</t>
  </si>
  <si>
    <t>Reconn Winch GOPS Enabled</t>
  </si>
  <si>
    <t>HPU Run Command 300bar</t>
  </si>
  <si>
    <t>HPU 300bar Mode is Active</t>
  </si>
  <si>
    <t>Heave Arm Position</t>
  </si>
  <si>
    <t>Mean Heave Arm Position</t>
  </si>
  <si>
    <t>Latching Dog 1 Extended</t>
  </si>
  <si>
    <t>Latching Dog 2 Extended</t>
  </si>
  <si>
    <t>Latching Dog 3 Extended</t>
  </si>
  <si>
    <t>Latching Dog 4 Extended</t>
  </si>
  <si>
    <t>Latching Dog 5 Extended</t>
  </si>
  <si>
    <t>Latching Dog 6 Extended</t>
  </si>
  <si>
    <t>Fld Stb Plate #1 Engaged</t>
  </si>
  <si>
    <t>Fld Stb Plate #1 Locked</t>
  </si>
  <si>
    <t>Fld Stb Plate #2 Engaged</t>
  </si>
  <si>
    <t>Fld Stb Plate #2 Locked</t>
  </si>
  <si>
    <t>E&amp;I Stb Plate #3 Engaged</t>
  </si>
  <si>
    <t>E&amp;I Stb Plate #3 Locked</t>
  </si>
  <si>
    <t>E&amp;I Stb Plate #4 Engaged</t>
  </si>
  <si>
    <t>E&amp;I Stb Plate #4 Locked</t>
  </si>
  <si>
    <t>Latching Dog 1 Retracted</t>
  </si>
  <si>
    <t>Latching Dog 2 Retracted</t>
  </si>
  <si>
    <t>Latching Dog 3 Retracted</t>
  </si>
  <si>
    <t>Latching Dog 4 Retracted</t>
  </si>
  <si>
    <t>Latching Dog 5 Retracted</t>
  </si>
  <si>
    <t>Latching Dog6 Retracted</t>
  </si>
  <si>
    <t>Fld Stb Plate #1 Retracted</t>
  </si>
  <si>
    <t>Fld Stb Plate #1 Unlocked</t>
  </si>
  <si>
    <t>Fld Stb Plate #2 Retracted</t>
  </si>
  <si>
    <t>Fld Stb Plate #2 Unlocked</t>
  </si>
  <si>
    <t>E&amp;I Stb Plate #3 Retracted</t>
  </si>
  <si>
    <t>E&amp;I Stb Plate #3 Unlocked</t>
  </si>
  <si>
    <t>E&amp;I Stb Plate #4 Retracted</t>
  </si>
  <si>
    <t>E&amp;I Stb Plate #4 Unlocked</t>
  </si>
  <si>
    <t>RCW Wire Out</t>
  </si>
  <si>
    <t>ABW Wire Out</t>
  </si>
  <si>
    <t>SPW Wirw Out</t>
  </si>
  <si>
    <t>SC Latch Perm Push Butt</t>
  </si>
  <si>
    <t>SC1 Oil Level</t>
  </si>
  <si>
    <t>SC2 Oil Level</t>
  </si>
  <si>
    <t>SC3 Oil Level</t>
  </si>
  <si>
    <t>SC4 Oil Level</t>
  </si>
  <si>
    <t>SC5 Oil Level</t>
  </si>
  <si>
    <t>SC6 Oil Level</t>
  </si>
  <si>
    <t>SC7 Oil Level</t>
  </si>
  <si>
    <t>SC8 Oil Level</t>
  </si>
  <si>
    <t>SC9 Oil Level</t>
  </si>
  <si>
    <t>SC1 Upper Main Jack PX</t>
  </si>
  <si>
    <t>SC1 Lower Main Jack PX</t>
  </si>
  <si>
    <t>SC1 Accumulator PX 1</t>
  </si>
  <si>
    <t>SC1 Accumulator PX 2</t>
  </si>
  <si>
    <t>SC1 Bck Release Accum PX</t>
  </si>
  <si>
    <t>SC1 Rotate Blk Dev Opr PX</t>
  </si>
  <si>
    <t>SC1 Discnxt Vlv Opr PX</t>
  </si>
  <si>
    <t>SC1 Main Accum 1 NI PX</t>
  </si>
  <si>
    <t>SC1 Main Accum 2 NI PX</t>
  </si>
  <si>
    <t>SC1 Main Accum 3 NI PX</t>
  </si>
  <si>
    <t>SC1 Hyd Blk 1 Opr PX</t>
  </si>
  <si>
    <t>SC1 Hyd Blk 2 Opr PX</t>
  </si>
  <si>
    <t>SC1 Hyd Blk 3 Opr PX</t>
  </si>
  <si>
    <t>SC2 Upper Main Jack PX</t>
  </si>
  <si>
    <t>SC2 Lower Main Jack PX</t>
  </si>
  <si>
    <t>SC2 Accumulator PX 1</t>
  </si>
  <si>
    <t>SC2 Accumulator PX 2</t>
  </si>
  <si>
    <t>SC2 Bck Release Accum PX</t>
  </si>
  <si>
    <t>SC2 Rotate Blk Dev Opr PX</t>
  </si>
  <si>
    <t>SC2 Dscnxt Vlv Opr PX</t>
  </si>
  <si>
    <t>SC2 Main Accum 1 NI PX</t>
  </si>
  <si>
    <t>SC2 Main Accum 2 NI PX</t>
  </si>
  <si>
    <t>SC2 Main Accum 3 NI PX</t>
  </si>
  <si>
    <t>SC2 Hyd Blk 1 Opr PX</t>
  </si>
  <si>
    <t>SC2 Hyd Blk 2 Opr PX</t>
  </si>
  <si>
    <t>SC2 Hyd Blk 3 Opr PX</t>
  </si>
  <si>
    <t>SC3 Upper Main Jack PX</t>
  </si>
  <si>
    <t>SC3 Lower Main Jack PX</t>
  </si>
  <si>
    <t>SC3 Accumulator PX 1</t>
  </si>
  <si>
    <t>SC3 Accumulator PX 2</t>
  </si>
  <si>
    <t>SC3 Bck Release Accum PX</t>
  </si>
  <si>
    <t>SC3 Rotate Blk Dev Opr PX</t>
  </si>
  <si>
    <t>SC3 Discnxt Vlv Opr PX</t>
  </si>
  <si>
    <t>SC3 Main Accum 1 NI PX</t>
  </si>
  <si>
    <t>SC3 Main Accum 2 NI PX</t>
  </si>
  <si>
    <t>SC3 Main Accum 3 NI PX</t>
  </si>
  <si>
    <t>SC3 Hyd Blk 1 Opr PX</t>
  </si>
  <si>
    <t>SC3 Hyd Blk 2 Opr PX</t>
  </si>
  <si>
    <t>SC3 Hyd Blk 3 Opr PX</t>
  </si>
  <si>
    <t>SC4 Upper Main Jack PX</t>
  </si>
  <si>
    <t>SC4 Lower Main Jack PX</t>
  </si>
  <si>
    <t>SC4 Accumulator PX 1</t>
  </si>
  <si>
    <t>SC4 Accumulator PX 2</t>
  </si>
  <si>
    <t>SC4 Bck Release Accum PX</t>
  </si>
  <si>
    <t>SC4 Rotate Blk Dev Opr PX</t>
  </si>
  <si>
    <t>SC4 Discnxt Vlv Opr PX</t>
  </si>
  <si>
    <t>SC4 Main Accum 1 NI PX</t>
  </si>
  <si>
    <t>SC4 Main Accum 2 NI PX</t>
  </si>
  <si>
    <t>SC4 Main Accum 3 NI PX</t>
  </si>
  <si>
    <t>SC4 Hyd Blk 1 Opr PX</t>
  </si>
  <si>
    <t>SC4 Hyd Blk 2 Opr PX</t>
  </si>
  <si>
    <t>SC4 Hyd Blk 3 Opr PX</t>
  </si>
  <si>
    <t>SC5 Upper Main Jack PX</t>
  </si>
  <si>
    <t>SC5 Lower Main Jack PX</t>
  </si>
  <si>
    <t>SC5 Accumulator PX 1</t>
  </si>
  <si>
    <t>SC5 Accumulator PX 2</t>
  </si>
  <si>
    <t>SC5 Bck Release Accum PX</t>
  </si>
  <si>
    <t>SC5 Rotate Blk Dev Opr PX</t>
  </si>
  <si>
    <t>SC5 Discnxt Vlv Opr PX</t>
  </si>
  <si>
    <t>SC5 Main Accum 1 NI PX</t>
  </si>
  <si>
    <t>SC5 Main Accum 2 NI PX</t>
  </si>
  <si>
    <t>SC5 Main Accum 3 NI PX</t>
  </si>
  <si>
    <t>SC5 Hyd Blk 1 Opr PX</t>
  </si>
  <si>
    <t>SC5 Hyd Blk 2 Opr PX</t>
  </si>
  <si>
    <t>SC5 Hyd Blk 3 Opr PX</t>
  </si>
  <si>
    <t>SC6 Upper Main Jack PX</t>
  </si>
  <si>
    <t>SC6 Lower Main Jack PX</t>
  </si>
  <si>
    <t>SC6 Accumulator PX 1</t>
  </si>
  <si>
    <t>SC6 Accumulator PX 2</t>
  </si>
  <si>
    <t>SC6 Bck Release Accum PX</t>
  </si>
  <si>
    <t>SC6 Rotate Blk Dev Opr PX</t>
  </si>
  <si>
    <t>SC6 Discnxt Vlv Opr PX</t>
  </si>
  <si>
    <t>SC6 Main Accum 1 NI PX</t>
  </si>
  <si>
    <t>SC6 Main Accum 2 NI PX</t>
  </si>
  <si>
    <t>SC6 Main Accum 3 NI PX</t>
  </si>
  <si>
    <t>SC6 Hyd Blk 1 Opr PX</t>
  </si>
  <si>
    <t>SC6 Hyd Blk 2 Opr PX</t>
  </si>
  <si>
    <t>SC6 Hyd Blk 3 Opr PX</t>
  </si>
  <si>
    <t>SC7 Upper Main Jack PX</t>
  </si>
  <si>
    <t>SC7 Lower Main Jack PX</t>
  </si>
  <si>
    <t>SC7 Accumulator PX 1</t>
  </si>
  <si>
    <t>SC7 Accumulator PX 2</t>
  </si>
  <si>
    <t>SC7 Bck Release Accum PX</t>
  </si>
  <si>
    <t>SC7 Rotate Blk Dev Opr PX</t>
  </si>
  <si>
    <t>SC7 Discnxt Vlv Opr PX</t>
  </si>
  <si>
    <t>SC7 Main Accum 1 NI PX</t>
  </si>
  <si>
    <t>SC7 Main Accum 2 NI PX</t>
  </si>
  <si>
    <t>SC7 Main Accum 3 NI PX</t>
  </si>
  <si>
    <t>SC7 Hyd Blk 1 Opr PX</t>
  </si>
  <si>
    <t>SC7 Hyd Blk 2 Opr PX</t>
  </si>
  <si>
    <t>SC7 Hyd Blk 3 Opr PX</t>
  </si>
  <si>
    <t>SC8 Upper Main Jack PX</t>
  </si>
  <si>
    <t>SC8 Lower Main Jack PX</t>
  </si>
  <si>
    <t>SC8 Accumulator PX 1</t>
  </si>
  <si>
    <t>SC8 Accumulator PX 2</t>
  </si>
  <si>
    <t>SC8 Bck Release Accum PX</t>
  </si>
  <si>
    <t>SC8 Rotate Blk Dev Opr PX</t>
  </si>
  <si>
    <t>SC8 Discnxt Vlv Opr PX</t>
  </si>
  <si>
    <t>SC8 Main Accum 1 NI PX</t>
  </si>
  <si>
    <t>SC8 Main Accum 2 NI PX</t>
  </si>
  <si>
    <t>SC8 Main Accum 3 NI PX</t>
  </si>
  <si>
    <t>SC8 Hyd Blk 1 Opr PX</t>
  </si>
  <si>
    <t>SC8 Hyd Blk 2 Opr PX</t>
  </si>
  <si>
    <t>SC8 Hyd Blk 3 Opr PX</t>
  </si>
  <si>
    <t>SC9 Upper Main Jack PX</t>
  </si>
  <si>
    <t>SC9 Lower Main Jack PX</t>
  </si>
  <si>
    <t>SC9 Accumulator PX 1</t>
  </si>
  <si>
    <t>SC9 Accumulator PX 2</t>
  </si>
  <si>
    <t>SC9 Bck Release Accum PX</t>
  </si>
  <si>
    <t>SC9 Rotate Blk Dev Opr PX</t>
  </si>
  <si>
    <t>SC9 Discnxt Vlv Opr PX</t>
  </si>
  <si>
    <t>SC9 Main Accum 1 NI PX</t>
  </si>
  <si>
    <t>SC9 Main Accum 2 NI PX</t>
  </si>
  <si>
    <t>SC9 Main Accum 3 NI PX</t>
  </si>
  <si>
    <t>SC9 Hyd Blk 1 Opr PX</t>
  </si>
  <si>
    <t>SC9 Hyd Blk 2 Opr PX</t>
  </si>
  <si>
    <t>SC9 Hyd Blk 3 Opr PX</t>
  </si>
  <si>
    <t>SC1 Lock Wedge Counter</t>
  </si>
  <si>
    <t>SC2 Lock Wedge Counter</t>
  </si>
  <si>
    <t>SC3 Lock Wedge Counter</t>
  </si>
  <si>
    <t>SC4 Lock Wedge Counter</t>
  </si>
  <si>
    <t>SC5 Lock Wedge Counter</t>
  </si>
  <si>
    <t>SC6 Lock Wedge Counter</t>
  </si>
  <si>
    <t>SC7 Lock Wedge Counter</t>
  </si>
  <si>
    <t>SC8 Lock Wedge Counter</t>
  </si>
  <si>
    <t>SC9 Lock Wedge Counter</t>
  </si>
  <si>
    <t>SC10 Shutdwn Conf Sgl</t>
  </si>
  <si>
    <t>SC1 Unlock Q4</t>
  </si>
  <si>
    <t>SC1 Unlock Q6</t>
  </si>
  <si>
    <t>SC1 Depress Main Jack</t>
  </si>
  <si>
    <t>SC1 Cnxt Main Accum</t>
  </si>
  <si>
    <t>SC1 Unlock Cart Q12</t>
  </si>
  <si>
    <t>SC1 Unlock Cart Q13</t>
  </si>
  <si>
    <t>SC1 Cnxt Accum 1 C3</t>
  </si>
  <si>
    <t>SC1 Cnxt Accum 2 C3</t>
  </si>
  <si>
    <t>SC1 Motor Rotate CW</t>
  </si>
  <si>
    <t>SC1 Motor Rotate CCW</t>
  </si>
  <si>
    <t>SC1 Ext Shear Pin Jack 1</t>
  </si>
  <si>
    <t>SC1 Ret Shear Pin Jack 1</t>
  </si>
  <si>
    <t>SC1 Ext Shear Pin Jack 2</t>
  </si>
  <si>
    <t>SC1 Ret Shear Pin Jack 2</t>
  </si>
  <si>
    <t>SC1 Ext Lateral Jack 1</t>
  </si>
  <si>
    <t>SC1 Ret Lateral Jack 1</t>
  </si>
  <si>
    <t>SC1 Ext Lateral Jack 2</t>
  </si>
  <si>
    <t>SC1 Ret Lateral Jack 2</t>
  </si>
  <si>
    <t>SC1 Hyd Motor-M7 Ctrl</t>
  </si>
  <si>
    <t>SC1 Hyd Pump Running</t>
  </si>
  <si>
    <t>SC1 Load Redund Accum</t>
  </si>
  <si>
    <t>SC1 Load Accum</t>
  </si>
  <si>
    <t>SC1 PX Switch</t>
  </si>
  <si>
    <t>SC1 Ret Pressure Main Jack</t>
  </si>
  <si>
    <t>SC1 Ext Pressure Main Jack</t>
  </si>
  <si>
    <t>SC2 Unlock Q4</t>
  </si>
  <si>
    <t>SC2 Unlock Q6</t>
  </si>
  <si>
    <t>SC2 Depress Main Jack</t>
  </si>
  <si>
    <t>SC2 Cnxt Main Accum</t>
  </si>
  <si>
    <t>SC2 Unlock Cart Q12</t>
  </si>
  <si>
    <t>SC2 Unlock Cart Q13</t>
  </si>
  <si>
    <t>SC2 Cnxt Accum 1 C3</t>
  </si>
  <si>
    <t>SC2 Cnxt Accum 2 C3</t>
  </si>
  <si>
    <t>SC2 Motor Rotate CW</t>
  </si>
  <si>
    <t>SC2 Motor Rotate CCW</t>
  </si>
  <si>
    <t>SC2 Ext Shear Pin Jack 1</t>
  </si>
  <si>
    <t>SC2 Ret Shear Pin Jack 1</t>
  </si>
  <si>
    <t>SC2 Ext Shear Pin Jack 2</t>
  </si>
  <si>
    <t>SC2 Ret Shear Pin Jack 2</t>
  </si>
  <si>
    <t>SC2 Ret Lateral Pin Jack 1</t>
  </si>
  <si>
    <t>SC2 Ext Lateral Pin Jack 1</t>
  </si>
  <si>
    <t>SC2 Ret Lateral Pin Jack 2</t>
  </si>
  <si>
    <t>SC2 Ext Lateral Pin Jack 2</t>
  </si>
  <si>
    <t>SC2 Hyd Motor-M7 Ctrl</t>
  </si>
  <si>
    <t>SC2 Hyd Pump Running</t>
  </si>
  <si>
    <t>SC2 Load Redund Accum</t>
  </si>
  <si>
    <t>SC2 Load Accum</t>
  </si>
  <si>
    <t>SC2 PX Switch</t>
  </si>
  <si>
    <t>SC2 Ret Pressure Main Jack</t>
  </si>
  <si>
    <t>SC2 Ext Pressure Main Jack</t>
  </si>
  <si>
    <t>SC3 Unlock Q4</t>
  </si>
  <si>
    <t>SC3 Unlock Q6</t>
  </si>
  <si>
    <t>SC3 Depress Main Jack</t>
  </si>
  <si>
    <t>SC3 Cnxt Main Accum</t>
  </si>
  <si>
    <t>SC3 Unlock Cart Q12</t>
  </si>
  <si>
    <t>SC3 Unlock Cart Q13</t>
  </si>
  <si>
    <t>SC3 Cnxt Accum 1 C3</t>
  </si>
  <si>
    <t>SC3 Cnxt Accum 2 C3</t>
  </si>
  <si>
    <t>SC3 Motor Rotate CW</t>
  </si>
  <si>
    <t>SC3 Motor Rotate CCW</t>
  </si>
  <si>
    <t>SC3 Ext Shear Pin Jack 1</t>
  </si>
  <si>
    <t>SC3 Ret Shear Pin Jack 1</t>
  </si>
  <si>
    <t>SC3 Ext Shear Pin Jack 2</t>
  </si>
  <si>
    <t>SC3 Ret Shear Pin Jack 2</t>
  </si>
  <si>
    <t>SC3 Ext Lateral Jack 1</t>
  </si>
  <si>
    <t>SC3 Ret Lateral Jack 1</t>
  </si>
  <si>
    <t>SC3 Ext Lateral Jack 2</t>
  </si>
  <si>
    <t>SC3 Ret Lateral Jack 2</t>
  </si>
  <si>
    <t>SC3 Hyd Motor-M7 Ctrl</t>
  </si>
  <si>
    <t>SC3 Hyd Pump Running</t>
  </si>
  <si>
    <t>SC3 Load Redund Accum</t>
  </si>
  <si>
    <t>SC3 Load Accum</t>
  </si>
  <si>
    <t>SC3 PX Switch</t>
  </si>
  <si>
    <t>SC3 Ret Pressure Main Jack</t>
  </si>
  <si>
    <t>SC3 Ext Pressure Main Jack</t>
  </si>
  <si>
    <t>SC4 Unlock Q4</t>
  </si>
  <si>
    <t>SC4 Unlock Q6</t>
  </si>
  <si>
    <t>SC4 Depress Main Jack</t>
  </si>
  <si>
    <t>SC4 Cnxt Main Accum</t>
  </si>
  <si>
    <t>SC4 Unlock Cart Q12</t>
  </si>
  <si>
    <t>SC4 Unlock Cart Q13</t>
  </si>
  <si>
    <t>SC4 Cnxt Accum 1 C3</t>
  </si>
  <si>
    <t>SC4 Cnxt Accum 2 C3</t>
  </si>
  <si>
    <t>SC4 Motor Rotate CW</t>
  </si>
  <si>
    <t>SC4 Motor Rotate CCW</t>
  </si>
  <si>
    <t>SC4 Ext Shear Pin Jack 1</t>
  </si>
  <si>
    <t>SC4 Ret Shear Pin Jack 1</t>
  </si>
  <si>
    <t>SC4 Ext Shear Pin Jack 2</t>
  </si>
  <si>
    <t>SC4 Ret Shear Pin Jack 2</t>
  </si>
  <si>
    <t>SC4 Ext Lateral Jack 1</t>
  </si>
  <si>
    <t>SC4 Ret Lateral Jack 1</t>
  </si>
  <si>
    <t>SC4 Ext Lateral Jack 2</t>
  </si>
  <si>
    <t>SC4 Ret Lateral Jack 2</t>
  </si>
  <si>
    <t>SC4 Hyd Motor-M7 Ctrl</t>
  </si>
  <si>
    <t>SC4 Hyd Pump Running</t>
  </si>
  <si>
    <t>SC4 Load Redund Accum</t>
  </si>
  <si>
    <t>SC4 Load Accum</t>
  </si>
  <si>
    <t>SC4 PX Switch</t>
  </si>
  <si>
    <t>SC4 Ret Pressure Main Jack</t>
  </si>
  <si>
    <t>SC4 Ext Pressure Main Jack</t>
  </si>
  <si>
    <t>SC5 Unlock Q4</t>
  </si>
  <si>
    <t>SC5 Unlock Q6</t>
  </si>
  <si>
    <t>SC5 Depress Main Jack</t>
  </si>
  <si>
    <t>SC5 Cnxt Main Accum</t>
  </si>
  <si>
    <t>SC5 Unlock Cart Q12</t>
  </si>
  <si>
    <t>SC5 Unlock Cart Q13</t>
  </si>
  <si>
    <t>SC5 Cnxt Accum 1 C3</t>
  </si>
  <si>
    <t>SC5 Cnxt Accum 2 C3</t>
  </si>
  <si>
    <t>SC5 Motor Rotate CW</t>
  </si>
  <si>
    <t>SC5 Motor Rotate CCW</t>
  </si>
  <si>
    <t>SC5 Ext Shear Pin Jack 1</t>
  </si>
  <si>
    <t>SC5 Ret Shear Pin Jack 1</t>
  </si>
  <si>
    <t>SC5 Ext Shear Pin Jack 2</t>
  </si>
  <si>
    <t>SC5 Ret Shear Pin Jack 2</t>
  </si>
  <si>
    <t>SC5 Ext Lateral Jack 1</t>
  </si>
  <si>
    <t>SC5 Ret Lateral Jack 1</t>
  </si>
  <si>
    <t>SC5 Ext Lateral Jack 2</t>
  </si>
  <si>
    <t>SC5 Ret Lateral Jack 2</t>
  </si>
  <si>
    <t>SC5 Hyd Motor-M7 Ctrl</t>
  </si>
  <si>
    <t>SC5 Hyd Pump Running</t>
  </si>
  <si>
    <t>SC5 Load Redund Accum</t>
  </si>
  <si>
    <t>SC5 Load Accum</t>
  </si>
  <si>
    <t>SC5 PX Switch</t>
  </si>
  <si>
    <t>SC5 Ret Pressure Main Jack</t>
  </si>
  <si>
    <t>SC5 Ext Pressure Main Jack</t>
  </si>
  <si>
    <t>SC6 Unlock Q4</t>
  </si>
  <si>
    <t>SC6 Unlock Q6</t>
  </si>
  <si>
    <t>SC6 Depress Main Jack</t>
  </si>
  <si>
    <t>SC6 Cnxt Main Accum</t>
  </si>
  <si>
    <t>SC6 Unlock Cart Q12</t>
  </si>
  <si>
    <t>SC6 Unlock Cart Q13</t>
  </si>
  <si>
    <t>SC6 Cnxt Accum 1 C3</t>
  </si>
  <si>
    <t>SC6 Cnxt Accum 2 C3</t>
  </si>
  <si>
    <t>SC6 Motor Rotate CW</t>
  </si>
  <si>
    <t>SC6 Motor Rotate CCW</t>
  </si>
  <si>
    <t>SC6 Ext Shear Pin Jack 1</t>
  </si>
  <si>
    <t>SC6 Ret Shear Pin Jack 1</t>
  </si>
  <si>
    <t>SC6 Ext Shear Pin Jack 2</t>
  </si>
  <si>
    <t>SC6 Ret Shear Pin Jack 2</t>
  </si>
  <si>
    <t>SC6 Ext Lateral Jack 1</t>
  </si>
  <si>
    <t>SC6 Ret Lateral Jack 1</t>
  </si>
  <si>
    <t>SC6 Ext Lateral Jack 2</t>
  </si>
  <si>
    <t>SC6 Ret Lateral Jack 2</t>
  </si>
  <si>
    <t>SC6 Hyd Motor-M7 Ctrl</t>
  </si>
  <si>
    <t>SC6 Hyd Pump Running</t>
  </si>
  <si>
    <t>SC6 Load Redund Accum</t>
  </si>
  <si>
    <t>SC6 Load Accum</t>
  </si>
  <si>
    <t>SC6 PX Switch</t>
  </si>
  <si>
    <t>SC6 Ret Pressure Main Jack</t>
  </si>
  <si>
    <t>SC6 Ext Pressure Main Jack</t>
  </si>
  <si>
    <t>SC7 Unlock Q4</t>
  </si>
  <si>
    <t>SC7 Unlock Q6</t>
  </si>
  <si>
    <t>SC7 Depress Main Jack</t>
  </si>
  <si>
    <t>SC7 Cnxt Main Accum</t>
  </si>
  <si>
    <t>SC7 Unlock Cart Q12</t>
  </si>
  <si>
    <t>SC7 Unlock Cart Q13</t>
  </si>
  <si>
    <t>SC7 Cnxt Accum 1 C3</t>
  </si>
  <si>
    <t>SC7 Cnxt Accum 2 C3</t>
  </si>
  <si>
    <t>SC7 Motor Rotate CW</t>
  </si>
  <si>
    <t>SC7 Motor Rotate CCW</t>
  </si>
  <si>
    <t>SC7 Ext Shear Pin Jack 1</t>
  </si>
  <si>
    <t>SC7 Ret Shear Pin Jack 1</t>
  </si>
  <si>
    <t>SC7 Ext Shear Pin Jack 2</t>
  </si>
  <si>
    <t>SC7 Ret Shear Pin Jack 2</t>
  </si>
  <si>
    <t>SC7 Ext Lateral Jack 1</t>
  </si>
  <si>
    <t>SC7 Ret Lateral Jack 1</t>
  </si>
  <si>
    <t>SC7 Ext Lateral Jack 2</t>
  </si>
  <si>
    <t>SC7 Ret Lateral Jack 2</t>
  </si>
  <si>
    <t>SC7 Hyd Motor-M7 Ctrl</t>
  </si>
  <si>
    <t>SC7 Hyd Pump Running</t>
  </si>
  <si>
    <t>SC7 Load Redund Accum</t>
  </si>
  <si>
    <t>SC7 Load Accum</t>
  </si>
  <si>
    <t>SC7 PX Switch</t>
  </si>
  <si>
    <t>SC7 Ret Pressure Main Jack</t>
  </si>
  <si>
    <t>SC7 Ext Pressure Main Jack</t>
  </si>
  <si>
    <t>SC8 Unlock Q4</t>
  </si>
  <si>
    <t>SC8 Unlock Q6</t>
  </si>
  <si>
    <t>SC8 Depress Main Jack</t>
  </si>
  <si>
    <t>SC8 Cnxt Main Accum</t>
  </si>
  <si>
    <t>SC8 Unlock Cart Q12</t>
  </si>
  <si>
    <t>SC8 Unlock Cart Q13</t>
  </si>
  <si>
    <t>SC8 Cnxt Accum 1 C3</t>
  </si>
  <si>
    <t>SC8 Cnxt Accum 2 C3</t>
  </si>
  <si>
    <t>SC8 Motor Rotate CW</t>
  </si>
  <si>
    <t>SC8 Motor Rotate CCW</t>
  </si>
  <si>
    <t>SC8 Ext Shear Pin Jack 1</t>
  </si>
  <si>
    <t>SC8 Ret Shear Pin Jack 1</t>
  </si>
  <si>
    <t>SC8 Ext Shear Pin Jack 2</t>
  </si>
  <si>
    <t>SC8 Ret Shear Pin Jack 2</t>
  </si>
  <si>
    <t>SC8 Ext Lateral Jack 1</t>
  </si>
  <si>
    <t>SC8 Ret Lateral Jack 1</t>
  </si>
  <si>
    <t>SC8 Ext Lateral Jack 2</t>
  </si>
  <si>
    <t>SC8 Ret Lateral Jack 2</t>
  </si>
  <si>
    <t>SC8 Hyd Motor-M7 Ctrl</t>
  </si>
  <si>
    <t>SC8 Hyd Pump Running</t>
  </si>
  <si>
    <t>SC8 Load Redund Accum</t>
  </si>
  <si>
    <t>SC8 Load Accum</t>
  </si>
  <si>
    <t>SC8 PX Switch</t>
  </si>
  <si>
    <t>SC8 Ret Pressure Main Jack</t>
  </si>
  <si>
    <t>SC8 Ext Pressure Main Jack</t>
  </si>
  <si>
    <t>SC9 Unlock Q4</t>
  </si>
  <si>
    <t>SC9 Unlock Q6</t>
  </si>
  <si>
    <t>SC9 Depress Main Jack</t>
  </si>
  <si>
    <t>SC9 Cnxt Main Accum</t>
  </si>
  <si>
    <t>SC9 Unlock Cart Q12</t>
  </si>
  <si>
    <t>SC9 Unlock Cart Q13</t>
  </si>
  <si>
    <t>SC9 Cnxt Accum 1 C3</t>
  </si>
  <si>
    <t>SC9 Cnxt Accum 2 C3</t>
  </si>
  <si>
    <t>SC9 Motor Rotate CW</t>
  </si>
  <si>
    <t>SC9 Motor Rotate CCW</t>
  </si>
  <si>
    <t>SC9 Ext Shear Pin Jack 1</t>
  </si>
  <si>
    <t>SC9 Ret Shear Pin Jack 1</t>
  </si>
  <si>
    <t>SC9 Ext Shear Pin Jack 2</t>
  </si>
  <si>
    <t>SC9 Ret Shear Pin Jack 2</t>
  </si>
  <si>
    <t>SC9 Ext Lateral Jack 1</t>
  </si>
  <si>
    <t>SC9 Ret Lateral Jack 1</t>
  </si>
  <si>
    <t>SC9 Ext Lateral Jack 2</t>
  </si>
  <si>
    <t>SC9 Ret Lateral Jack 2</t>
  </si>
  <si>
    <t>SC9 Hyd Motor-M7 Ctrl</t>
  </si>
  <si>
    <t>SC9 Hyd Pump Running</t>
  </si>
  <si>
    <t>SC9 Load Redund Accum</t>
  </si>
  <si>
    <t>SC9 Load Accum</t>
  </si>
  <si>
    <t>SC9 PX Switch</t>
  </si>
  <si>
    <t>SC9 Ret Pressure Main Jack</t>
  </si>
  <si>
    <t>SC9 Ext Pressure Main Jack</t>
  </si>
  <si>
    <t>SC10 Shutdwn Cmd</t>
  </si>
  <si>
    <t>SC1 Left Load Pin</t>
  </si>
  <si>
    <t>SC1 Right Load Pin</t>
  </si>
  <si>
    <t>SC2 Left Load Pin</t>
  </si>
  <si>
    <t>SC2 Right Load Pin</t>
  </si>
  <si>
    <t>SC3 Left Load Pin</t>
  </si>
  <si>
    <t>SC3 Right Load Pin</t>
  </si>
  <si>
    <t>SC4 Left Load Pin</t>
  </si>
  <si>
    <t>SC4 Right Load Pin</t>
  </si>
  <si>
    <t>SC5 Left Load Pin</t>
  </si>
  <si>
    <t>SC5 Right Load Pin</t>
  </si>
  <si>
    <t>SC6 Left Load Pin</t>
  </si>
  <si>
    <t>SC6 Right Load Pin</t>
  </si>
  <si>
    <t>SC7 Left Load Pin</t>
  </si>
  <si>
    <t>SC7 Right Load Pin</t>
  </si>
  <si>
    <t>SC8 Left Load Pin</t>
  </si>
  <si>
    <t>SC8 Right Load Pin</t>
  </si>
  <si>
    <t>SC9 Left Load Pin</t>
  </si>
  <si>
    <t>SC9 Right Load Pin</t>
  </si>
  <si>
    <t>SC10 Sys Common Alrm</t>
  </si>
  <si>
    <t>SC Ctr HPU Flty Status</t>
  </si>
  <si>
    <t>SC PKG Req For 300Bar Mode</t>
  </si>
  <si>
    <t>SC Latched Out</t>
  </si>
  <si>
    <t>SC Latched Status</t>
  </si>
  <si>
    <t>SC10 Sys General Hlth Stat</t>
  </si>
  <si>
    <t>SC1 HPU Manf A Src Sply</t>
  </si>
  <si>
    <t>SC2 HPU Manf A Src Sply</t>
  </si>
  <si>
    <t>SC3 HPU Manf A Src Sply</t>
  </si>
  <si>
    <t>SC4 HPU Manf A Src Sply</t>
  </si>
  <si>
    <t>SC5 HPU Manf A Src Sply</t>
  </si>
  <si>
    <t>SC6 HPU Manf A Src Sply</t>
  </si>
  <si>
    <t>SC7 HPU Manf A Src Sply</t>
  </si>
  <si>
    <t>SC8 HPU Manf A Src Sply</t>
  </si>
  <si>
    <t>SC9 HPU Manf A Src Sply</t>
  </si>
  <si>
    <t>SC1 HPU Manf B Src Sply</t>
  </si>
  <si>
    <t>SC2 HPU Manf B Src Sply</t>
  </si>
  <si>
    <t>SC3 HPU Manf B Src Sply</t>
  </si>
  <si>
    <t>SC4 HPU Manf B Src Sply</t>
  </si>
  <si>
    <t>SC5 HPU Manf B Src Sply</t>
  </si>
  <si>
    <t>SC6 HPU Manf B Src Sply</t>
  </si>
  <si>
    <t>SC7 HPU Manf B Src Sply</t>
  </si>
  <si>
    <t>SC8 HPU Manf B Src Sply</t>
  </si>
  <si>
    <t>SC9 HPU Manf B Src Sply</t>
  </si>
  <si>
    <t>SC1 Maint Mode Perm</t>
  </si>
  <si>
    <t>SC1 Backup Release</t>
  </si>
  <si>
    <t>SC2 Maint Mode Perm</t>
  </si>
  <si>
    <t>SC2 Backup Release</t>
  </si>
  <si>
    <t>SC3 Maint Mode Perm</t>
  </si>
  <si>
    <t>SC3 Backup Release</t>
  </si>
  <si>
    <t>SC4 Maint Mode Perm</t>
  </si>
  <si>
    <t>SC4 Backup Release</t>
  </si>
  <si>
    <t>SC5 Maint Mode Perm</t>
  </si>
  <si>
    <t>SC5 Backup Release</t>
  </si>
  <si>
    <t>SC6 Maint Mode Perm</t>
  </si>
  <si>
    <t>SC6 Backup Release</t>
  </si>
  <si>
    <t>SC7 Maint Mode Perm</t>
  </si>
  <si>
    <t>SC7 Backup Release</t>
  </si>
  <si>
    <t>SC8 Maint Mode Perm</t>
  </si>
  <si>
    <t>SC8 Backup Release</t>
  </si>
  <si>
    <t>SC9 Maint Mode Perm</t>
  </si>
  <si>
    <t>SC9 Backup Release</t>
  </si>
  <si>
    <t>SC10 Master Release Enable</t>
  </si>
  <si>
    <t>SC10 Master Maint Enable</t>
  </si>
  <si>
    <t>SC10 Package Enable</t>
  </si>
  <si>
    <t>SC10 Final Perm Rel BTM</t>
  </si>
  <si>
    <t>SC10 BTM Seals Rdy Perm</t>
  </si>
  <si>
    <t>SC Ctr HPU 300Bar Mode Act</t>
  </si>
  <si>
    <t>SC1 Lock Dog LVDT 1</t>
  </si>
  <si>
    <t>SC1 Lock Dog LVDT 2</t>
  </si>
  <si>
    <t>SC2 Lock Dog LVDT 1</t>
  </si>
  <si>
    <t>SC2 Lock Dog LVDT 2</t>
  </si>
  <si>
    <t>SC3 Lock Dog LVDT 1</t>
  </si>
  <si>
    <t>SC3 Lock Dog LVDT 2</t>
  </si>
  <si>
    <t>SC4 Lock Dog LVDT 1</t>
  </si>
  <si>
    <t>SC4 Lock Dog LVDT 2</t>
  </si>
  <si>
    <t>SC5 Lock Dog LVDT 1</t>
  </si>
  <si>
    <t>SC5 Lock Dog LVDT 2</t>
  </si>
  <si>
    <t>SC6 Lock Dog LVDT 1</t>
  </si>
  <si>
    <t>SC6 Lock Dog LVDT 2</t>
  </si>
  <si>
    <t>SC7 Lock Dog LVDT 1</t>
  </si>
  <si>
    <t>SC7 Lock Dog LVDT 2</t>
  </si>
  <si>
    <t>SC8 Lock Dog LVDT 1</t>
  </si>
  <si>
    <t>SC8 Lock Dog LVDT 2</t>
  </si>
  <si>
    <t>SC9 Lock Dog LVDT 1</t>
  </si>
  <si>
    <t>SC9 Lock Dog LVDT 2</t>
  </si>
  <si>
    <t>SC1 Shear Pin Retracted</t>
  </si>
  <si>
    <t>SC1 Shear Pin Jack Extend</t>
  </si>
  <si>
    <t>SC1 Not Rotated 1</t>
  </si>
  <si>
    <t>SC1 Fully Rotated 1</t>
  </si>
  <si>
    <t>SC1 Lock Wedge Extended</t>
  </si>
  <si>
    <t>SC1 Lock Wedge Retracted 1</t>
  </si>
  <si>
    <t>SC1 Main Jack Retracted</t>
  </si>
  <si>
    <t>SC1 Not Rotated 2</t>
  </si>
  <si>
    <t>SC1 Fully Rotated 2</t>
  </si>
  <si>
    <t>SC1 Lock Wedge Retracted 2</t>
  </si>
  <si>
    <t>SC2 Shear Pin Retracted</t>
  </si>
  <si>
    <t>SC2 Shear Pin Jack Extend</t>
  </si>
  <si>
    <t>SC2 Not Rotated 1</t>
  </si>
  <si>
    <t>SC2 Fully Rotated 1</t>
  </si>
  <si>
    <t>SC2 Lock Wedge Extended</t>
  </si>
  <si>
    <t>SC2 Lock Wedge Retracted 1</t>
  </si>
  <si>
    <t>SC2 Main Jack Retracted</t>
  </si>
  <si>
    <t>SC2 Not Rotated 2</t>
  </si>
  <si>
    <t>SC2 Fully Rotated 2</t>
  </si>
  <si>
    <t>SC2 Lock Wedge Retracted 2</t>
  </si>
  <si>
    <t>SC3 Shear Pin Retracted</t>
  </si>
  <si>
    <t>SC3 Shear Pin Jack Extend</t>
  </si>
  <si>
    <t>SC3 Not Rotated 1</t>
  </si>
  <si>
    <t>SC3 Fully Rotated 1</t>
  </si>
  <si>
    <t>SC3 Lock Wedge Extended</t>
  </si>
  <si>
    <t>SC3 Lock Wedge Retracted 1</t>
  </si>
  <si>
    <t>SC3 Main Jack Retracted</t>
  </si>
  <si>
    <t>SC3 Not Rotated 2</t>
  </si>
  <si>
    <t>SC3 Fully Rotated 2</t>
  </si>
  <si>
    <t>SC3 Lock Wedge Retracted 2</t>
  </si>
  <si>
    <t>SC4 Shear Pin Retracted</t>
  </si>
  <si>
    <t>SC4 Shear Pin Jack Extend</t>
  </si>
  <si>
    <t>SC4 Not Rotated 1</t>
  </si>
  <si>
    <t>SC4 Fully Rotated 1</t>
  </si>
  <si>
    <t>SC4 Lock Wedge Extended</t>
  </si>
  <si>
    <t>SC4 Lock Wedge Retracted 1</t>
  </si>
  <si>
    <t>SC4 Main Jack Retracted</t>
  </si>
  <si>
    <t>SC4 Not Rotated 2</t>
  </si>
  <si>
    <t>SC4 Fully Rotated 2</t>
  </si>
  <si>
    <t>SC4 Lock Wedge Retracted 2</t>
  </si>
  <si>
    <t>SC5 Shear Pin Retracted</t>
  </si>
  <si>
    <t>SC5 Shear Pin Jack Extend</t>
  </si>
  <si>
    <t>SC5 Not Rotated 1</t>
  </si>
  <si>
    <t>SC5 Fully Rotated 1</t>
  </si>
  <si>
    <t>SC5 Lock Wedge Extended</t>
  </si>
  <si>
    <t>SC5 Lock Wedge Retracted 1</t>
  </si>
  <si>
    <t>SC5 Main Jack Retracted</t>
  </si>
  <si>
    <t>SC5 Not Rotated 2</t>
  </si>
  <si>
    <t>SC5 Fully Rotated 2</t>
  </si>
  <si>
    <t>SC5 Lock Wedge Retracted 2</t>
  </si>
  <si>
    <t>SC6 Shear Pin Retracted</t>
  </si>
  <si>
    <t>SC6 Shear Pin Jack Extend</t>
  </si>
  <si>
    <t>SC6 Not Rotated 1</t>
  </si>
  <si>
    <t>SC6 Fully Rotated 1</t>
  </si>
  <si>
    <t>SC6 Lock Wedge Extended</t>
  </si>
  <si>
    <t>SC6 Lock Wedge Retracted 1</t>
  </si>
  <si>
    <t>SC6 Main Jack Retracted</t>
  </si>
  <si>
    <t>SC6 Not Rotated 2</t>
  </si>
  <si>
    <t>SC6 Fully Rotated 2</t>
  </si>
  <si>
    <t>SC6 Lock Wedge Retracted 2</t>
  </si>
  <si>
    <t>SC7 Shear Pin Retracted</t>
  </si>
  <si>
    <t>SC7 Shear Pin Jack Extend</t>
  </si>
  <si>
    <t>SC7 Not Rotated 1</t>
  </si>
  <si>
    <t>SC7 Fully Rotated 1</t>
  </si>
  <si>
    <t>SC7 Lock Wedge Extended</t>
  </si>
  <si>
    <t>SC7 Lock Wedge Retracted 1</t>
  </si>
  <si>
    <t>SC7 Main Jack Retracted</t>
  </si>
  <si>
    <t>SC7 Not Rotated 2</t>
  </si>
  <si>
    <t>SC7 Fully Rotated 2</t>
  </si>
  <si>
    <t>SC7 Lock Wedge Retracted 2</t>
  </si>
  <si>
    <t>SC8 Shear Pin Retracted</t>
  </si>
  <si>
    <t>SC8 Shear Pin Jack Extend</t>
  </si>
  <si>
    <t>SC8 Not Rotated 1</t>
  </si>
  <si>
    <t>SC8 Fully Rotated 1</t>
  </si>
  <si>
    <t>SC8 Lock Wedge Extended</t>
  </si>
  <si>
    <t>SC8 Lock Wedge Retracted 1</t>
  </si>
  <si>
    <t>SC8 Main Jack Retracted</t>
  </si>
  <si>
    <t>SC8 Not Rotated 2</t>
  </si>
  <si>
    <t>SC8 Fully Rotated 2</t>
  </si>
  <si>
    <t>SC8 Lock Wedge Retracted 2</t>
  </si>
  <si>
    <t>SC9 Shear Pin Retracted</t>
  </si>
  <si>
    <t>SC9 Shear Pin Jack Extend</t>
  </si>
  <si>
    <t>SC9 Not Rotated 1</t>
  </si>
  <si>
    <t>SC9 Fully Rotated 1</t>
  </si>
  <si>
    <t>SC9 Lock Wedge Extended</t>
  </si>
  <si>
    <t>SC9 Lock Wedge Retracted 1</t>
  </si>
  <si>
    <t>SC9 Main Jack Retracted</t>
  </si>
  <si>
    <t>SC9 Not Rotated 2</t>
  </si>
  <si>
    <t>SC9 Fully Rotated 2</t>
  </si>
  <si>
    <t>SC9 Lock Wedge Retracted 2</t>
  </si>
  <si>
    <t>LFSTA Warning Level</t>
  </si>
  <si>
    <t>LFSTA Event Mon-Day</t>
  </si>
  <si>
    <t>LFSTA Event Yr</t>
  </si>
  <si>
    <t>LFSTA Event Hr-Min</t>
  </si>
  <si>
    <t>LFSTA Uncertain Level</t>
  </si>
  <si>
    <t>LFSTA Event Offset</t>
  </si>
  <si>
    <t>LFSTA Offset Dir</t>
  </si>
  <si>
    <t>LFSTA Msg Mon-Day</t>
  </si>
  <si>
    <t>LFSTA Msg Yr</t>
  </si>
  <si>
    <t>LFSTA Msg Hr-Min</t>
  </si>
  <si>
    <t>LFSTA Error Code</t>
  </si>
  <si>
    <t>LFLTA Warning Level</t>
  </si>
  <si>
    <t>LFLTA Start Mon-Day</t>
  </si>
  <si>
    <t>LFLTA Start Yr</t>
  </si>
  <si>
    <t>LFLTA Start Hr-Min</t>
  </si>
  <si>
    <t>LFLTA End Mon-Day</t>
  </si>
  <si>
    <t>LFLTA End Yr</t>
  </si>
  <si>
    <t>LFLTA End Hr-Min</t>
  </si>
  <si>
    <t>LFLTA EQ Position Offset</t>
  </si>
  <si>
    <t>LFLTA EQ Heading Offset</t>
  </si>
  <si>
    <t>LFLTA Offset Dir</t>
  </si>
  <si>
    <t>LFLTA Error Code</t>
  </si>
  <si>
    <t>FPSO Heading</t>
  </si>
  <si>
    <t>FPSO Heading Active Mask</t>
  </si>
  <si>
    <t>HELI Surge Acc COR</t>
  </si>
  <si>
    <t>HELI Sway Acc COR</t>
  </si>
  <si>
    <t>HELI Heave Acc COR</t>
  </si>
  <si>
    <t>HELI SurgAcc STDEV</t>
  </si>
  <si>
    <t>HELI SwayAcc STDEV</t>
  </si>
  <si>
    <t>HELI HeavAcc STDEV</t>
  </si>
  <si>
    <t>HELI Net Accel STDEV</t>
  </si>
  <si>
    <t>HELI Roll STDEV</t>
  </si>
  <si>
    <t>HELI Pitch STDEV</t>
  </si>
  <si>
    <t>HELI List</t>
  </si>
  <si>
    <t>HELI Trim</t>
  </si>
  <si>
    <t>HELI Static Tilt</t>
  </si>
  <si>
    <t>HELI Static Tilt Dir</t>
  </si>
  <si>
    <t>HELI Yaw</t>
  </si>
  <si>
    <t>Turret List</t>
  </si>
  <si>
    <t>Turret Roll STDEV</t>
  </si>
  <si>
    <t>Turret Trim</t>
  </si>
  <si>
    <t>Turret Pitch STDEV</t>
  </si>
  <si>
    <t>QNH</t>
  </si>
  <si>
    <t>QFE</t>
  </si>
  <si>
    <t>AFT Airgap</t>
  </si>
  <si>
    <t>AFT Sig Wave Ht</t>
  </si>
  <si>
    <t>AFT Wave Period</t>
  </si>
  <si>
    <t>AFT Draft</t>
  </si>
  <si>
    <t>PORT Wind Spd</t>
  </si>
  <si>
    <t>PORT Wind Dir</t>
  </si>
  <si>
    <t>PORT North Wind Spd</t>
  </si>
  <si>
    <t>PORT East Wind Spd</t>
  </si>
  <si>
    <t>PORT 3sec Wind Spd</t>
  </si>
  <si>
    <t>PORT 3sec Wind Dir</t>
  </si>
  <si>
    <t>PORT 1min Wind Spd</t>
  </si>
  <si>
    <t>PORT 1min Wind Dir</t>
  </si>
  <si>
    <t>PORT 10min Wind Spd</t>
  </si>
  <si>
    <t>PORT 10min Wind Dir</t>
  </si>
  <si>
    <t>PORT 1hr Wind Spd</t>
  </si>
  <si>
    <t>PORT 1hr Wind Dir</t>
  </si>
  <si>
    <t>PORT 3sec Wind Spd 10m</t>
  </si>
  <si>
    <t>PORT 1min Wind Spd 10m</t>
  </si>
  <si>
    <t>PORT 10min Wind Spd 10m</t>
  </si>
  <si>
    <t>PORT 1hr Wind Spd 10m</t>
  </si>
  <si>
    <t>Turret Wind Spd</t>
  </si>
  <si>
    <t>Turret Wind Dir</t>
  </si>
  <si>
    <t>Turret North Wind Spd</t>
  </si>
  <si>
    <t>Turret East Wind Spd</t>
  </si>
  <si>
    <t>Turret 3sec Wind Spd</t>
  </si>
  <si>
    <t>Turret 3sec Wind Dir</t>
  </si>
  <si>
    <t>Turret 1min Wind Spd</t>
  </si>
  <si>
    <t>Turret 1min Wind Dir</t>
  </si>
  <si>
    <t>Turret 10min Wind Spd</t>
  </si>
  <si>
    <t>Turret 10min Wind Dir</t>
  </si>
  <si>
    <t>Turret 1hr Wind Spd</t>
  </si>
  <si>
    <t>Turret 1hr Wind Dir</t>
  </si>
  <si>
    <t>Turret 3sec Wind Spd 10m</t>
  </si>
  <si>
    <t>Turret 1min Wind Spd 10m</t>
  </si>
  <si>
    <t>Turret 10min Wind Spd 10m</t>
  </si>
  <si>
    <t>Turret 1hr Wind Spd 10m</t>
  </si>
  <si>
    <t>STBD Wind Spd</t>
  </si>
  <si>
    <t>STBD Wind Dir</t>
  </si>
  <si>
    <t>STBD North Wind Spd</t>
  </si>
  <si>
    <t>STBD East Wind Spd</t>
  </si>
  <si>
    <t>STBD 3sec Wind Spd</t>
  </si>
  <si>
    <t>STBD 3sec Wind Dir</t>
  </si>
  <si>
    <t>STBD 1min Wind Spd</t>
  </si>
  <si>
    <t>STBD 1min Wind Dir</t>
  </si>
  <si>
    <t>STBD 10min Wind Spd</t>
  </si>
  <si>
    <t>STBD 10min Wind Dir</t>
  </si>
  <si>
    <t>STBD 1hr Wind Spd</t>
  </si>
  <si>
    <t>STBD 1hr Wind Dir</t>
  </si>
  <si>
    <t>STBD 3sec Wind Spd 10m</t>
  </si>
  <si>
    <t>STBD 1min Wind Spd 10m</t>
  </si>
  <si>
    <t>STBD 10min Wind Spd 10m</t>
  </si>
  <si>
    <t>STBD 1hr Wind Spd 10m</t>
  </si>
  <si>
    <t>Best Wind Spd</t>
  </si>
  <si>
    <t>Best Wind Dir</t>
  </si>
  <si>
    <t>Best North Wind Spd</t>
  </si>
  <si>
    <t>Best East Wind Spd</t>
  </si>
  <si>
    <t>Best 3sec Wind Spd AVG</t>
  </si>
  <si>
    <t>Best 3sec Wind Dir AVG</t>
  </si>
  <si>
    <t>Best 1min Wind Spd AVG</t>
  </si>
  <si>
    <t>Best 1min Wind Dir AVG</t>
  </si>
  <si>
    <t>Best 10min Wind Spd AVG</t>
  </si>
  <si>
    <t>Best 10min Wind Dir AVG</t>
  </si>
  <si>
    <t>Best 1hr Wind Spd AVG</t>
  </si>
  <si>
    <t>Best 1hr Wind Dir AVG</t>
  </si>
  <si>
    <t>GP150 GPS Lat</t>
  </si>
  <si>
    <t>GP150 GPS Lon</t>
  </si>
  <si>
    <t>GP150 GPS Altitude</t>
  </si>
  <si>
    <t>GP150 GPS Northings</t>
  </si>
  <si>
    <t>GP150 GPS Eastings</t>
  </si>
  <si>
    <t>GP150 PQ Northings</t>
  </si>
  <si>
    <t>GP150 PQ Eastings</t>
  </si>
  <si>
    <t>GP150 PQ Altitude</t>
  </si>
  <si>
    <t>GP150 PQ Offset</t>
  </si>
  <si>
    <t>GP150 PQ Bearing</t>
  </si>
  <si>
    <t>GP150 PQ Northings AVG</t>
  </si>
  <si>
    <t>GP150 PQ Eastings AVG</t>
  </si>
  <si>
    <t>GP150 PQ Quality</t>
  </si>
  <si>
    <t>Turret GPS Lat</t>
  </si>
  <si>
    <t>Turret GPS Lon</t>
  </si>
  <si>
    <t>Turret GPS Altitude</t>
  </si>
  <si>
    <t>Turret GPS Northings</t>
  </si>
  <si>
    <t>Turret GPS Eastings</t>
  </si>
  <si>
    <t>Turret PQ Northings</t>
  </si>
  <si>
    <t>Turret PQ Eastings</t>
  </si>
  <si>
    <t>Turret PQ Altitude</t>
  </si>
  <si>
    <t>Turret PQ Offset</t>
  </si>
  <si>
    <t>Turret PQ Bearing</t>
  </si>
  <si>
    <t>Turret PQ Northings AVG</t>
  </si>
  <si>
    <t>Turret PQ Eastings AVG</t>
  </si>
  <si>
    <t>Turret PQ Quality</t>
  </si>
  <si>
    <t>FPSO PQ Lat</t>
  </si>
  <si>
    <t>FPSO PQ Lon</t>
  </si>
  <si>
    <t>FPSO PQ Altitude</t>
  </si>
  <si>
    <t>FPSO PQ Northings</t>
  </si>
  <si>
    <t>FPSO PQ Eastings</t>
  </si>
  <si>
    <t>FPSO PQ Offset</t>
  </si>
  <si>
    <t>FPSO PQ Offset Dir</t>
  </si>
  <si>
    <t>FPSO PQ Northings Avg</t>
  </si>
  <si>
    <t>FPSO PQ Eastings Avg</t>
  </si>
  <si>
    <t>FPSO GPS Quality</t>
  </si>
  <si>
    <t>FPSO GPS No of Sats</t>
  </si>
  <si>
    <t>FPSO GPS HDOP</t>
  </si>
  <si>
    <t>FPSO GPS Age of Cor</t>
  </si>
  <si>
    <t>FPSO GPS Active Mask</t>
  </si>
  <si>
    <t>FPSO WCC Offset</t>
  </si>
  <si>
    <t>FPSO WCC Bearing</t>
  </si>
  <si>
    <t>Turret PX1 Depth</t>
  </si>
  <si>
    <t>Turret PX2 Depth</t>
  </si>
  <si>
    <t>Turret PX3 Depth</t>
  </si>
  <si>
    <t>Turret PX4 Depth</t>
  </si>
  <si>
    <t>AWOS Cloud Height AVG</t>
  </si>
  <si>
    <t>AWOS Visibility AVG</t>
  </si>
  <si>
    <t>AWOS Rain Accumulation AVG</t>
  </si>
  <si>
    <t>AWOS Air Temperature AVG</t>
  </si>
  <si>
    <t>AWOS Dew Point AVG</t>
  </si>
  <si>
    <t>AWOS Baro Pressure AVG</t>
  </si>
  <si>
    <t>MLM SSSA Temp</t>
  </si>
  <si>
    <t>MLM SSSA Temp Active Mask</t>
  </si>
  <si>
    <t>MLM SSSA Pressure</t>
  </si>
  <si>
    <t>MLM SSSA 1 Strain</t>
  </si>
  <si>
    <t>MLM SSSA 1 Signal Corr</t>
  </si>
  <si>
    <t>MLM SSSA 1 Temp Corr</t>
  </si>
  <si>
    <t>MLM SSSA 1 Tension</t>
  </si>
  <si>
    <t>MLM SSSA 2 Strain</t>
  </si>
  <si>
    <t>MLM SSSA 2 Signal Corr</t>
  </si>
  <si>
    <t>MLM SSSA 2 Temp Corr</t>
  </si>
  <si>
    <t>MLM SSSA 2 Tension</t>
  </si>
  <si>
    <t>MLM SSSA 3 Strain</t>
  </si>
  <si>
    <t>MLM SSSA 3 Signal Corr</t>
  </si>
  <si>
    <t>MLM SSSA 3 Temp Corr</t>
  </si>
  <si>
    <t>MLM SSSA 3 Tension</t>
  </si>
  <si>
    <t>MLM SSSA 4 Strain</t>
  </si>
  <si>
    <t>MLM SSSA 4 Signal Corr</t>
  </si>
  <si>
    <t>MLM SSSA 4 Temp Corr</t>
  </si>
  <si>
    <t>MLM SSSA 4 Tension</t>
  </si>
  <si>
    <t>MLM SSSA 5 Strain</t>
  </si>
  <si>
    <t>MLM SSSA 5 Signal Corr</t>
  </si>
  <si>
    <t>MLM SSSA 5 Temp Corr</t>
  </si>
  <si>
    <t>MLM SSSA 5 Tension</t>
  </si>
  <si>
    <t>MLM SSSA 6 Strain</t>
  </si>
  <si>
    <t>MLM SSSA 6 Signal Corr</t>
  </si>
  <si>
    <t>MLM SSSA 6 Temp Corr</t>
  </si>
  <si>
    <t>MLM SSSA 6 Tension</t>
  </si>
  <si>
    <t>MLM SSSA 7 Strain</t>
  </si>
  <si>
    <t>MLM SSSA 7 Signal Corr</t>
  </si>
  <si>
    <t>MLM SSSA 7 Temp Corr</t>
  </si>
  <si>
    <t>MLM SSSA 7 Tension</t>
  </si>
  <si>
    <t>MLM SSSA 8 Strain</t>
  </si>
  <si>
    <t>MLM SSSA 8 Signal Corr</t>
  </si>
  <si>
    <t>MLM SSSA 8 Temp Corr</t>
  </si>
  <si>
    <t>MLM SSSA 8 Tension</t>
  </si>
  <si>
    <t>MLM SSSA 9 Strain</t>
  </si>
  <si>
    <t>MLM SSSA 9 Signal Corr</t>
  </si>
  <si>
    <t>MLM SSSA 9 Temp Corr</t>
  </si>
  <si>
    <t>MLM SSSA 9 Tension</t>
  </si>
  <si>
    <t>MLM SSSA 1 Tension AVG</t>
  </si>
  <si>
    <t>MLM SSSA 2 Tension AVG</t>
  </si>
  <si>
    <t>MLM SSSA 3 Tension AVG</t>
  </si>
  <si>
    <t>MLM SSSA 4 Tension AVG</t>
  </si>
  <si>
    <t>MLM SSSA 5 Tension AVG</t>
  </si>
  <si>
    <t>MLM SSSA 6 Tension AVG</t>
  </si>
  <si>
    <t>MLM SSSA 7 Tension AVG</t>
  </si>
  <si>
    <t>MLM SSSA 8 Tension AVG</t>
  </si>
  <si>
    <t>MLM SSSA 9 Tension AVG</t>
  </si>
  <si>
    <t>HELI WSI</t>
  </si>
  <si>
    <t>HELI MMS</t>
  </si>
  <si>
    <t>HELI MSI</t>
  </si>
  <si>
    <t>HELI Max Roll</t>
  </si>
  <si>
    <t>HELI Min Roll</t>
  </si>
  <si>
    <t>HELI Max Pitch</t>
  </si>
  <si>
    <t>HELI Min Pitch</t>
  </si>
  <si>
    <t>HELI Max Tilt</t>
  </si>
  <si>
    <t>HELI Max Heave</t>
  </si>
  <si>
    <t>HELI Heave Period</t>
  </si>
  <si>
    <t>HELI Max Avg Heave Rate</t>
  </si>
  <si>
    <t>HELI Sig Heave Rate</t>
  </si>
  <si>
    <t>TBMS List</t>
  </si>
  <si>
    <t>TBMS Roll STDEV</t>
  </si>
  <si>
    <t>TBMS Trim</t>
  </si>
  <si>
    <t>TBMS Pitch STDEV</t>
  </si>
  <si>
    <t>TBMS Depth</t>
  </si>
  <si>
    <t>Turret PX Depth</t>
  </si>
  <si>
    <t>Turret PX Active Mask</t>
  </si>
  <si>
    <t>FPSO POS Time</t>
  </si>
  <si>
    <t>FPSO Grid Northings</t>
  </si>
  <si>
    <t>FPSO Grid Eastings</t>
  </si>
  <si>
    <t>FPSO Depth</t>
  </si>
  <si>
    <t>2201 POS Time</t>
  </si>
  <si>
    <t>2201 Grid Northings</t>
  </si>
  <si>
    <t>2201 Grid Eastings</t>
  </si>
  <si>
    <t>2201 Depth</t>
  </si>
  <si>
    <t>2201 Range</t>
  </si>
  <si>
    <t>2201 Bearing</t>
  </si>
  <si>
    <t>2202 POS Time</t>
  </si>
  <si>
    <t>2202 Grid Northings</t>
  </si>
  <si>
    <t>2202 Grid Eastings</t>
  </si>
  <si>
    <t>2202 Depth</t>
  </si>
  <si>
    <t>2202 Range</t>
  </si>
  <si>
    <t>2202 Bearing</t>
  </si>
  <si>
    <t>2203 POS Time</t>
  </si>
  <si>
    <t>2203 Grid Northings</t>
  </si>
  <si>
    <t>2203 Grid Eastings</t>
  </si>
  <si>
    <t>2203 Depth</t>
  </si>
  <si>
    <t>2203 Range</t>
  </si>
  <si>
    <t>2203 Bearing</t>
  </si>
  <si>
    <t>Turret Surge Acc Buoy</t>
  </si>
  <si>
    <t>Turret Sway Acc Buoy</t>
  </si>
  <si>
    <t>Turret Heave Acc Buoy</t>
  </si>
  <si>
    <t>Turret Roll Rate Buoy</t>
  </si>
  <si>
    <t>Turret Pitch Rate Buoy</t>
  </si>
  <si>
    <t>Turret Yaw Rate Buoy</t>
  </si>
  <si>
    <t>Turret Roll Buoy</t>
  </si>
  <si>
    <t>Turret Pitch Buoy</t>
  </si>
  <si>
    <t>Turret Heave Buoy</t>
  </si>
  <si>
    <t>Turret List Buoy</t>
  </si>
  <si>
    <t>Turret Trim Buoy</t>
  </si>
  <si>
    <t>Turret Tilt Buoy</t>
  </si>
  <si>
    <t>Turret Tilt Dir Buoy</t>
  </si>
  <si>
    <t>Turret STD Roll Buoy</t>
  </si>
  <si>
    <t>Turret STD Pitch Buoy</t>
  </si>
  <si>
    <t>Turret STD Surge Acc Buoy</t>
  </si>
  <si>
    <t>Turret STD Sway Acc Buoy</t>
  </si>
  <si>
    <t>Turret STD Heave Acc Buoy</t>
  </si>
  <si>
    <t>Turret Rotation Angle</t>
  </si>
  <si>
    <t>MET Buoy Spd001</t>
  </si>
  <si>
    <t>MET Buoy Dir001</t>
  </si>
  <si>
    <t>MET Buoy Spd025</t>
  </si>
  <si>
    <t>MET Buoy Dir025</t>
  </si>
  <si>
    <t>MET Buoy Spd049</t>
  </si>
  <si>
    <t>MET Buoy Dir049</t>
  </si>
  <si>
    <t>mm/hr</t>
  </si>
  <si>
    <t>psia</t>
  </si>
  <si>
    <t>cm/s</t>
  </si>
  <si>
    <t>HH:MM</t>
  </si>
  <si>
    <t>MM:DD</t>
  </si>
  <si>
    <t>YY:SS</t>
  </si>
  <si>
    <t>mA</t>
  </si>
  <si>
    <t>hhmm</t>
  </si>
  <si>
    <t>ss.sss</t>
  </si>
  <si>
    <t>hm</t>
  </si>
  <si>
    <t>cm</t>
  </si>
  <si>
    <t>psig</t>
  </si>
  <si>
    <t>ft/min</t>
  </si>
  <si>
    <t>tons</t>
  </si>
  <si>
    <t>count</t>
  </si>
  <si>
    <t>Percent</t>
  </si>
  <si>
    <t>tonnes</t>
  </si>
  <si>
    <t>mon-day</t>
  </si>
  <si>
    <t>year</t>
  </si>
  <si>
    <t>hr-min</t>
  </si>
  <si>
    <t>MPa</t>
  </si>
  <si>
    <t>ustrain</t>
  </si>
  <si>
    <t>time</t>
  </si>
  <si>
    <t>SE Tendon 7 Bending</t>
  </si>
  <si>
    <t>SE Tendon 7 Tension</t>
  </si>
  <si>
    <t>SE Tendon 7 Angle</t>
  </si>
  <si>
    <t>SE Tendon 7 Status</t>
  </si>
  <si>
    <t>SW Tendon 10 Bending</t>
  </si>
  <si>
    <t>SW Tendon 10 Tension</t>
  </si>
  <si>
    <t>SW Tendon 10 Angle</t>
  </si>
  <si>
    <t>SW Tendon 10 Status</t>
  </si>
  <si>
    <t>NW Tendon 15 Bending</t>
  </si>
  <si>
    <t>NW Tendon 15 Tension</t>
  </si>
  <si>
    <t>NW Tendon 15 Angle</t>
  </si>
  <si>
    <t>NW Tendon 15 Status</t>
  </si>
  <si>
    <t>AWOS Raw Wind Spd Gust</t>
  </si>
  <si>
    <t>ABJ-SE4-51 Level</t>
  </si>
  <si>
    <t>ABJ-SE4-61 Level</t>
  </si>
  <si>
    <t>BAL-NE0-BS Level</t>
  </si>
  <si>
    <t>BAL-NE1-TE Level</t>
  </si>
  <si>
    <t>BAL-NE1-TN Level</t>
  </si>
  <si>
    <t>BAL-NE1-TS Level</t>
  </si>
  <si>
    <t>BAL-NE1-TW Level</t>
  </si>
  <si>
    <t>BAL-SE0-BN Level</t>
  </si>
  <si>
    <t>BAL-SE1-TE Level</t>
  </si>
  <si>
    <t>BAL-SE1-TN Level</t>
  </si>
  <si>
    <t>BAL-SE1-TS Level</t>
  </si>
  <si>
    <t>BAL-SE1-TW Level</t>
  </si>
  <si>
    <t>SE Draft</t>
  </si>
  <si>
    <t>ABJ-SE4-51 Vol</t>
  </si>
  <si>
    <t>ABJ-SE4-61 Vol</t>
  </si>
  <si>
    <t>ABJ-SW4-01 Level</t>
  </si>
  <si>
    <t>ABJ-SW4-02 Level</t>
  </si>
  <si>
    <t>ABJ-SW4-03 Level</t>
  </si>
  <si>
    <t>BAL-NW0-BS Level</t>
  </si>
  <si>
    <t>BAL-NW1-TE Level</t>
  </si>
  <si>
    <t>BAL-NW1-TN Level</t>
  </si>
  <si>
    <t>BAL-NW1-TS Level</t>
  </si>
  <si>
    <t>BAL-NW1-TW Level</t>
  </si>
  <si>
    <t>BAL-SW0-BN Level</t>
  </si>
  <si>
    <t>BAL-SW1-TE Level</t>
  </si>
  <si>
    <t>BAL-SW1-TN Level</t>
  </si>
  <si>
    <t>BAL-SW1-TS Level</t>
  </si>
  <si>
    <t>BAL-SW1-TW Level</t>
  </si>
  <si>
    <t>SW Draft</t>
  </si>
  <si>
    <t>ABJ-SW4-01 Vol</t>
  </si>
  <si>
    <t>ABJ-SW4-02 Vol</t>
  </si>
  <si>
    <t>ABJ-SW4-03 Vol</t>
  </si>
  <si>
    <t>Apparent Tendon Tension 1</t>
  </si>
  <si>
    <t>Apparent Tendon Tension 10</t>
  </si>
  <si>
    <t>Apparent Tendon Tension 11</t>
  </si>
  <si>
    <t>Apparent Tendon Tension 12</t>
  </si>
  <si>
    <t>Apparent Tendon Tension 13</t>
  </si>
  <si>
    <t>Apparent Tendon Tension 14</t>
  </si>
  <si>
    <t>Apparent Tendon Tension 15</t>
  </si>
  <si>
    <t>Apparent Tendon Tension 16</t>
  </si>
  <si>
    <t>Apparent Tendon Tension 2</t>
  </si>
  <si>
    <t>Apparent Tendon Tension 3</t>
  </si>
  <si>
    <t>Apparent Tendon Tension 4</t>
  </si>
  <si>
    <t>Apparent Tendon Tension 5</t>
  </si>
  <si>
    <t>Apparent Tendon Tension 6</t>
  </si>
  <si>
    <t>Apparent Tendon Tension 7</t>
  </si>
  <si>
    <t>Apparent Tendon Tension 8</t>
  </si>
  <si>
    <t>Apparent Tendon Tension 9</t>
  </si>
  <si>
    <t>Apparent TLP Inclination E</t>
  </si>
  <si>
    <t>Apparent TLP Inclination N</t>
  </si>
  <si>
    <t>Ballast Tanks Ttl FSl</t>
  </si>
  <si>
    <t>Ballast Tanks Ttl LCG</t>
  </si>
  <si>
    <t>Ballast Tanks Ttl TCG</t>
  </si>
  <si>
    <t>Ballast Tanks Ttl VCG</t>
  </si>
  <si>
    <t>Ballast Tanks Ttl Wt Hi</t>
  </si>
  <si>
    <t>Ballast Tanks Ttl Wt Lo</t>
  </si>
  <si>
    <t>Ballast Tanks Ttl FSt</t>
  </si>
  <si>
    <t>Bias Line Ttl LCG</t>
  </si>
  <si>
    <t>Bias Line Ttl TCG</t>
  </si>
  <si>
    <t>Bias Line Ttl VCG</t>
  </si>
  <si>
    <t>Bias Line Ttl Wt Hi</t>
  </si>
  <si>
    <t>Bias Line Ttl Wt Lo</t>
  </si>
  <si>
    <t>Column Voids Ttl FSl</t>
  </si>
  <si>
    <t>Column Voids Ttl LCG</t>
  </si>
  <si>
    <t>Column Voids Ttl TCG</t>
  </si>
  <si>
    <t>Column Voids Ttl VCG</t>
  </si>
  <si>
    <t>Column Voids Ttl Wt Hi</t>
  </si>
  <si>
    <t>Column Voids Ttl Wt Lo</t>
  </si>
  <si>
    <t>Column Voids Ttl FSt</t>
  </si>
  <si>
    <t>Columns Loads Ttl LCG</t>
  </si>
  <si>
    <t>Columns Loads Ttl TCG</t>
  </si>
  <si>
    <t>Columns Loads Ttl VCG</t>
  </si>
  <si>
    <t>Columns Loads Ttl Wt Hi</t>
  </si>
  <si>
    <t>Columns Loads Ttl Wt Lo</t>
  </si>
  <si>
    <t>Drilling Loads Ttl LCG</t>
  </si>
  <si>
    <t>Drilling Loads Ttl TCG</t>
  </si>
  <si>
    <t>Drilling Loads Ttl VCG</t>
  </si>
  <si>
    <t>Drilling Loads Ttl Wt Hi</t>
  </si>
  <si>
    <t>Drilling Loads Ttl Wt Lo</t>
  </si>
  <si>
    <t>Hull Consumables Ttl FSl</t>
  </si>
  <si>
    <t>Hull Consumables Ttl LCG</t>
  </si>
  <si>
    <t>Hull Consumables Ttl TCG</t>
  </si>
  <si>
    <t>Hull Consumables Ttl VCG</t>
  </si>
  <si>
    <t>Hull Consumables Ttl Wt Hi</t>
  </si>
  <si>
    <t>Hull Consumables Ttl Wt Lo</t>
  </si>
  <si>
    <t>Hull Consumables t Ttl FSt</t>
  </si>
  <si>
    <t>Interm. Deck Loads Ttl LCG</t>
  </si>
  <si>
    <t>Interm. Deck Loads Ttl TCG</t>
  </si>
  <si>
    <t>Interm. Deck Loads Ttl VCG</t>
  </si>
  <si>
    <t>Interm Deck Loads Ttl Wt H</t>
  </si>
  <si>
    <t>Interm.Deck Loads Ttl Wt L</t>
  </si>
  <si>
    <t>Lightship Changes LCG</t>
  </si>
  <si>
    <t>Lightship Changes TCG</t>
  </si>
  <si>
    <t>Lightship Changes VCG</t>
  </si>
  <si>
    <t>Lightship Changes Wt Hi</t>
  </si>
  <si>
    <t>Lightship Changes Wt Lo</t>
  </si>
  <si>
    <t>Lower Deck Loads Ttl LCG</t>
  </si>
  <si>
    <t>Lower Deck Loads Ttl TCG</t>
  </si>
  <si>
    <t>Lower Deck Loads Ttl VCG</t>
  </si>
  <si>
    <t>Lower Deck Loads Ttl Wt Hi</t>
  </si>
  <si>
    <t>Lower Deck Loads Ttl Wt Lo</t>
  </si>
  <si>
    <t>Mezz Deck Loads Ttl LCG</t>
  </si>
  <si>
    <t>Mezz Deck Loads Ttl TCG</t>
  </si>
  <si>
    <t>Mezz Deck Loads Ttl VCG</t>
  </si>
  <si>
    <t>Mezz Deck Loads Ttl Wt Hi</t>
  </si>
  <si>
    <t>Mezz Deck Loads Ttl Wt Lo</t>
  </si>
  <si>
    <t>Discrepancy Wt CG EW</t>
  </si>
  <si>
    <t>Discrepancy Wt CG NS</t>
  </si>
  <si>
    <t>Process Tanks Ttl FSl</t>
  </si>
  <si>
    <t>Process Tanks Ttl LCG</t>
  </si>
  <si>
    <t>Process Tanks Ttl TCG</t>
  </si>
  <si>
    <t>Process Tanks Ttl VCG</t>
  </si>
  <si>
    <t>Process Tanks Ttl Wt Hi</t>
  </si>
  <si>
    <t>Process Tanks Ttl Wt Lo</t>
  </si>
  <si>
    <t>Process Tanks Ttl FSt</t>
  </si>
  <si>
    <t>Quarters Loads Ttl LCG</t>
  </si>
  <si>
    <t>Quarters Loads Ttl TCG</t>
  </si>
  <si>
    <t>Quarters Loads Ttl VCG</t>
  </si>
  <si>
    <t>Quarters Loads Ttl Wt Hi</t>
  </si>
  <si>
    <t>Quarters Loads Ttl Wt Lo</t>
  </si>
  <si>
    <t>SCRS Ttl LCG</t>
  </si>
  <si>
    <t>SCRS Ttl TCG</t>
  </si>
  <si>
    <t>SCRS Ttl VCG</t>
  </si>
  <si>
    <t>SCRS Ttl Wt Hi</t>
  </si>
  <si>
    <t>SCRS Ttl Wt Lo</t>
  </si>
  <si>
    <t>Target Tendon Tension 1</t>
  </si>
  <si>
    <t>Target Tendon Tension 10</t>
  </si>
  <si>
    <t>Target Tendon Tension 11</t>
  </si>
  <si>
    <t>Target Tendon Tension 12</t>
  </si>
  <si>
    <t>Target Tendon Tension 13</t>
  </si>
  <si>
    <t>Target Tendon Tension 14</t>
  </si>
  <si>
    <t>Target Tendon Tension 15</t>
  </si>
  <si>
    <t>Target Tendon Tension 16</t>
  </si>
  <si>
    <t>Target Tendon Tension 2</t>
  </si>
  <si>
    <t>Target Tendon Tension 3</t>
  </si>
  <si>
    <t>Target Tendon Tension 4</t>
  </si>
  <si>
    <t>Target Tendon Tension 5</t>
  </si>
  <si>
    <t>Target Tendon Tension 6</t>
  </si>
  <si>
    <t>Target Tendon Tension 7</t>
  </si>
  <si>
    <t>Target Tendon Tension 8</t>
  </si>
  <si>
    <t>Target Tendon Tension 9</t>
  </si>
  <si>
    <t>Tendons Ttl LCG</t>
  </si>
  <si>
    <t>Tendons Ttl TCG</t>
  </si>
  <si>
    <t>Tendons Ttl VCG</t>
  </si>
  <si>
    <t>Ttl Platform KG</t>
  </si>
  <si>
    <t>TTRS Ttl LCG</t>
  </si>
  <si>
    <t>TTRS Ttl TCG</t>
  </si>
  <si>
    <t>TTRS Ttl VCG</t>
  </si>
  <si>
    <t>TTRS Ttl Wt HI</t>
  </si>
  <si>
    <t>TTRS Ttl Wt Lo</t>
  </si>
  <si>
    <t>Upper Deck Loads Ttl LCG</t>
  </si>
  <si>
    <t>Upper Deck Loads Ttl TCG</t>
  </si>
  <si>
    <t>Upper Deck Loads Ttl VCG</t>
  </si>
  <si>
    <t>Upper Deck Loads Ttl Wt Hi</t>
  </si>
  <si>
    <t>Upper Deck Loads Ttl Wt Lo</t>
  </si>
  <si>
    <t>WXT Rain Accumulation</t>
  </si>
  <si>
    <t>WXT Air Temperature</t>
  </si>
  <si>
    <t>WXT Dew Point</t>
  </si>
  <si>
    <t>WXT 2min Wind Dir</t>
  </si>
  <si>
    <t>WXT 2min Wind Spd</t>
  </si>
  <si>
    <t>WXT Altimeter</t>
  </si>
  <si>
    <t>WXT Density Alt</t>
  </si>
  <si>
    <t>WXT Baro Pressure</t>
  </si>
  <si>
    <t>WXT Humidity</t>
  </si>
  <si>
    <t>WXT 2min Wind Gust</t>
  </si>
  <si>
    <t>AWOS 3sec Wind Spd</t>
  </si>
  <si>
    <t>AWOS 3sec Wind Dir</t>
  </si>
  <si>
    <t>VOID NEA-VC</t>
  </si>
  <si>
    <t>MAS SE Tendon 7 Tension</t>
  </si>
  <si>
    <t>MAS SW Tendon 10 Tension</t>
  </si>
  <si>
    <t>MAS NW Tendon 15 Tension</t>
  </si>
  <si>
    <t>MAS BAL-NE0-BS Level</t>
  </si>
  <si>
    <t>MAS BAL-SE0-BN Level</t>
  </si>
  <si>
    <t>MAS BAL-NW0-BS Level</t>
  </si>
  <si>
    <t>MAS BAL-SW0-BN Level</t>
  </si>
  <si>
    <t>MAS BAL-NE1-TN Level</t>
  </si>
  <si>
    <t>MAS BAL-NE1-TE Level</t>
  </si>
  <si>
    <t>MAS BAL-NE1-TS Level</t>
  </si>
  <si>
    <t>MAS BAL-NE1-TW Level</t>
  </si>
  <si>
    <t>MAS BAL-SE1-TN Level</t>
  </si>
  <si>
    <t>MAS BAL-SE1-TE Level</t>
  </si>
  <si>
    <t>MAS BAL-SE1-TS Level</t>
  </si>
  <si>
    <t>MAS BAL-SE1-TW Level</t>
  </si>
  <si>
    <t>MAS BAL-NW1-TN Level</t>
  </si>
  <si>
    <t>MAS BAL-NW1-TE Level</t>
  </si>
  <si>
    <t>MAS BAL-NW1-TS Level</t>
  </si>
  <si>
    <t>MAS BAL-NW1-TW Level</t>
  </si>
  <si>
    <t>MAS BAL-SW1-TN Level</t>
  </si>
  <si>
    <t>MAS BAL-SW1-TE Level</t>
  </si>
  <si>
    <t>MAS BAL-SW1-TS Level</t>
  </si>
  <si>
    <t>MAS BAL-SW1-TW Level</t>
  </si>
  <si>
    <t>MAS ABJ-SE4-51 Level</t>
  </si>
  <si>
    <t>MAS ABJ-SE4-61 Level</t>
  </si>
  <si>
    <t>MAS ABJ-SW4-01 Level</t>
  </si>
  <si>
    <t>MAS ABJ-SW4-02 Level</t>
  </si>
  <si>
    <t>MAS ABJ-SW4-03 Level</t>
  </si>
  <si>
    <t>MAS SW Draft</t>
  </si>
  <si>
    <t>MAS SE Draft</t>
  </si>
  <si>
    <t>WXT Wind Spd</t>
  </si>
  <si>
    <t>WXT Wind Dir</t>
  </si>
  <si>
    <t>WXT North Wind Spd</t>
  </si>
  <si>
    <t>WXT East Wind Spd</t>
  </si>
  <si>
    <t>WXT 10min Wind Spd</t>
  </si>
  <si>
    <t>WXT 10min Wind Dir</t>
  </si>
  <si>
    <t>WXT 1hr Wind Spd</t>
  </si>
  <si>
    <t>WXT 1hr Wind Dir</t>
  </si>
  <si>
    <t>Ballast Tanks Ttl Wt</t>
  </si>
  <si>
    <t>Bias Line Ttl Wt</t>
  </si>
  <si>
    <t>Column Voids Ttl Wt</t>
  </si>
  <si>
    <t>Columns Loads Ttl Wt</t>
  </si>
  <si>
    <t>Drilling Loads Ttl Wt</t>
  </si>
  <si>
    <t>Hull Consumables Ttl Wt</t>
  </si>
  <si>
    <t>Interm Deck Loads Ttl Wt</t>
  </si>
  <si>
    <t>Lower Deck Loads Ttl Wt</t>
  </si>
  <si>
    <t>Mezz Deck Loads Ttl Wt</t>
  </si>
  <si>
    <t>Process Tanks Ttl Wt</t>
  </si>
  <si>
    <t>Quarters Loads Ttl Wt</t>
  </si>
  <si>
    <t>SCRS Ttl Wt</t>
  </si>
  <si>
    <t>TTRS Ttl Wt</t>
  </si>
  <si>
    <t>Upper Deck Loads Ttl Wt</t>
  </si>
  <si>
    <t>FPSO DRAFT (AFT)</t>
  </si>
  <si>
    <t>FPSO DRAFT (FWD)</t>
  </si>
  <si>
    <t>FPSO DRAFT (MID-PS)</t>
  </si>
  <si>
    <t>FPSO DRAFT (MID-SB)</t>
  </si>
  <si>
    <t>Latching - retract (open)</t>
  </si>
  <si>
    <t>Latching - extend (closed)</t>
  </si>
  <si>
    <t>Oil Level</t>
  </si>
  <si>
    <t>SC1</t>
  </si>
  <si>
    <t>SC2</t>
  </si>
  <si>
    <t>SC3</t>
  </si>
  <si>
    <t>SC4</t>
  </si>
  <si>
    <t>SC5</t>
  </si>
  <si>
    <t>SC6</t>
  </si>
  <si>
    <t>SC7</t>
  </si>
  <si>
    <t>SC8</t>
  </si>
  <si>
    <t>SC9</t>
  </si>
  <si>
    <t>Lock Wedge Counter</t>
  </si>
  <si>
    <t>SC1 Other</t>
  </si>
  <si>
    <t>SC2 Other</t>
  </si>
  <si>
    <t>SC3 Other</t>
  </si>
  <si>
    <t>SC4 Other</t>
  </si>
  <si>
    <t>SC5 Other</t>
  </si>
  <si>
    <t>SC6 Other</t>
  </si>
  <si>
    <t>SC7 Other</t>
  </si>
  <si>
    <t>SC8 Other</t>
  </si>
  <si>
    <t>SC9 Other</t>
  </si>
  <si>
    <t>SC10 Other</t>
  </si>
  <si>
    <t>Load Pin</t>
  </si>
  <si>
    <t>SC</t>
  </si>
  <si>
    <t>HPU</t>
  </si>
  <si>
    <t>SC Maint</t>
  </si>
  <si>
    <t>SC Lock Dog</t>
  </si>
  <si>
    <t>SC Shear Pin</t>
  </si>
  <si>
    <t>Derived Heading</t>
  </si>
  <si>
    <t>Derived 6DoF</t>
  </si>
  <si>
    <t>Derived 6DOF</t>
  </si>
  <si>
    <t>Derived Weather</t>
  </si>
  <si>
    <t>Derived SSSA</t>
  </si>
  <si>
    <t>Derived HELI</t>
  </si>
  <si>
    <t>Derived TBMS</t>
  </si>
  <si>
    <t>Derived FPSO</t>
  </si>
  <si>
    <t>Derived POS</t>
  </si>
  <si>
    <t>Derived Turret</t>
  </si>
  <si>
    <t>Derived MET</t>
  </si>
  <si>
    <t>HELI 6DOF</t>
  </si>
  <si>
    <t>Turret 6DOF</t>
  </si>
  <si>
    <t>Wind</t>
  </si>
  <si>
    <t>Console</t>
  </si>
  <si>
    <t>GP150</t>
  </si>
  <si>
    <t>GYRO</t>
  </si>
  <si>
    <t>Turret Moonpool</t>
  </si>
  <si>
    <t>SeaWater</t>
  </si>
  <si>
    <t>FPSO DRAFT</t>
  </si>
  <si>
    <t>MET Bouy</t>
  </si>
  <si>
    <t>Turret GPS</t>
  </si>
  <si>
    <t>TSS-DMS</t>
  </si>
  <si>
    <t>Device TBMS</t>
  </si>
  <si>
    <t>STBD Wind</t>
  </si>
  <si>
    <t>2201 POS</t>
  </si>
  <si>
    <t>2202 POS</t>
  </si>
  <si>
    <t>2203 POS</t>
  </si>
  <si>
    <t>FPSO</t>
  </si>
  <si>
    <t>2201 Ang</t>
  </si>
  <si>
    <t>2202 Ang</t>
  </si>
  <si>
    <t>2203 Ang</t>
  </si>
  <si>
    <t>Latch</t>
  </si>
  <si>
    <t>SE Hull (Tanks &amp; Draft)</t>
  </si>
  <si>
    <t>SW Hull (Tanks &amp; Draft)</t>
  </si>
  <si>
    <t>Miros</t>
  </si>
  <si>
    <t>LIDAR</t>
  </si>
  <si>
    <t>Misc</t>
  </si>
  <si>
    <t>WXT Weather</t>
  </si>
  <si>
    <t>6DOF</t>
  </si>
  <si>
    <t>6DOF GPS</t>
  </si>
  <si>
    <t>Riser S-A</t>
  </si>
  <si>
    <t>Riser S-B</t>
  </si>
  <si>
    <t>Riser S-C</t>
  </si>
  <si>
    <t>Riser S-D</t>
  </si>
  <si>
    <t>Riser S-E</t>
  </si>
  <si>
    <t>Riser S-DCR</t>
  </si>
  <si>
    <t>WaMos</t>
  </si>
  <si>
    <t>DCS (Topside Tanks)</t>
  </si>
  <si>
    <t>Mooring</t>
  </si>
  <si>
    <t>Ballast &amp; Draft</t>
  </si>
  <si>
    <t>ROV ADCP</t>
  </si>
  <si>
    <t>Drilling</t>
  </si>
  <si>
    <t>Riser Wear</t>
  </si>
  <si>
    <t>MIROS</t>
  </si>
  <si>
    <t>Lidar</t>
  </si>
  <si>
    <t>Derived ML Current</t>
  </si>
  <si>
    <t>Derived Lidar</t>
  </si>
  <si>
    <t>Derived Riser</t>
  </si>
  <si>
    <t>Derived LMP</t>
  </si>
  <si>
    <t>Derived AWOS Wind</t>
  </si>
  <si>
    <t>Derived Statistic</t>
  </si>
  <si>
    <t>Derived Keel Position</t>
  </si>
  <si>
    <t xml:space="preserve"> Derived Draft</t>
  </si>
  <si>
    <t>Derived Heli</t>
  </si>
  <si>
    <t>Derived Link</t>
  </si>
  <si>
    <t>Derived Tank</t>
  </si>
  <si>
    <t>Riser</t>
  </si>
  <si>
    <t>DCS (Tanks)</t>
  </si>
  <si>
    <t>DCS (Tanks Alarm Set Points)</t>
  </si>
  <si>
    <t>DCS (Tanks Alarms)</t>
  </si>
  <si>
    <t>MAWS</t>
  </si>
  <si>
    <t>Met</t>
  </si>
  <si>
    <t>MIS Status</t>
  </si>
  <si>
    <t>2DOF</t>
  </si>
  <si>
    <t>Airgap PN</t>
  </si>
  <si>
    <t>Airgap PS</t>
  </si>
  <si>
    <t>Airgap PE</t>
  </si>
  <si>
    <t>Airgap PW</t>
  </si>
  <si>
    <t>PRO Wind</t>
  </si>
  <si>
    <t>POW Wind</t>
  </si>
  <si>
    <t>DRL Wind</t>
  </si>
  <si>
    <t>PRO Wireless Wind</t>
  </si>
  <si>
    <t>DRL Wireless Wind</t>
  </si>
  <si>
    <t>POW Wireless Wind</t>
  </si>
  <si>
    <t>Derived VOID</t>
  </si>
  <si>
    <t>C:\Users\dan.wang\BMT Group Limited\CI-AM - Offshore Facilities Hub - Documents\_Facilities\3422 Perdido\1756C Perdido MIS_MAS\Riser wear Software Upgrade- ref 2113C\FAT Doc\Perdido MIS-MAS Special Riser Operating Functions FAT - Final Draft.pdf</t>
  </si>
  <si>
    <t>Calculated riser shape results, Dog Leg Severiry, near keel, computed by BMT WinMon.</t>
  </si>
  <si>
    <t>Calculated riser shape results, Dog Leg Severiry, near stressjoint, computed by BMT WinMon.</t>
  </si>
  <si>
    <t>Calculated maximum riser wear along the entire riser, extracted along with maximum only around the Keel and Stressjoint, computed by BMT WinMon.</t>
  </si>
  <si>
    <t>Calculated maximum riser wear rate along the entire riser, extracted along with maximum only around the Keel and Stressjoint, computed by BMT WinMon.</t>
  </si>
  <si>
    <t>Riser Shape Module error.</t>
  </si>
  <si>
    <t>Used to communicate errors from the Riser Wear Module. It will normally be a value of 0 and positive values will be used to identify various errors.</t>
  </si>
  <si>
    <t>Calculated riser wear at keel, computed by BMT WindMon.</t>
  </si>
  <si>
    <t>Calculated riser wear rate at keel, computed by BMT WindMon.</t>
  </si>
  <si>
    <t>Calculated riser wear at stressjoint, computed by BMT WindMon.</t>
  </si>
  <si>
    <t>Calculated riser wear rate at stressjoint, computed by BMT WindMon.</t>
  </si>
  <si>
    <t>Calculated distance between the bottom plating (keel) of the Spar and the waterline.</t>
  </si>
  <si>
    <t>C:\Users\dan.wang\BMT Group Limited\CI-AM - Offshore Facilities Hub - Documents\_Facilities\3422 Perdido\1756C Perdido MIS_MAS\Meetings &amp; Correspondence\BMT Transmittals\TR0061 100519 Additional 3rd Party Vendor O&amp;M Manuals VDRL K02\ZenMAS_Perdido_Manual.pdf</t>
  </si>
  <si>
    <t>ROV Current Speed</t>
  </si>
  <si>
    <t>ROV Temperature</t>
  </si>
  <si>
    <t>Measured secondary wave peak period.</t>
  </si>
  <si>
    <t>Measured secondary wave peak wave length.</t>
  </si>
  <si>
    <t>Measured principal wave peak wave length.</t>
  </si>
  <si>
    <t>Measured primary wave peak period.</t>
  </si>
  <si>
    <t>Measured primary wave peak wave length.</t>
  </si>
  <si>
    <t>C:\Users\dan.wang\BMT Group Limited\CI-AM - Offshore Facilities Hub - Documents\_Facilities\3422 Perdido\_Configuration\MIS Configuration\O&amp;M Manual\SMS-E-01-MGT-1756C-0001-02 Rev4.pdf</t>
  </si>
  <si>
    <t>Calculated inside 6DoF of vertical offset at the device location, along the local body vertical (z) axis. +ve Heave is upwards.</t>
  </si>
  <si>
    <t>Calculated inside 6DoF of roll of rotation about the local body longitudinal (x) axis. +ve Roll is Starboard Down.</t>
  </si>
  <si>
    <t>Calculated inside 6DoF of pitch of rotation about the local body transverse (y) axis. +ve Pitch is Bow Down.</t>
  </si>
  <si>
    <t>Calculated inside 6DoF of heading of the vessel, +ve heading is vessel Bow (x-axis) clockwise of True North.</t>
  </si>
  <si>
    <t>Crane Heading (no sensor existed for Perdido).</t>
  </si>
  <si>
    <t>Best of Fugro and Orion PQ Lat channels.</t>
  </si>
  <si>
    <t>Best of Fugro and Orion PQ Lon channels.</t>
  </si>
  <si>
    <t>Best of Fugro and Orion PQ Northings channels.</t>
  </si>
  <si>
    <t>Best of Fugro and Orion PQ Eastings channels.</t>
  </si>
  <si>
    <t>Best of Fugro and Orion PQ Offset channels.</t>
  </si>
  <si>
    <t>Best of Fugro and Orion PQ Offset Dir channels.</t>
  </si>
  <si>
    <t>Best of Fugro and Orion PQ Northings AVG channels.</t>
  </si>
  <si>
    <t>Best of Fugro and Orion PQ Eastings AVG channels.</t>
  </si>
  <si>
    <t>Best of Fugro and Orion GPS Quality channels.</t>
  </si>
  <si>
    <t>Best of Fugro and Orion GPS No of Sats channels.</t>
  </si>
  <si>
    <t>Best of Fugro and Orion bearing from platform reference position.</t>
  </si>
  <si>
    <t>Best of Fugro and Orion GPS Altitude channels.</t>
  </si>
  <si>
    <t>Best of Fugro and Orion GPS Eastings channels.</t>
  </si>
  <si>
    <t>Best of Fugro and Orion GPS Northings channels.</t>
  </si>
  <si>
    <t>Best of Fugro and Orion Crane Heading channels.</t>
  </si>
  <si>
    <t>Best of Fugro and Orion PQ Northings channels. (WC: Watch-circle shown on WinMon display)</t>
  </si>
  <si>
    <t>Best of Fugro and Orion PQ Eastings channels. (WC: Watch-circle shown on WinMon display)</t>
  </si>
  <si>
    <t>Best of Fugro and Orion PQ Northings channels in UTM coordinate system.</t>
  </si>
  <si>
    <t>Best of Fugro and Orion PQ Eastings channels in UTM coordinate system.</t>
  </si>
  <si>
    <t>Best of Fugro and Orion PQ Offset channels. (WC: Watch-circle shown on WinMon display)</t>
  </si>
  <si>
    <t>Orion GPS latitude position in deg decimal.</t>
  </si>
  <si>
    <t>Orion GPS longitude position in deg decimal.</t>
  </si>
  <si>
    <t>Orion altitude reading at GPS height.</t>
  </si>
  <si>
    <t>Orion Northings measured from local GPS position.</t>
  </si>
  <si>
    <t>Orion Eastings measured from local GPS position.</t>
  </si>
  <si>
    <t>Orion Northings measured from platform reference position.</t>
  </si>
  <si>
    <t>Orion Eastings measured from platform reference position.</t>
  </si>
  <si>
    <t>Distance of Orion offset from the platform reference position.</t>
  </si>
  <si>
    <t>Direction from true north to Orion offset position.</t>
  </si>
  <si>
    <t>20 minutes running average of Orion PQ Northings.</t>
  </si>
  <si>
    <t>20 minutes running average of Orion PQ Eastings.</t>
  </si>
  <si>
    <t>Running average of 5 minutes PQ List about the local body longitudinal (x) axis at vessel origin.</t>
  </si>
  <si>
    <t>Running average of  5 minutes PQ Trim about the local body longitudinal (y) axis at vessel origin.</t>
  </si>
  <si>
    <t>Standard deviation of 20 minutes PQ Surge Acc along the local body longitudinal (x) axis at vessel origin.</t>
  </si>
  <si>
    <t>Standard deviation of 20 minutes PQ Sway Acc along the local body transverse (y) axis at vessel origin.</t>
  </si>
  <si>
    <t>Standard deviation of 20 minutes PQ Heave Acc along the local body vertical (z) axis at vessel origin.</t>
  </si>
  <si>
    <t>AWOS running average of 20 minutes air temperature at sensor location.</t>
  </si>
  <si>
    <t>AWOS running average of 20 minutes dew point at sensor location.</t>
  </si>
  <si>
    <t>AWOS running average of 20 minutes altimeter.</t>
  </si>
  <si>
    <t>AWOS running average of 20 minutes cloud height.</t>
  </si>
  <si>
    <t>AWOS running average of 20 minutes visibility.</t>
  </si>
  <si>
    <t>Lidar running average of 20 minutes air pressure at sensor location.</t>
  </si>
  <si>
    <t>Derived PQ Northings at keel.</t>
  </si>
  <si>
    <t>Derived PQ Eastings at keel.</t>
  </si>
  <si>
    <t>Running average of 10 minutes wind speed at sensor location.</t>
  </si>
  <si>
    <t>Max of running average of 10 minutes roll of rotation about the local body longitudinal (x) axis at vessel origin.</t>
  </si>
  <si>
    <t>Min of running average of 10 minutes roll of rotation about the local body longitudinal (x) axis at vessel origin.</t>
  </si>
  <si>
    <t>Max of running average of 10 minutes pitch of rotation about the local body longitudinal (y) axis at vessel origin.</t>
  </si>
  <si>
    <t>Min of running average of 10 minutes pitch of rotation about the local body longitudinal (y) axis at vessel origin.</t>
  </si>
  <si>
    <t>Max of running average of 10 minutes heave along the local body longitudinal (z) axis at vessel origin.</t>
  </si>
  <si>
    <t>Max of running average of 10 minutes heave rate along the local body longitudinal (z) axis at vessel origin.</t>
  </si>
  <si>
    <t>Running average of 10 minutes heave period.</t>
  </si>
  <si>
    <t>Running average of 10 minutes heave rate along the local body longitudinal (z) axis at vessel origin.</t>
  </si>
  <si>
    <t>Derived tank weight from 3SVB Ballast Tank Level channel.</t>
  </si>
  <si>
    <t>Derived tank weight from 3WVB Ballast Tank Level channel.</t>
  </si>
  <si>
    <t>Derived tank weight from 3NVB Ballast Tank Level channel.</t>
  </si>
  <si>
    <t>Derived tank weight from 3EVB Ballast Tank Level channel.</t>
  </si>
  <si>
    <t>Derived tank weight from Hull Dead Oil2 Tank Level channel.</t>
  </si>
  <si>
    <t>Derived tank weight from Hull Dead Oil1 Tank Level channel.</t>
  </si>
  <si>
    <t>Derived tank weight from Diesel Oil Tank Level channel.</t>
  </si>
  <si>
    <t>Derived tank weight from Drill Water Tank Level channel.</t>
  </si>
  <si>
    <t>Derived tank weight from LDHI Tank Level channel.</t>
  </si>
  <si>
    <t>Derived tank weight from Methanol2 Tank Level channel.</t>
  </si>
  <si>
    <t>Derived tank weight from Methanol1 Tank Level channel.</t>
  </si>
  <si>
    <t>DCS Link health status, 0 or 1.</t>
  </si>
  <si>
    <t>ML Link health status, 0 or 1.</t>
  </si>
  <si>
    <t>C:\Users\dan.wang\BMT Group Limited\CI-AM - Offshore Facilities Hub - Documents\_Facilities\3330 Stones\_Configuration\IMMS_Configuration\O&amp;M Manual\001.39600.000140-FB001 Operations Manual.pdf</t>
  </si>
  <si>
    <t>Measured sea water temperature, input from ICSS server.</t>
  </si>
  <si>
    <t>Measured draft at aft of ship, input from ICSS server.</t>
  </si>
  <si>
    <t>Measured draft at forward of ship, input from ICSS server.</t>
  </si>
  <si>
    <t>Measured draft at mid-port side of ship, input from ICSS server.</t>
  </si>
  <si>
    <t>Measured draft at mid-starboard side of ship, input from ICSS server.</t>
  </si>
  <si>
    <t>Measured turret water pressure.</t>
  </si>
  <si>
    <t>Derived turret water level.</t>
  </si>
  <si>
    <t>Measured bouy data, via ethernet satellite link.</t>
  </si>
  <si>
    <t>Measured TBMS device internal pressure.</t>
  </si>
  <si>
    <t>Measured TBMS device external pressure.</t>
  </si>
  <si>
    <t>Measured TBMS device battery internal pressure.</t>
  </si>
  <si>
    <t>Measured signal from mooring line 1 subsea strain sensor LVDT from Subsea Strain Sensor Assembly system from BMT.</t>
  </si>
  <si>
    <t>Measured signal from mooring line 2 subsea strain sensor LVDT from Subsea Strain Sensor Assembly system from BMT.</t>
  </si>
  <si>
    <t>Measured signal from mooring line 3 subsea strain sensor LVDT from Subsea Strain Sensor Assembly system from BMT.</t>
  </si>
  <si>
    <t>Measured temperature from Subsea Strain Sensor Assembly system from BMT.</t>
  </si>
  <si>
    <t>Measured signal from mooring line 4 subsea strain sensor LVDT from Subsea Strain Sensor Assembly system from BMT.</t>
  </si>
  <si>
    <t>Measured signal from mooring line 5 subsea strain sensor LVDT from Subsea Strain Sensor Assembly system from BMT.</t>
  </si>
  <si>
    <t>Measured signal from mooring line 6 subsea strain sensor LVDT from Subsea Strain Sensor Assembly system from BMT.</t>
  </si>
  <si>
    <t>Measured signal from mooring line 7 subsea strain sensor LVDT from Subsea Strain Sensor Assembly system from BMT.</t>
  </si>
  <si>
    <t>Measured signal from mooring line 8 subsea strain sensor LVDT from Subsea Strain Sensor Assembly system from BMT.</t>
  </si>
  <si>
    <t>Measured signal from mooring line 9 subsea strain sensor LVDT from Subsea Strain Sensor Assembly system from BMT.</t>
  </si>
  <si>
    <t>Derived mooring line 1 strain from SSSA system from BMT.</t>
  </si>
  <si>
    <t>Derived mooring line 1 tension from SSSA system from BMT.</t>
  </si>
  <si>
    <t>Derived mooring line temperature from SSSA system from BMT.</t>
  </si>
  <si>
    <t>Corrected signal from mooring line 1 from SSSA system from BMT.</t>
  </si>
  <si>
    <t>Corrected temperature from from mooring line 1 from SSSA system from BMT.</t>
  </si>
  <si>
    <t>Derived mooring line 2 strain from SSSA system from BMT.</t>
  </si>
  <si>
    <t>Corrected signal from mooring line 2 from SSSA system from BMT.</t>
  </si>
  <si>
    <t>Corrected temperature from from mooring line 2 from SSSA system from BMT.</t>
  </si>
  <si>
    <t>Derived mooring line 2 tension from SSSA system from BMT.</t>
  </si>
  <si>
    <t>Derived mooring line 3 strain from SSSA system from BMT.</t>
  </si>
  <si>
    <t>Corrected signal from mooring line 3 from SSSA system from BMT.</t>
  </si>
  <si>
    <t>Corrected temperature from from mooring line 3 from SSSA system from BMT.</t>
  </si>
  <si>
    <t>Derived mooring line 3 tension from SSSA system from BMT.</t>
  </si>
  <si>
    <t>Derived mooring line 4 strain from SSSA system from BMT.</t>
  </si>
  <si>
    <t>Derived mooring line 4 tension from SSSA system from BMT.</t>
  </si>
  <si>
    <t>Corrected signal from mooring line 4 from SSSA system from BMT.</t>
  </si>
  <si>
    <t>Corrected temperature from from mooring line 4 from SSSA system from BMT.</t>
  </si>
  <si>
    <t>Derived mooring line 5 strain from SSSA system from BMT.</t>
  </si>
  <si>
    <t>Derived mooring line 5 tension from SSSA system from BMT.</t>
  </si>
  <si>
    <t>Corrected signal from mooring line 5 from SSSA system from BMT.</t>
  </si>
  <si>
    <t>Corrected temperature from from mooring line 5 from SSSA system from BMT.</t>
  </si>
  <si>
    <t>Derived mooring line 6 strain from SSSA system from BMT.</t>
  </si>
  <si>
    <t>Derived mooring line 6 tension from SSSA system from BMT.</t>
  </si>
  <si>
    <t>Corrected signal from mooring line 6 from SSSA system from BMT.</t>
  </si>
  <si>
    <t>Corrected temperature from from mooring line 6 from SSSA system from BMT.</t>
  </si>
  <si>
    <t>Derived mooring line 7 strain from SSSA system from BMT.</t>
  </si>
  <si>
    <t>Derived mooring line 7 tension from SSSA system from BMT.</t>
  </si>
  <si>
    <t>Corrected signal from mooring line 7 from SSSA system from BMT.</t>
  </si>
  <si>
    <t>Corrected temperature from from mooring line 7 from SSSA system from BMT.</t>
  </si>
  <si>
    <t>Derived mooring line 8 strain from SSSA system from BMT.</t>
  </si>
  <si>
    <t>Derived mooring line 8 tension from SSSA system from BMT.</t>
  </si>
  <si>
    <t>Corrected signal from mooring line 8 from SSSA system from BMT.</t>
  </si>
  <si>
    <t>Corrected temperature from from mooring line 8 from SSSA system from BMT.</t>
  </si>
  <si>
    <t>Derived mooring line 9 strain from SSSA system from BMT.</t>
  </si>
  <si>
    <t>Derived mooring line 9 tension from SSSA system from BMT.</t>
  </si>
  <si>
    <t>Corrected signal from mooring line 9 from SSSA system from BMT.</t>
  </si>
  <si>
    <t>Corrected temperature from from mooring line 9 from SSSA system from BMT.</t>
  </si>
  <si>
    <t>Derived mooring line pressure from SSSA system from BMT, formula: ("TBMS_External_PX" * 0.006894757) + "SSSA_Pressure_Offset".</t>
  </si>
  <si>
    <t>Derived running average of 1 minutes of mooring line 1 tension from SSSA system from BMT.</t>
  </si>
  <si>
    <t>Derived running average of 1 minutes of mooring line 3 tension from SSSA system from BMT.</t>
  </si>
  <si>
    <t>Derived running average of 1 minutes of mooring line 2 tension from SSSA system from BMT.</t>
  </si>
  <si>
    <t>Derived running average of 1 minutes of mooring line 4 tension from SSSA system from BMT.</t>
  </si>
  <si>
    <t>Derived running average of 1 minutes of mooring line 5 tension from SSSA system from BMT.</t>
  </si>
  <si>
    <t>Derived running average of 1 minutes of mooring line 7 tension from SSSA system from BMT.</t>
  </si>
  <si>
    <t>Derived running average of 1 minutes of mooring line 6 tension from SSSA system from BMT.</t>
  </si>
  <si>
    <t>Derived running average of 1 minutes of mooring line 9 tension from SSSA system from BMT.</t>
  </si>
  <si>
    <t>Derived running average of 1 minutes of mooring line 8 tension from SSSA system from BMT.</t>
  </si>
  <si>
    <t>STONES_FPSO_DERIVE_210506.cfg</t>
  </si>
  <si>
    <t>Measured port raw wind speed.</t>
  </si>
  <si>
    <t>Measured turret raw wind speed.</t>
  </si>
  <si>
    <t>Measured starboard raw wind direction, relative.</t>
  </si>
  <si>
    <t>Measured starboard raw wind speed.</t>
  </si>
  <si>
    <t>Best of wind speed from port, turret, starboard, awos wind speed channels.</t>
  </si>
  <si>
    <t>Best of wind direction from port, turret, starboard, awos wind direction channels.</t>
  </si>
  <si>
    <t>Not used.</t>
  </si>
  <si>
    <t>AWOS running average of 20 minutes relative humidity at sensor location.</t>
  </si>
  <si>
    <t>AWOS running average of 20 minutes rain precipitation.</t>
  </si>
  <si>
    <t>AWOS running average of 20 minutes air temperature.</t>
  </si>
  <si>
    <t>AWOS running average of 20 minutes barometric pressure.</t>
  </si>
  <si>
    <t>Measured surge acceleration temperature.</t>
  </si>
  <si>
    <t>Measured sway acceleration temperature.</t>
  </si>
  <si>
    <t>Measured heave acceleration temperature.</t>
  </si>
  <si>
    <t>Use Platform Coordinate System:
 +X = Bow, +Y = Port, +Z = Up;
Origin at vessel turret origin.</t>
  </si>
  <si>
    <t>Calculated inside 6DoF of horizontal offset at the device location, along the local body vertical (x) axis. +ve Surge is along longitudinal (x) axis.</t>
  </si>
  <si>
    <t>Calculated inside 6DoF of horizontal offset at the device location, along the local body vertical (z) axis. +ve Sway is along transverse (y) axis.</t>
  </si>
  <si>
    <t>Surge accelerations corrected with temperature at sensor location.</t>
  </si>
  <si>
    <t>Sway accelerations corrected  with temperature at sensor location.</t>
  </si>
  <si>
    <t>Heave accelerations corrected with temperature at sensor location.</t>
  </si>
  <si>
    <t>Derived roll of rotation about the local body longitudinal (x) axis. +ve Roll is Starboard Down.</t>
  </si>
  <si>
    <t>Derived pitch of rotation about the local body transverse (y) axis. +ve Pitch is Bow Down.</t>
  </si>
  <si>
    <t>Derived yaw of the vessel, +ve yaw is vessel Bow (x-axis) clockwise of True North.</t>
  </si>
  <si>
    <t>Derived vertical offset rate at the device location, along the local body vertical (z) axis. +ve Heave is upwards.</t>
  </si>
  <si>
    <t>Max of HELI tilt at sensor location.</t>
  </si>
  <si>
    <t>Max of HELI heave along the local body longitudinal (z) axis at sensor location.</t>
  </si>
  <si>
    <t>Calculated HELI heave period at sensor location.</t>
  </si>
  <si>
    <t>Max of HELI heave rate along the local body longitudinal (z) axis at sensor location.</t>
  </si>
  <si>
    <t>Draft at the X,Y position of the AFT Airgap sensor.</t>
  </si>
  <si>
    <t>Latitude of the antenna in terms of degrees and integer minutes.</t>
  </si>
  <si>
    <t>Latitude of the antenna in terms of decimal minutes (decimal places 1 to 4).</t>
  </si>
  <si>
    <t>Latitude of the antenna in terms of decimal minutes (decimal places 5 to 8).</t>
  </si>
  <si>
    <t>Longitude of the antenna in terms of degrees and integer minutes.</t>
  </si>
  <si>
    <t>Longitude of the antenna in terms of decimal minutes (decimal places 1 to 4).</t>
  </si>
  <si>
    <t>Longiitude of the antenna in terms of decimal minutes (decimal places 5 to 8).</t>
  </si>
  <si>
    <t>Altitude measurement at the antenna location in terms of integer meters.</t>
  </si>
  <si>
    <t>Altitude measurement at the antenna location in terms of integer centimeters.</t>
  </si>
  <si>
    <t>Quality of the GPS data - 0 no fix ; 1 GPS only ; 2 Differential GPS.</t>
  </si>
  <si>
    <t>Horizontal dilution of precision.</t>
  </si>
  <si>
    <t>Number of Satellites available for position measurement..</t>
  </si>
  <si>
    <t>Turret GPS latitude position in deg decimal.</t>
  </si>
  <si>
    <t>Turret GPS longitude position in deg decimal.</t>
  </si>
  <si>
    <t>Turret altitude reading at GPS height.</t>
  </si>
  <si>
    <t>Turret Northings measured from local GPS position.</t>
  </si>
  <si>
    <t>Turret Eastings measured from local GPS position.</t>
  </si>
  <si>
    <t>Turret Northings measured from platform reference position.</t>
  </si>
  <si>
    <t>Turret Eastings measured from platform reference position.</t>
  </si>
  <si>
    <t>Turret altitude reading  from platform reference position.</t>
  </si>
  <si>
    <t>Distance of Turret offset from the platform reference position.</t>
  </si>
  <si>
    <t>Direction from true north to Turret offset position.</t>
  </si>
  <si>
    <t>20 minutes running average of Turret PQ Northings.</t>
  </si>
  <si>
    <t>20 minutes running average of Turret PQ Eastings.</t>
  </si>
  <si>
    <t>Best of GP150 and Turret PQ Lat channels.</t>
  </si>
  <si>
    <t>Best of GP150 and Turret PQ Lon channels.</t>
  </si>
  <si>
    <t>Best of GP150 and Turret PQ Altitude channels.</t>
  </si>
  <si>
    <t>Best of GP150 and Turret PQ Northings channels.</t>
  </si>
  <si>
    <t>Best of GP150 and Turret PQ Eastings channels.</t>
  </si>
  <si>
    <t>Best of GP150 and Turret PQ Offset channels.</t>
  </si>
  <si>
    <t>Best of GP150 and Turret PQ Offset Dir channels.</t>
  </si>
  <si>
    <t>Best of GP150 and Turret PQ Northings AVG channels.</t>
  </si>
  <si>
    <t>Best of GP150 and Turret PQ Eastings AVG channels.</t>
  </si>
  <si>
    <t>Best of GP150 and Turret GPS Quality channels.</t>
  </si>
  <si>
    <t>Best of GP150 and Turret GPS No of Sats channels.</t>
  </si>
  <si>
    <t>Best of GP150 and Turret GPS HDOP channels.</t>
  </si>
  <si>
    <t>Best of GP150 and Turret GPS Age of Cor channels.</t>
  </si>
  <si>
    <t>Best of GP150 and Turret PQ Offset channels. (WCC: Watch-circle shown on WinMon display)</t>
  </si>
  <si>
    <t>Best of GP150 and Turret bearing from platform reference position.</t>
  </si>
  <si>
    <t>GP150 GPS latitude position in deg decimal.</t>
  </si>
  <si>
    <t>GP150 GPS longitude position in deg decimal.</t>
  </si>
  <si>
    <t>GP150 altitude reading at GPS height.</t>
  </si>
  <si>
    <t>GP150 Northings measured from local GPS position.</t>
  </si>
  <si>
    <t>GP150 Eastings measured from local GPS position.</t>
  </si>
  <si>
    <t>GP150 Northings measured from platform reference position.</t>
  </si>
  <si>
    <t>GP150 Eastings measured from platform reference position.</t>
  </si>
  <si>
    <t>GP150 altitude reading  from platform reference position.</t>
  </si>
  <si>
    <t>Distance of GP150 offset from the platform reference position.</t>
  </si>
  <si>
    <t>Direction from true north to GP150 offset position.</t>
  </si>
  <si>
    <t>20 minutes running average of GP150 PQ Northings.</t>
  </si>
  <si>
    <t>20 minutes running average of GP150 PQ Eastings.</t>
  </si>
  <si>
    <t>Measured surge acceleration, +ve Surge is along turret bouy longitudinal (x) axis.</t>
  </si>
  <si>
    <t>Measured sway acceleration, +ve Sway is along turret bouy transverse (y) axis.</t>
  </si>
  <si>
    <t>Measured heave acceleration, +ve Heave is along turret bouy vertical (z) axis.</t>
  </si>
  <si>
    <t>Measured roll angular rate, +ve Roll is turret bouy Starboard Down.</t>
  </si>
  <si>
    <t>Measured pitch angular rate, +ve Pitch is turret bouy Bow Down.</t>
  </si>
  <si>
    <t>Measured yaw angular rate, +ve Yaw is turret bouy Bow towards Port.</t>
  </si>
  <si>
    <t>Standard deviation of 5 minutes roll of rotation about the local body longitudinal (x) axis at turret bouy origin.</t>
  </si>
  <si>
    <t>Standard deviation of 5 minutes pitch of rotation about the local body transverse (y) axis at turret bouy origin.</t>
  </si>
  <si>
    <t>Standard deviation of 20 minutes PQ Surge Acc along the local body longitudinal (x) axis at turret bouy origin.</t>
  </si>
  <si>
    <t>Standard deviation of 20 minutes PQ Sway Acc along the local body transverse (y) axis at turret bouy origin.</t>
  </si>
  <si>
    <t>Standard deviation of 20 minutes PQ Heave Acc along the local body vertical (z) axis at turret bouy origin.</t>
  </si>
  <si>
    <t>Derived from turret bouy List and turret bouy Trim.</t>
  </si>
  <si>
    <t>Derived tilt direction from turret bouy List and turret bouy Trim.</t>
  </si>
  <si>
    <t>Derived bouy data, via ethernet satellite link.</t>
  </si>
  <si>
    <t>C:\Users\dan.wang\BMT Group Limited\CI-AM - Offshore Facilities Hub - Documents\_Facilities\3421 Olympus\_Configuration\MIS_Configuration\O&amp;M Manual\SMS-E-16-OIS-2350C-0001 Rev 03 MIS O&amp;M Manual.pdf</t>
  </si>
  <si>
    <t>This input is used to communicate errors from the Riser Wear Module. It will normally be a value of 0 and positive values will be used to identify various errors. A high alarm will be set on this channel to produce an alarm that can be seen on any screen or passed to the DCS as a roll up alarm. An error message corresponding to the error code can be viewed on the Riser Wear Summary display for diagnostic troubleshooting.</t>
  </si>
  <si>
    <t>Measured raw wind speed at the sensor location.</t>
  </si>
  <si>
    <t>Derived wind gust speed computed during the previous AWOS Raw Wind Spd.</t>
  </si>
  <si>
    <t>Measured AWOS sensor status.</t>
  </si>
  <si>
    <t>Max ADCP Current Speed</t>
  </si>
  <si>
    <t>Measured wave peak period.</t>
  </si>
  <si>
    <t>Measured the amount of precipitation measured.</t>
  </si>
  <si>
    <t>Offset measured from watch circle position.</t>
  </si>
  <si>
    <t>Bearing measured from watch circle position.</t>
  </si>
  <si>
    <t>altitude reading at GPS height.</t>
  </si>
  <si>
    <t>AWOS running average of 3 seconds wind speed at the sensor location.</t>
  </si>
  <si>
    <t>AWOS running average of 3 seconds wind direction from true north at the sensor location.</t>
  </si>
  <si>
    <t>Ambient pressure measured by the Lidar station.</t>
  </si>
  <si>
    <t>Ambient temperature measured by the Lidar station.</t>
  </si>
  <si>
    <t>Maximum magnitude of pitch or roll away from horizontal as measured by the Lidar station.</t>
  </si>
  <si>
    <t>Bearing of Lidar station with respect to True North, measured by the Lidar station. I.e. 5 degrees would be 5 degrees East of True North.</t>
  </si>
  <si>
    <t>Measured raw wind direction at POW sensor location.</t>
  </si>
  <si>
    <t>Measured raw wind speed at POW sensor location.</t>
  </si>
  <si>
    <t>Measured raw encoder heading at POW sensor location.</t>
  </si>
  <si>
    <t>Measured raw wind direction at PRO sensor location.</t>
  </si>
  <si>
    <t>Measured raw wind speed at PRO sensor location.</t>
  </si>
  <si>
    <t>Measured raw encoder heading at PRO sensor location.</t>
  </si>
  <si>
    <t>Measured raw wind direction at DRL sensor location.</t>
  </si>
  <si>
    <t>Measured raw wind speed at DRL sensor location.</t>
  </si>
  <si>
    <t>Measured raw encoder heading at DRL sensor location.</t>
  </si>
  <si>
    <t>Output wind direction from POW wirelessly.</t>
  </si>
  <si>
    <t>Output wind speed from POW wirelessly.</t>
  </si>
  <si>
    <t>Output encoder heading from POW wirelessly.</t>
  </si>
  <si>
    <t>Output wind direction from DRL wirelessly.</t>
  </si>
  <si>
    <t>Output wind speed from DRL wirelessly.</t>
  </si>
  <si>
    <t>Output encoder heading from DRL wirelessly.</t>
  </si>
  <si>
    <t>Output wind direction from PRO wirelessly.</t>
  </si>
  <si>
    <t>Output wind speed from PRO wirelessly.</t>
  </si>
  <si>
    <t>Output encoder heading from PRO wirelessly.</t>
  </si>
  <si>
    <t>POW wind direction from true north at the sensor location.</t>
  </si>
  <si>
    <t>POW wind speed at the sensor location.</t>
  </si>
  <si>
    <t>DRL wind speed at the sensor location.</t>
  </si>
  <si>
    <t>DRL wind direction from true north at the sensor location.</t>
  </si>
  <si>
    <t>PRO wind speed at the sensor location.</t>
  </si>
  <si>
    <t>PRO wind direction from true north at the sensor location.</t>
  </si>
  <si>
    <t>OLYMPUS_MIS_DERIVE_230819.cfg</t>
  </si>
  <si>
    <t>Best of Fugro and Orion PQ Altitude channels.</t>
  </si>
  <si>
    <t>Running average of 20 minutes MAWS Air Temperature.</t>
  </si>
  <si>
    <t>Running average of 20 minutes MAWS Baro Pressure.</t>
  </si>
  <si>
    <t>Running average of 20 minutes MAWS Cloud Height.</t>
  </si>
  <si>
    <t>Running average of 20 minutes MAWS Visibility.</t>
  </si>
  <si>
    <t>Derived from drafts running average of 20 minutes roll of rotation about the local body longitudinal (x) axis at vessel origin.</t>
  </si>
  <si>
    <t>Derived from drafts running average of 20 minutes pitch of rotation about the local body longitudinal (y) axis at vessel origin.</t>
  </si>
  <si>
    <t>Derived draft from 6DoF at the 0,0 position of the platform.</t>
  </si>
  <si>
    <t>Best Trim from 2DoF Trim, PQ Trim, Trim From Drafts.</t>
  </si>
  <si>
    <t>Best List from 2DoF List, PQ List, List From Drafts.</t>
  </si>
  <si>
    <t>Best Sig Wave Ht from Miros, and 4 airgaps.</t>
  </si>
  <si>
    <t>Best Wave Period from Miros, and 4 airgaps.</t>
  </si>
  <si>
    <t>Derived northings at platform keel location, computed using Combo PQ Northings, Combo PQ Eastings, PQ Roll, PQ Pitch, PQ Heading, and Fugro GPS Distance Z.</t>
  </si>
  <si>
    <t>Derived eastings at platform keel location, computed using Combo PQ Northings, Combo PQ Eastings, PQ Roll, PQ Pitch, PQ Heading, and Fugro GPS Distance Z.</t>
  </si>
  <si>
    <t>Derived tide from given constituent parameters and OL_MIS_Baro_Pressure.</t>
  </si>
  <si>
    <t>Derived 1 minute running average of CL Draft.</t>
  </si>
  <si>
    <t>Derived 5 minutes running average of CL Draft.</t>
  </si>
  <si>
    <t>Derived 20 minutes running average of CL Draft.</t>
  </si>
  <si>
    <t>F32FromWords("BAL Weight HI", "BAL Weight LO")</t>
  </si>
  <si>
    <t>Number of sum of any alarm from Tendon Tension 1, 4, 5, 8, 9, 12, 13, 16.</t>
  </si>
  <si>
    <t>Number of sum of High alarm from Surface Current Spd and VADCP Current Speed.</t>
  </si>
  <si>
    <t>Number of sum of High alarm from Combo_PQ_Offset_WC.</t>
  </si>
  <si>
    <t>Number of sum of High alarm from North Draft, East Draft, South Draft, and West Draft.</t>
  </si>
  <si>
    <t>Number of sum of Low alarm from North Draft, East Draft, South Draft, and West Draft.</t>
  </si>
  <si>
    <t>Number of sum of any alarm from Riser A Tension to Riser X Tension.</t>
  </si>
  <si>
    <t>Derived draft at the 0,0 position of the platform, computed from 4 airgaps and 6DoF.</t>
  </si>
  <si>
    <t>Best of Fugro and Orion PQ Northings in UTM coordinate system.</t>
  </si>
  <si>
    <t>Best of Fugro and Orion PQ Eastings in UTM coordinate system.</t>
  </si>
  <si>
    <t>Best of Fugro and Orion PQ Northings channels (WC: Watch-circle shown on WinMon display).</t>
  </si>
  <si>
    <t>Best of Fugro and Orion PQ Eastings channels (WC: Watch-circle shown on WinMon display).</t>
  </si>
  <si>
    <t>Best of Fugro and Orion PQ Offset channels (WC: Watch-circle shown on WinMon display).</t>
  </si>
  <si>
    <t>Best of Fugro and Orion bearing from platform reference position (WC: Watch-circle shown on WinMon display).</t>
  </si>
  <si>
    <t>Best of Fugro and Orion GPS No. of Sats channels.</t>
  </si>
  <si>
    <t>Orion PQ Northings in UTM coordinate system.</t>
  </si>
  <si>
    <t>Orion PQ Eastings in UTM coordinate system.</t>
  </si>
  <si>
    <t>Fugro PQ Northings in UTM coordinate system.</t>
  </si>
  <si>
    <t>Fugro PQ Eastings in UTM coordinate system.</t>
  </si>
  <si>
    <t>Use Platform Coordinate System: 
+X = PE/Bow, +Y = PN/Port, +Z = Up;
Origin at vessel origin.</t>
  </si>
  <si>
    <t>Measured primary wave peak period Tp1.</t>
  </si>
  <si>
    <t>Measured altitude above the MSL (mean sea level) elevation.</t>
  </si>
  <si>
    <t>Lidar running average of 20 minutes air temperature at sensor location.</t>
  </si>
  <si>
    <t>Derived 10 minutes running average of AWOS 2min Wind Spd Gust.</t>
  </si>
  <si>
    <t>Derived 1 hour running average of AWOS 2min Wind Spd Gust.</t>
  </si>
  <si>
    <t>Derived 2 minutes running average of Lidar_3sec_Wind_Spd_10m.</t>
  </si>
  <si>
    <t>Derived 10 minutes running average of Lidar_3sec_Wind_Spd_10m.</t>
  </si>
  <si>
    <t>Derived 1 hour running average of Lidar_3sec_Wind_Spd_10m.</t>
  </si>
  <si>
    <t>Perdido_MISMAS_derive_231009.cfg</t>
  </si>
  <si>
    <t>Derived atmospheric pressure at aerodrome elevation.</t>
  </si>
  <si>
    <t>The 10 minutes running average of derived(AWS Wind Spd) at the sensor location.</t>
  </si>
  <si>
    <t>The 10 minutes running average of derived(AWS Wind Dir), referring to the true north at the sensor location.</t>
  </si>
  <si>
    <t>The 1 hour running average of derived(AWS Wind Spd) at the sensor location.</t>
  </si>
  <si>
    <t>The 1 hour running average of derived(AWS Wind Dir), referring to the true north at the sensor location.</t>
  </si>
  <si>
    <t>AWS wind speed component along True North Direction at the sensor location. AWS North Wind Spd = derived(AWS Wind Spd) * cos(derived(AWS Wind Dir)).</t>
  </si>
  <si>
    <t>AWS wind speed component along True East Direction at the sensor location. AWS East Wind Spd = derived(AWS Wind Spd) * sin(derived(AWS Wind Dir)).</t>
  </si>
  <si>
    <t>Lidar wind speed component along True North Direction at the sensor location. Lidar North Wind Spd = derived(Lidar Wind Spd) * cos(derived(Lidar Wind Dir)).</t>
  </si>
  <si>
    <t>Lidar wind speed component along True East Direction at the sensor location. Lidar East Wind Spd = derived(Lidar Wind Spd) * sin(derived(Lidar Wind Dir)).</t>
  </si>
  <si>
    <t>The 3 seconds running average of derived(Lidar Wind Spd) at the sensor location.</t>
  </si>
  <si>
    <t>The 3 seconds running average of derived(Lidar Wind Dir), referring to the true north at the sensor location.</t>
  </si>
  <si>
    <t>The 2 minutes running average of derived(Lidar Wind Spd) at the sensor location.</t>
  </si>
  <si>
    <t>The 2 minutes running average of derived(Lidar Wind Dir), referring to the true north at the sensor location.</t>
  </si>
  <si>
    <t>The 10 minutes running average of derived(Lidar Wind Spd) at the sensor location.</t>
  </si>
  <si>
    <t>The 10 minutes running average of derived(Lidar Wind Dir), referring to the true north at the sensor location.</t>
  </si>
  <si>
    <t>The 1 hour running average of derived(Lidar Wind Spd) at the sensor location.</t>
  </si>
  <si>
    <t>The 1 hour running average of derived(Lidar Wind Dir), referring to the true north at the sensor location.</t>
  </si>
  <si>
    <t>The 3 seconds running average of derived(Lidar Wind Spd), which has been corrected to a reporting height of 10m.</t>
  </si>
  <si>
    <t>The 2 minutes running average of derived(Lidar Wind Spd), which has been corrected to a reporting height of 10m.</t>
  </si>
  <si>
    <t>The 10 minutes running average of derived(Lidar Wind Spd), which has been corrected to a reporting height of 10m.</t>
  </si>
  <si>
    <t>The 1 hour running average of derived(Lidar Wind Spd), which has been corrected to a reporting height of 10m.</t>
  </si>
  <si>
    <t>AWOS wind speed component along True North Direction at the sensor location. AWOS North Wind Spd = derived(AWOS Wind Spd) * cos(derived(AWOS Wind Dir)).</t>
  </si>
  <si>
    <t>AWOS wind speed component along True East Direction at the sensor location. AWOS East Wind Spd = derived(AWOS Wind Spd) * sin(derived(AWOS Wind Dir)).</t>
  </si>
  <si>
    <t>The 10 minutes running average of derived(AWOS Wind Spd) at the sensor location.</t>
  </si>
  <si>
    <t>The 10 minutes running average of derived(AWOS Wind Dir), referring to the true north at the sensor location.</t>
  </si>
  <si>
    <t>The 1 hour running average of derived(AWOS Wind Spd) at the sensor location.</t>
  </si>
  <si>
    <t>The 1 hour running average of derived(AWOS Wind Dir), referring to the true north at the sensor location.</t>
  </si>
  <si>
    <t>WXT wind speed component along True North Direction at the sensor location. WXT North Wind Spd = derived(WXT Wind Spd) * cos(derived(WXT Wind Dir)).</t>
  </si>
  <si>
    <t>WXT wind speed component along True East Direction at the sensor location. WXT East Wind Spd = derived(WXT Wind Spd) * sin(derived(WXT Wind Dir)).</t>
  </si>
  <si>
    <t>The 10 minutes running average of derived(WXT Wind Spd) at the sensor location.</t>
  </si>
  <si>
    <t>The 10 minutes running average of derived(WXT Wind Dir), referring to the true north at the sensor location.</t>
  </si>
  <si>
    <t>The 1 hour running average of derived(WXT Wind Spd) at the sensor location.</t>
  </si>
  <si>
    <t>The 1 hour running average of derived(WXT Wind Dir), referring to the true north at the sensor location.</t>
  </si>
  <si>
    <t>POW wind speed component along True North Direction at the sensor location. POW North Wind Spd = derived(POW Wind Spd) * cos(derived(POW Wind Dir)).</t>
  </si>
  <si>
    <t>POW wind speed component along True East Direction at the sensor location. POW East Wind Spd = derived(POW Wind Spd) * sin(derived(POW Wind Dir)).</t>
  </si>
  <si>
    <t>The 3 seconds running average of derived(POW Wind Spd) at the sensor location.</t>
  </si>
  <si>
    <t>The 3 seconds running average of derived(POW Wind Dir), referring to the true north at the sensor location.</t>
  </si>
  <si>
    <t>The 1 hour running average of derived(POW Wind Spd) at the sensor location.</t>
  </si>
  <si>
    <t>The 1 hour running average of derived(POW Wind Dir), referring to the true north at the sensor location.</t>
  </si>
  <si>
    <t>The 1 minutes running average of derived(POW Wind Spd) at the sensor location.</t>
  </si>
  <si>
    <t>The 1 minutes running average of derived(POW Wind Dir), referring to the true north at the sensor location.</t>
  </si>
  <si>
    <t>PRO wind speed component along True North Direction at the sensor location. PRO North Wind Spd = derived(PRO Wind Spd) * cos(derived(PRO Wind Dir)).</t>
  </si>
  <si>
    <t>PRO wind speed component along True East Direction at the sensor location. PRO East Wind Spd = derived(PRO Wind Spd) * sin(derived(PRO Wind Dir)).</t>
  </si>
  <si>
    <t>The 3 seconds running average of derived(PRO Wind Spd) at the sensor location.</t>
  </si>
  <si>
    <t>The 3 seconds running average of derived(PRO Wind Dir), referring to the true north at the sensor location.</t>
  </si>
  <si>
    <t>The 1 minutes running average of derived(PRO Wind Spd) at the sensor location.</t>
  </si>
  <si>
    <t>The 1 minutes running average of derived(PRO Wind Dir), referring to the true north at the sensor location.</t>
  </si>
  <si>
    <t>The 1 hour running average of derived(PRO Wind Spd) at the sensor location.</t>
  </si>
  <si>
    <t>The 1 hour running average of derived(PRO Wind Dir), referring to the true north at the sensor location.</t>
  </si>
  <si>
    <t>DRL wind speed component along True North Direction at the sensor location. DRL North Wind Spd = derived(DRL Wind Spd) * cos(derived(DRL Wind Dir)).</t>
  </si>
  <si>
    <t>DRL wind speed component along True East Direction at the sensor location. DRL East Wind Spd = derived(DRL Wind Spd) * sin(derived(DRL Wind Dir)).</t>
  </si>
  <si>
    <t>The 3 seconds running average of derived(DRL Wind Spd) at the sensor location.</t>
  </si>
  <si>
    <t>The 3 seconds running average of derived(DRL Wind Dir), referring to the true north at the sensor location.</t>
  </si>
  <si>
    <t>The 1 minutes running average of derived(DRL Wind Spd) at the sensor location.</t>
  </si>
  <si>
    <t>The 1 minutes running average of derived(DRL Wind Dir), referring to the true north at the sensor location.</t>
  </si>
  <si>
    <t>The 1 hour running average of derived(DRL Wind Spd) at the sensor location.</t>
  </si>
  <si>
    <t>The 1 hour running average of derived(DRL Wind Dir), referring to the true north at the sensor location.</t>
  </si>
  <si>
    <t>Best wind speed from derived channels POW Wind Spd, PRO Wind Spd, DRL Wind Spd.</t>
  </si>
  <si>
    <t>True wind direction associated with MAS Wind Spd.</t>
  </si>
  <si>
    <t>MAS wind speed component along True North Direction. MAS North Wind Spd = derived(MAS Wind Spd) * cos(derived(MAS Wind Dir)).</t>
  </si>
  <si>
    <t>MAS wind speed component along True East Direction. MAS East Wind Spd = derived(MAS Wind Spd) * sin(derived(MAS Wind Dir)).</t>
  </si>
  <si>
    <t>The 3 seconds running average of derived(MAS Wind Spd).</t>
  </si>
  <si>
    <t>The 3 seconds running average of derived(MAS Wind Dir), referring to the true north .</t>
  </si>
  <si>
    <t>The 1 minutes running average of derived(MAS Wind Spd) .</t>
  </si>
  <si>
    <t>The 1 minutes running average of derived(MAS Wind Dir), referring to the true north .</t>
  </si>
  <si>
    <t>The 1 hour running average of derived(MAS Wind Spd) .</t>
  </si>
  <si>
    <t>The 1 hour running average of derived(MAS Wind Dir), referring to the true north .</t>
  </si>
  <si>
    <t>The 10 minutes running average of derived(Best Wind Spd) at the sensor location.</t>
  </si>
  <si>
    <t>The 10 minutes running average of derived(Best Wind Dir), referring to the true north at the sensor location.</t>
  </si>
  <si>
    <t>Best wind speed component along True North Direction at the sensor location. Best North Wind Spd = derived(Best Wind Spd) * cos(derived(Best Wind Dir)).</t>
  </si>
  <si>
    <t>Best wind speed component along True East Direction at the sensor location. Best East Wind Spd = derived(Best Wind Spd) * sin(derived(Best Wind Dir)).</t>
  </si>
  <si>
    <t>The 3 seconds running average of derived(Best Wind Spd) at the sensor location.</t>
  </si>
  <si>
    <t>The 3 seconds running average of derived(Best Wind Dir), referring to the true north at the sensor location.</t>
  </si>
  <si>
    <t>The 1 minutes running average of derived(Best Wind Spd) at the sensor location.</t>
  </si>
  <si>
    <t>The 1 minutes running average of derived(Best Wind Dir), referring to the true north at the sensor location.</t>
  </si>
  <si>
    <t>The 1 hour running average of derived(Best Wind Spd) at the sensor location.</t>
  </si>
  <si>
    <t>The 1 hour running average of derived(Best Wind Dir), referring to the true north at the sensor location.</t>
  </si>
  <si>
    <t>The 3 seconds running average of derived(STBD Wind Spd), which has been corrected to a reporting height of 10m.</t>
  </si>
  <si>
    <t>The 10 minutes running average of derived(STBD Wind Spd), which has been corrected to a reporting height of 10m.</t>
  </si>
  <si>
    <t>The 1 hour running average of derived(STBD Wind Spd), which has been corrected to a reporting height of 10m.</t>
  </si>
  <si>
    <t>STBD wind speed component along True North Direction at the sensor location. STBD North Wind Spd = derived(STBD Wind Spd) * cos(derived(STBD Wind Dir)).</t>
  </si>
  <si>
    <t>STBD wind speed component along True East Direction at the sensor location. STBD East Wind Spd = derived(STBD Wind Spd) * sin(derived(STBD Wind Dir)).</t>
  </si>
  <si>
    <t>The 3 seconds running average of derived(STBD Wind Spd) at the sensor location.</t>
  </si>
  <si>
    <t>The 3 seconds running average of derived(STBD Wind Dir), referring to the true north at the sensor location.</t>
  </si>
  <si>
    <t>The 1 minutes running average of derived(STBD Wind Spd) at the sensor location.</t>
  </si>
  <si>
    <t>The 1 minutes running average of derived(STBD Wind Dir), referring to the true north at the sensor location.</t>
  </si>
  <si>
    <t>The 10 minutes running average of derived(STBD Wind Spd) at the sensor location.</t>
  </si>
  <si>
    <t>The 10 minutes running average of derived(STBD Wind Dir), referring to the true north at the sensor location.</t>
  </si>
  <si>
    <t>The 1 hour running average of derived(STBD Wind Spd) at the sensor location.</t>
  </si>
  <si>
    <t>The 1 hour running average of derived(STBD Wind Dir), referring to the true north at the sensor location.</t>
  </si>
  <si>
    <t>The 1 minutes running average of derived(STBD Wind Spd), which has been corrected to a reporting height of 10m.</t>
  </si>
  <si>
    <t>Turret wind speed component along True North Direction at the sensor location. Turret North Wind Spd = derived(Turret Wind Spd) * cos(derived(Turret Wind Dir)).</t>
  </si>
  <si>
    <t>Turret wind speed component along True East Direction at the sensor location. Turret East Wind Spd = derived(Turret Wind Spd) * sin(derived(Turret Wind Dir)).</t>
  </si>
  <si>
    <t>The 3 seconds running average of derived(Turret Wind Spd) at the sensor location.</t>
  </si>
  <si>
    <t>The 3 seconds running average of derived(Turret Wind Dir), referring to the true north at the sensor location.</t>
  </si>
  <si>
    <t>The 1 minutes running average of derived(Turret Wind Spd) at the sensor location.</t>
  </si>
  <si>
    <t>The 1 minutes running average of derived(Turret Wind Dir), referring to the true north at the sensor location.</t>
  </si>
  <si>
    <t>The 10 minutes running average of derived(Turret Wind Spd) at the sensor location.</t>
  </si>
  <si>
    <t>The 10 minutes running average of derived(Turret Wind Dir), referring to the true north at the sensor location.</t>
  </si>
  <si>
    <t>The 1 hour running average of derived(Turret Wind Spd) at the sensor location.</t>
  </si>
  <si>
    <t>The 1 hour running average of derived(Turret Wind Dir), referring to the true north at the sensor location.</t>
  </si>
  <si>
    <t>The 3 seconds running average of derived(Turret Wind Spd), which has been corrected to a reporting height of 10m.</t>
  </si>
  <si>
    <t>The 1 minutes running average of derived(Turret Wind Spd), which has been corrected to a reporting height of 10m.</t>
  </si>
  <si>
    <t>The 10 minutes running average of derived(Turret Wind Spd), which has been corrected to a reporting height of 10m.</t>
  </si>
  <si>
    <t>The 1 hour running average of derived(Turret Wind Spd), which has been corrected to a reporting height of 10m.</t>
  </si>
  <si>
    <t>PORT wind speed component along True North Direction at the sensor location. PORT North Wind Spd = derived(PORT Wind Spd) * cos(derived(PORT Wind Dir)).</t>
  </si>
  <si>
    <t>PORT wind speed component along True East Direction at the sensor location. PORT East Wind Spd = derived(PORT Wind Spd) * sin(derived(PORT Wind Dir)).</t>
  </si>
  <si>
    <t>The 3 seconds running average of derived(PORT Wind Spd) at the sensor location.</t>
  </si>
  <si>
    <t>The 3 seconds running average of derived(PORT Wind Dir), referring to the true north at the sensor location.</t>
  </si>
  <si>
    <t>The 1 minutes running average of derived(PORT Wind Spd) at the sensor location.</t>
  </si>
  <si>
    <t>The 1 minutes running average of derived(PORT Wind Dir), referring to the true north at the sensor location.</t>
  </si>
  <si>
    <t>The 10 minutes running average of derived(PORT Wind Spd) at the sensor location.</t>
  </si>
  <si>
    <t>The 10 minutes running average of derived(PORT Wind Dir), referring to the true north at the sensor location.</t>
  </si>
  <si>
    <t>The 1 hour running average of derived(PORT Wind Spd) at the sensor location.</t>
  </si>
  <si>
    <t>The 1 hour running average of derived(PORT Wind Dir), referring to the true north at the sensor location.</t>
  </si>
  <si>
    <t>The 3 seconds running average of derived(PORT Wind Spd), which has been corrected to a reporting height of 10m.</t>
  </si>
  <si>
    <t>The 1 minutes running average of derived(PORT Wind Spd), which has been corrected to a reporting height of 10m.</t>
  </si>
  <si>
    <t>The 10 minutes running average of derived(PORT Wind Spd), which has been corrected to a reporting height of 10m.</t>
  </si>
  <si>
    <t>The 1 hour running average of derived(PORT Wind Spd), which has been corrected to a reporting height of 10m.</t>
  </si>
  <si>
    <t>Measured distance from North Airgap sensor head to water surface..</t>
  </si>
  <si>
    <t>Raw Airgap data with outliers removed.</t>
  </si>
  <si>
    <t>4*standard deviation of derive(North Airgap). A 20 minute running value of standar deviation is used.</t>
  </si>
  <si>
    <t>Average zero up crossings period determined over a running 20 minute interval.</t>
  </si>
  <si>
    <t>Measured distance from East Airgap sensor head to water surface.</t>
  </si>
  <si>
    <t>Measured distance from South Airgap sensor head to water surface.</t>
  </si>
  <si>
    <t>Measured distance from West Airgap sensor head to water surface.</t>
  </si>
  <si>
    <t>4*standard deviation of derive(East Airgap). A 20 minute running value of standar deviation is used.</t>
  </si>
  <si>
    <t>4*standard deviation of derive(South Airgap). A 20 minute running value of standar deviation is used.</t>
  </si>
  <si>
    <t>4*standard deviation of derive(West Airgap). A 20 minute running value of standar deviation is used.</t>
  </si>
  <si>
    <t>4*standard deviation of derive(AFT Airgap). A 20 minute running value of standar deviation is used.</t>
  </si>
  <si>
    <t>Measured distance from AFT Airgap sensor head to water surface..</t>
  </si>
  <si>
    <t>Latitude of the antenna in terms of degrees and integer minutes (raw data - not for general use).</t>
  </si>
  <si>
    <t>Latitude of the antenna in terms of decimal minutes (decimal places 1 to 4, 0 - 0.XXXX minutes (raw data - not for general use)).</t>
  </si>
  <si>
    <t>Latitude of the antenna in terms of decimal minutes (decimal places 5 to 8, 0 - 0.0000XXXX minutes (raw data - not for general use)).</t>
  </si>
  <si>
    <t>Longitude of the antenna in terms of decimal minutes (decimal places 1 to 4, 0 - 0.XXXX minutes (raw data - not for general use)).</t>
  </si>
  <si>
    <t>Longiitude of the antenna in terms of decimal minutes (decimal places 5 to 8, 0 - 0.0000XXXX minutes (raw data - not for general use)).</t>
  </si>
  <si>
    <t>Longitude of the antenna in terms of degrees and integer minutes (raw data - not for general use).</t>
  </si>
  <si>
    <t>20 minutes running average of 2DoF roll of rotation about the local body longitudinal (x) axis at vessel origin.</t>
  </si>
  <si>
    <t>20 minutes running average of 2DoF pitch of rotation about the local body longitudinal (y) axis at vessel origin.</t>
  </si>
  <si>
    <t>20 minutes running average of 6DoF roll of rotation about the local body longitudinal (x) axis at vessel origin.</t>
  </si>
  <si>
    <t>20 minutes running average of 6DoF pitch of rotation about the local body longitudinal (y) axis at vessel origin.</t>
  </si>
  <si>
    <t>Root mean square of 20 minutes 6DoF roll of rotation about the local body longitudinal (x) axis at vessel origin.</t>
  </si>
  <si>
    <t>Root mean square of 20 minutes 6DoF pitch of rotation about the local body transverse (y) axis at vessel origin.</t>
  </si>
  <si>
    <r>
      <t>Derived from PQ Roll and PQ Pitch. PQ Tilt = sqrt(PQ Roll)</t>
    </r>
    <r>
      <rPr>
        <vertAlign val="superscript"/>
        <sz val="11"/>
        <rFont val="Aptos Narrow"/>
        <family val="2"/>
        <scheme val="minor"/>
      </rPr>
      <t>2</t>
    </r>
    <r>
      <rPr>
        <sz val="11"/>
        <rFont val="Aptos Narrow"/>
        <family val="2"/>
        <scheme val="minor"/>
      </rPr>
      <t xml:space="preserve"> + sqrt(PQ Pitch)</t>
    </r>
    <r>
      <rPr>
        <vertAlign val="superscript"/>
        <sz val="11"/>
        <rFont val="Aptos Narrow"/>
        <family val="2"/>
        <scheme val="minor"/>
      </rPr>
      <t>2</t>
    </r>
  </si>
  <si>
    <t>Root mean square of 20 minutes PQ Surge Acc along the local body longitudinal (x) axis at vessel origin.</t>
  </si>
  <si>
    <t>Root mean square of 20 minutes PQ Sway Acc along the local body transverse (y) axis at vessel origin.</t>
  </si>
  <si>
    <t>Root mean square of 20 minutes PQ Heave Acc along the local body vertical (z) axis at vessel origin.</t>
  </si>
  <si>
    <t>Root mean square of 20 minutes ???? axis at vessel origin.</t>
  </si>
  <si>
    <t>Root mean square of 5 minutes roll of rotation about the local body longitudinal (x) axis at vessel origin.</t>
  </si>
  <si>
    <t>Root mean square of 5 minutes pitch of rotation about the local body transverse (y) axis at vessel origin.</t>
  </si>
  <si>
    <t>20 minutes running average of roll of rotation about the local body longitudinal (x) axis at vessel origin.</t>
  </si>
  <si>
    <t>20 minutes running average of  roll of rotation about the local body longitudinal (x) axis at vessel origin.</t>
  </si>
  <si>
    <t>20 minutes running average of  pitch of rotation about the local body longitudinal (y) axis at vessel origin.</t>
  </si>
  <si>
    <t>20 minutes standard deviation of  roll of rotation about the local body longitudinal (x) axis at vessel origin.</t>
  </si>
  <si>
    <t>20 minutes standard deviation of  pitch of rotation about the local body transverse (y) axis at vessel origin.</t>
  </si>
  <si>
    <t>20 minutes running average of HELI 6DoF roll of rotation about the local body longitudinal (x) axis at vessel origin.</t>
  </si>
  <si>
    <t>20 minutes running average of HELI 6DoF pitch of rotation about the local body longitudinal (y) axis at vessel origin.</t>
  </si>
  <si>
    <r>
      <t>Derived tilt direction from PQ Roll and PQ Pitch. PQ Tilt Dir = atan[(PQ Roll)</t>
    </r>
    <r>
      <rPr>
        <vertAlign val="superscript"/>
        <sz val="11"/>
        <rFont val="Aptos Narrow"/>
        <family val="2"/>
        <scheme val="minor"/>
      </rPr>
      <t>2</t>
    </r>
    <r>
      <rPr>
        <sz val="11"/>
        <rFont val="Aptos Narrow"/>
        <family val="2"/>
        <scheme val="minor"/>
      </rPr>
      <t xml:space="preserve"> + (PQ Pitch)</t>
    </r>
    <r>
      <rPr>
        <vertAlign val="superscript"/>
        <sz val="11"/>
        <rFont val="Aptos Narrow"/>
        <family val="2"/>
        <scheme val="minor"/>
      </rPr>
      <t>2</t>
    </r>
    <r>
      <rPr>
        <sz val="11"/>
        <rFont val="Aptos Narrow"/>
        <family val="2"/>
        <scheme val="minor"/>
      </rPr>
      <t>] + PQ Heading</t>
    </r>
  </si>
  <si>
    <r>
      <t>Derived tilt direction from HELI List and HELI Trim. HELI Static Tilt Dir = atan[(HELI List)</t>
    </r>
    <r>
      <rPr>
        <vertAlign val="superscript"/>
        <sz val="11"/>
        <rFont val="Aptos Narrow"/>
        <family val="2"/>
        <scheme val="minor"/>
      </rPr>
      <t>2</t>
    </r>
    <r>
      <rPr>
        <sz val="11"/>
        <rFont val="Aptos Narrow"/>
        <family val="2"/>
        <scheme val="minor"/>
      </rPr>
      <t xml:space="preserve"> + (HELI Trim)</t>
    </r>
    <r>
      <rPr>
        <vertAlign val="superscript"/>
        <sz val="11"/>
        <rFont val="Aptos Narrow"/>
        <family val="2"/>
        <scheme val="minor"/>
      </rPr>
      <t>2</t>
    </r>
    <r>
      <rPr>
        <sz val="11"/>
        <rFont val="Aptos Narrow"/>
        <family val="2"/>
        <scheme val="minor"/>
      </rPr>
      <t>] + FPSO Heading</t>
    </r>
  </si>
  <si>
    <r>
      <t>Derived from HELI List and HELI Trim. HELI Static Tilt = sqrt(HELI List)</t>
    </r>
    <r>
      <rPr>
        <vertAlign val="superscript"/>
        <sz val="11"/>
        <rFont val="Aptos Narrow"/>
        <family val="2"/>
        <scheme val="minor"/>
      </rPr>
      <t>2</t>
    </r>
    <r>
      <rPr>
        <sz val="11"/>
        <rFont val="Aptos Narrow"/>
        <family val="2"/>
        <scheme val="minor"/>
      </rPr>
      <t xml:space="preserve"> + sqrt(HELI Trim)</t>
    </r>
    <r>
      <rPr>
        <vertAlign val="superscript"/>
        <sz val="11"/>
        <rFont val="Aptos Narrow"/>
        <family val="2"/>
        <scheme val="minor"/>
      </rPr>
      <t>2</t>
    </r>
  </si>
  <si>
    <t xml:space="preserve">Riser A stroke measured by string pot </t>
  </si>
  <si>
    <t xml:space="preserve">Riser DCR stroke measured by string pot </t>
  </si>
  <si>
    <t xml:space="preserve">Riser E stroke measured by string pot </t>
  </si>
  <si>
    <t xml:space="preserve">Riser D stroke measured by string pot </t>
  </si>
  <si>
    <t xml:space="preserve">Riser C stroke measured by string pot </t>
  </si>
  <si>
    <t xml:space="preserve">Riser B stroke measured by string pot </t>
  </si>
  <si>
    <t>Measured from Pressure Transducer on Riser A cylinder 1 lower part.</t>
  </si>
  <si>
    <t>Measured from Pressure Transducer on Riser A cylinder 2 lower part.</t>
  </si>
  <si>
    <t>Measured from Pressure Transducer on Riser A cylinder 3 lower part.</t>
  </si>
  <si>
    <t>Measured from Pressure Transducer on Riser A cylinder 4 lower part.</t>
  </si>
  <si>
    <t>Measured from Pressure Transducer on Riser A cylinder 1 higher part.</t>
  </si>
  <si>
    <t>Measured from Pressure Transducer on Riser A cylinder 2 higher part.</t>
  </si>
  <si>
    <t>Measured from Pressure Transducer on Riser A cylinder 3 higher part.</t>
  </si>
  <si>
    <t>Measured from Pressure Transducer on Riser A cylinder 4 higher part.</t>
  </si>
  <si>
    <t>Measured from Pressure Transducer on Riser DCR cylinder 1 lower part.</t>
  </si>
  <si>
    <t>Measured from Pressure Transducer on Riser DCR cylinder 2 lower part.</t>
  </si>
  <si>
    <t>Measured from Pressure Transducer on Riser DCR cylinder 3 lower part.</t>
  </si>
  <si>
    <t>Measured from Pressure Transducer on Riser DCR cylinder 4 lower part.</t>
  </si>
  <si>
    <t>Measured from Pressure Transducer on Riser DCR cylinder 1 higher part.</t>
  </si>
  <si>
    <t>Measured from Pressure Transducer on Riser DCR cylinder 2 higher part.</t>
  </si>
  <si>
    <t>Measured from Pressure Transducer on Riser DCR cylinder 3 higher part.</t>
  </si>
  <si>
    <t>Measured from Pressure Transducer on Riser DCR cylinder 4 higher part.</t>
  </si>
  <si>
    <t>Measured from Pressure Transducer on Riser E cylinder 1 lower part.</t>
  </si>
  <si>
    <t>Measured from Pressure Transducer on Riser E cylinder 2 lower part.</t>
  </si>
  <si>
    <t>Measured from Pressure Transducer on Riser E cylinder 3 lower part.</t>
  </si>
  <si>
    <t>Measured from Pressure Transducer on Riser E cylinder 4 lower part.</t>
  </si>
  <si>
    <t>Measured from Pressure Transducer on Riser E cylinder 1 higher part.</t>
  </si>
  <si>
    <t>Measured from Pressure Transducer on Riser E cylinder 2 higher part.</t>
  </si>
  <si>
    <t>Measured from Pressure Transducer on Riser E cylinder 3 higher part.</t>
  </si>
  <si>
    <t>Measured from Pressure Transducer on Riser E cylinder 4 higher part.</t>
  </si>
  <si>
    <t>Measured from Pressure Transducer on Riser D cylinder 1 lower part.</t>
  </si>
  <si>
    <t>Measured from Pressure Transducer on Riser D cylinder 2 lower part.</t>
  </si>
  <si>
    <t>Measured from Pressure Transducer on Riser D cylinder 3 lower part.</t>
  </si>
  <si>
    <t>Measured from Pressure Transducer on Riser D cylinder 4 lower part.</t>
  </si>
  <si>
    <t>Measured from Pressure Transducer on Riser D cylinder 1 higher part.</t>
  </si>
  <si>
    <t>Measured from Pressure Transducer on Riser D cylinder 2 higher part.</t>
  </si>
  <si>
    <t>Measured from Pressure Transducer on Riser D cylinder 3 higher part.</t>
  </si>
  <si>
    <t>Measured from Pressure Transducer on Riser D cylinder 4 higher part.</t>
  </si>
  <si>
    <t>Measured from Pressure Transducer on Riser C cylinder 1 lower part.</t>
  </si>
  <si>
    <t>Measured from Pressure Transducer on Riser C cylinder 2 lower part.</t>
  </si>
  <si>
    <t>Measured from Pressure Transducer on Riser C cylinder 3 lower part.</t>
  </si>
  <si>
    <t>Measured from Pressure Transducer on Riser C cylinder 4 lower part.</t>
  </si>
  <si>
    <t>Measured from Pressure Transducer on Riser C cylinder 1 higher part.</t>
  </si>
  <si>
    <t>Measured from Pressure Transducer on Riser C cylinder 2 higher part.</t>
  </si>
  <si>
    <t>Measured from Pressure Transducer on Riser C cylinder 3 higher part.</t>
  </si>
  <si>
    <t>Measured from Pressure Transducer on Riser C cylinder 4 higher part.</t>
  </si>
  <si>
    <t>Measured from Pressure Transducer on Riser B cylinder 1 lower part.</t>
  </si>
  <si>
    <t>Measured from Pressure Transducer on Riser B cylinder 2 lower part.</t>
  </si>
  <si>
    <t>Measured from Pressure Transducer on Riser B cylinder 3 lower part.</t>
  </si>
  <si>
    <t>Measured from Pressure Transducer on Riser B cylinder 4 lower part.</t>
  </si>
  <si>
    <t>Measured from Pressure Transducer on Riser B cylinder 1 higher part.</t>
  </si>
  <si>
    <t>Measured from Pressure Transducer on Riser B cylinder 2 higher part.</t>
  </si>
  <si>
    <t>Measured from Pressure Transducer on Riser B cylinder 3 higher part.</t>
  </si>
  <si>
    <t>Measured from Pressure Transducer on Riser B cylinder 4 higher part.</t>
  </si>
  <si>
    <t>Whether this GPS is used in deciding best GPS (0 or 1).</t>
  </si>
  <si>
    <t>Derived HELI deck Measure of Motion Severity, is the instantaneous value of the ratio of the total acceleration (i.e. including gravity) in the plane of the helideck divided by the component of the total acceleration normal to the helideck.</t>
  </si>
  <si>
    <t>Derived HELI deck Wind Severity Index, is the 10-minute mean free stream wind speed, corrected to a height of 10 meters above the helideck surface.</t>
  </si>
  <si>
    <t>Derived HELI deck Motion Severity Index, is the maximum value of MMS measured during the previous 20 minutes, converted to the form of a dynamic helideck slope in degrees, and then multiplied by 10 and rounded to the nearest whole number.</t>
  </si>
  <si>
    <t>https://www.helidecks.org/wp-content/uploads/2023/06/Standard-Helideck-Monitoring-Systems-Rev-9c-2023-06-02.pdf</t>
  </si>
  <si>
    <t>Derived HELI Significant Heave Rate, is the average of the one-third highest values of instantaneous heave rate recorded during the previous 20-minute monitoring period.</t>
  </si>
  <si>
    <t>Max of HELI roll (the angle between the absolute horizon and the plane of the helideck measured along the longitudinal (x) axis at sensor location).</t>
  </si>
  <si>
    <t>Min of HELI roll (the angle between the absolute horizon and the plane of the helideck measured along the longitudinal (x) axis at sensor location).</t>
  </si>
  <si>
    <t>Max of HELI pitch (the angle between the absolute horizon and the plane of the helideck measured along the longitudinal (y) axis at sensor location).</t>
  </si>
  <si>
    <t>Min of HELI pitch (the angle between the absolute horizon and the plane of the helideck measured along the longitudinal (y) axis at sensor location).</t>
  </si>
  <si>
    <t>Whether this turret pressure sensor is used or not.</t>
  </si>
  <si>
    <t>Derived turret bouy depth.</t>
  </si>
  <si>
    <t>Derived turret pressure sensor depth</t>
  </si>
  <si>
    <t>Whether SSSA Temp is used or not (0 or 1).</t>
  </si>
  <si>
    <t>Measured from Gyro USBL GPS, used to determine the FPSO position from the Turret Bouy.</t>
  </si>
  <si>
    <t>Measured from Sonardyne subsea positioning system, measurement from 1st beacon on Turret Bouy, used to determine the Turret Bouy position referring to the FPSO.</t>
  </si>
  <si>
    <t>Measured from Sonardyne subsea positioning system, measurement from 2nd beacon on Turret Bouy, used to determine the Turret Bouy position referring to the FPSO.</t>
  </si>
  <si>
    <t>Measured from Sonardyne subsea positioning system, measurement from 3rd beacon on Turret Bouy, used to determine the Turret Bouy position referring to the FPSO.</t>
  </si>
  <si>
    <t>Measured from Sonardyne subsea positioning system, measurement of pitch from 1st beacon onTurret Bouy.</t>
  </si>
  <si>
    <t>Measured from Sonardyne subsea positioning system, measurement of temperature from 1st beacon onTurret Bouy.</t>
  </si>
  <si>
    <t>Measured from Sonardyne subsea positioning system, measurement of roll from 1st beacon onTurret Bouy.</t>
  </si>
  <si>
    <t>Measured from Sonardyne subsea positioning system, measurement of temperature from 2nd beacon onTurret Bouy.</t>
  </si>
  <si>
    <t>Measured from Sonardyne subsea positioning system, measurement of pitch from 2nd beacon onTurret Bouy.</t>
  </si>
  <si>
    <t>Measured from Sonardyne subsea positioning system, measurement of roll from 2nd beacon onTurret Bouy.</t>
  </si>
  <si>
    <t>Measured from Sonardyne subsea positioning system, measurement of temperature from 3rd beacon onTurret Bouy.</t>
  </si>
  <si>
    <t>Measured from Sonardyne subsea positioning system, measurement of pitch from 3rd beacon onTurret Bouy.</t>
  </si>
  <si>
    <t>Measured from Sonardyne subsea positioning system, measurement of roll from 3rd beacon onTurret Bouy.</t>
  </si>
  <si>
    <t>Derived from vessel position and vessel motion, used for monitoring mooring system. Warning level needs to be &lt;1.</t>
  </si>
  <si>
    <t>Derived from vessel position and vessel motion, used for monitoring mooring system.</t>
  </si>
  <si>
    <t>Derived heading of gyro heading and turret heading, +ve heading is vessel Bow (x-axis) clockwise of True North.</t>
  </si>
  <si>
    <t>Whether FPSO Heading is used or not (0 or 1).</t>
  </si>
  <si>
    <t>Measured wave data point timestamp. Combined "Wave HI Time" and  "Wave LO Time" channels give the measured data timestamp.</t>
  </si>
  <si>
    <t>Measured current data point timestamp. Combined "Current HI Time" and  "Current LO Time" channels give the measured data timestamp.</t>
  </si>
  <si>
    <t xml:space="preserve">Measured </t>
  </si>
  <si>
    <t>Measured lidar data point timestamp. Combined "Lidar HI Time" and  "Lidar LO Time" channels give the measured data timestamp.</t>
  </si>
  <si>
    <t>Firmware version.</t>
  </si>
  <si>
    <t>Number of configured heights.</t>
  </si>
  <si>
    <t>Measured cloud height on the 1st cloud layer.</t>
  </si>
  <si>
    <t>Measured cloud height on the 2nd cloud layer.</t>
  </si>
  <si>
    <t>Measured cloud height on the 3rd cloud layer.</t>
  </si>
  <si>
    <t>Measured sky condition on the 3rd cloud layer (the coded results include Clear, Scattered, Obscured, etc.).</t>
  </si>
  <si>
    <t>Measured sky condition on the 2nd cloud layer (the coded results include Clear, Scattered, Obscured, etc.).</t>
  </si>
  <si>
    <t>Measured types of cloud cover conditions include SKC (sky clear), FEW (trace), SCT (scattered), BKN (broken) and OVC (overcast). Cloud cover is reported in terms of 1/8th of sky cover with 1-2/8th being FEW, 3-4/8th being SCT, 5-7/8th being BKN and 8/8 denoted at OVC.</t>
  </si>
  <si>
    <t>Indicates whether statistic is completed and starts calculation from BMT MIS to MAS.</t>
  </si>
  <si>
    <t>Start time for statistic.</t>
  </si>
  <si>
    <t>End time for statistic.</t>
  </si>
  <si>
    <t>Indicates whether the MAS calculation is completed or not.</t>
  </si>
  <si>
    <t>Indicates the status of power distribution unit.</t>
  </si>
  <si>
    <t>Average time used to calculate the advisory wind direction.</t>
  </si>
  <si>
    <t>Averaged wind direction, used to pick which source to use for wind.</t>
  </si>
  <si>
    <t>Indicates whether the MAS software is communicating to BMT WinMon or not.</t>
  </si>
  <si>
    <t>Indicates whether the Mooring Line PLC is communicating to BMT WinMon or not.</t>
  </si>
  <si>
    <t>Indicates whether the metocean computer is communicating to BMT WinMon or not.</t>
  </si>
  <si>
    <t>Indicates whether the DCS software is communicating to BMT WinMon or not.</t>
  </si>
  <si>
    <t>Indicates whether the TIS is communicating to BMT WinMon or not.</t>
  </si>
  <si>
    <t>Indicates whether the MISMAS software is communicating to BMT WinMon or not.</t>
  </si>
  <si>
    <t>Indicates whether the MAS computer is communicating to BMT WinMon or not.</t>
  </si>
  <si>
    <t>Indicate whether the metocean computer is communicating to BMT WinMon or not.</t>
  </si>
  <si>
    <t>Indicate whether the TIS is communicating to BMT WinMon or not.</t>
  </si>
  <si>
    <t>Indicates whether TBMS from Subsea Strain Sensor Assembly is communicating to BMT WinMon or not.</t>
  </si>
  <si>
    <t>Indicate whether the MIS computer is communicating to BMT WinMon or not.</t>
  </si>
  <si>
    <t>Measured Lidar data point timestamp. Combined "Lidar HI Time" and  "Lidar LO Time" channels give the measured data timestamp.</t>
  </si>
  <si>
    <t>Lidar lense height from deck.</t>
  </si>
  <si>
    <t>Max HADCP Current Speed from configured bin ranges or the best bin.</t>
  </si>
  <si>
    <t>Corresponding Direction to the Max HADCP Current Speed.</t>
  </si>
  <si>
    <t>Measured sea water temperature at sensor location.</t>
  </si>
  <si>
    <t>Max VADCP Current Speed from configured bin ranges.</t>
  </si>
  <si>
    <t>Corresponding Direction to the Max VADCP Current Speed.</t>
  </si>
  <si>
    <t>Used to pick which source for wind.</t>
  </si>
  <si>
    <t>Client</t>
  </si>
  <si>
    <t>Platform</t>
  </si>
  <si>
    <t>System</t>
  </si>
  <si>
    <t>Shell</t>
  </si>
  <si>
    <t>Appomattox</t>
  </si>
  <si>
    <t>MIS</t>
  </si>
  <si>
    <t>Formula</t>
  </si>
  <si>
    <t>Auger</t>
  </si>
  <si>
    <t>Mars</t>
  </si>
  <si>
    <t>Olympus</t>
  </si>
  <si>
    <t>Ursa</t>
  </si>
  <si>
    <t>Stones</t>
  </si>
  <si>
    <t>Perdido</t>
  </si>
  <si>
    <t>The status for this 6DoF device.</t>
  </si>
  <si>
    <t>The status of this 6DoF device.</t>
  </si>
  <si>
    <t>GP151</t>
  </si>
  <si>
    <t>GP152</t>
  </si>
  <si>
    <t>GP153</t>
  </si>
  <si>
    <t>GP154</t>
  </si>
  <si>
    <t>GP155</t>
  </si>
  <si>
    <t>GP156</t>
  </si>
  <si>
    <t>GP157</t>
  </si>
  <si>
    <t>GP158</t>
  </si>
  <si>
    <t>GP159</t>
  </si>
  <si>
    <t>GP160</t>
  </si>
  <si>
    <t>GP161</t>
  </si>
  <si>
    <t>Derived barometric pressure, uses AWOS Baro Pressure as input.</t>
  </si>
  <si>
    <t>derive_230130.dll</t>
  </si>
  <si>
    <t>Measured wave direction from, true.</t>
  </si>
  <si>
    <t>Direction spreading of the wave spectrum's primary peak energy.</t>
  </si>
  <si>
    <t>Measured secondary wave peak direction from, true.</t>
  </si>
  <si>
    <t>Measured surface current direction towards, true.</t>
  </si>
  <si>
    <t>Measured relative wind direction from, at Lidar configured height 1.</t>
  </si>
  <si>
    <t>Measured relative wind direction from, at Lidar configured height 2.</t>
  </si>
  <si>
    <t>Measured relative wind direction from, at Lidar configured height 3.</t>
  </si>
  <si>
    <t>Measured relative wind direction from, at Lidar configured height 4.</t>
  </si>
  <si>
    <t>Measured relative wind direction from, at Lidar configured height 5.</t>
  </si>
  <si>
    <t>Measured relative wind direction from, at Lidar configured height 6.</t>
  </si>
  <si>
    <t>Measured relative wind direction from, at Lidar configured height 7.</t>
  </si>
  <si>
    <t>Measured relative wind direction from, at Lidar configured height 8.</t>
  </si>
  <si>
    <t>Measured relative wind direction from, at Lidar configured height 9.</t>
  </si>
  <si>
    <t>Measured relative wind direction from, at Lidar configured height 10.</t>
  </si>
  <si>
    <t>Measured relative wind direction from, at Lidar configured height 11.</t>
  </si>
  <si>
    <t>Measured 2-minute average relative wind direction from, at sensor location.</t>
  </si>
  <si>
    <t>Running average of 10 minutes wind direction from, at sensor location.</t>
  </si>
  <si>
    <t>Measured relative wind direction from, at sensor location.</t>
  </si>
  <si>
    <t>Derived port wind direction from, at sensor location, true.</t>
  </si>
  <si>
    <t>Derived turret wind direction from, at sensor location, true.</t>
  </si>
  <si>
    <t>Derived starboard wind direction from, at sensor location, true.</t>
  </si>
  <si>
    <t>Measured raw wind direction from, at sensor location.</t>
  </si>
  <si>
    <t>Corresponding Direction towards corresponding to the Max VADCP Current Speed.</t>
  </si>
  <si>
    <t>Measured principal wave peak direction from, true.</t>
  </si>
  <si>
    <t>Measured primary wave peak direction from, true.</t>
  </si>
  <si>
    <t>Measured turret raw wind direction from, relative.</t>
  </si>
  <si>
    <t>Measured port raw wind direction from, relative.</t>
  </si>
  <si>
    <t>Derived port wind speed from, at sensor location.</t>
  </si>
  <si>
    <t>Derived turret wind speed from, at sensor location.</t>
  </si>
  <si>
    <t>Derived starboard wind speed from, at sensor location.</t>
  </si>
  <si>
    <t>Health status of the TIS, provided by Oil State.</t>
  </si>
  <si>
    <t>Alarm whether oil is spilled.</t>
  </si>
  <si>
    <t>Indicates whether the calculation is completed in LMP.</t>
  </si>
  <si>
    <t>Mooring line system controls and indicators in column A1, from Mooring Line PLC.</t>
  </si>
  <si>
    <t>Dicommisioned.</t>
  </si>
  <si>
    <t>Output Mooring Line 1 tension from either ML 1 Tension A or ML 1 Tension B.</t>
  </si>
  <si>
    <t>Status of ML 1 tension calculation.</t>
  </si>
  <si>
    <t>Status of ML 2 tension calculation.</t>
  </si>
  <si>
    <t>Status of ML 3 tension calculation.</t>
  </si>
  <si>
    <t>Status of ML 4 tension calculation.</t>
  </si>
  <si>
    <t>Status of ML 5 tension calculation.</t>
  </si>
  <si>
    <t>Status of ML 6 tension calculation.</t>
  </si>
  <si>
    <t>Status of ML 7 tension calculation.</t>
  </si>
  <si>
    <t>Status of ML 8 tension calculation.</t>
  </si>
  <si>
    <t>Output Mooring Line 2 tension from either ML 2 Tension A or ML 2 Tension B.</t>
  </si>
  <si>
    <t>Output Mooring Line 3 tension from either ML 3 Tension A or ML 3 Tension B.</t>
  </si>
  <si>
    <t>Output Mooring Line 4 tension from either ML 4 Tension A or ML 4 Tension B.</t>
  </si>
  <si>
    <t>Output Mooring Line 5 tension from either ML 5 Tension A or ML 5 Tension B.</t>
  </si>
  <si>
    <t>Output Mooring Line 6 tension from either ML 6 Tension A or ML 6 Tension B.</t>
  </si>
  <si>
    <t>Output Mooring Line 7 tension from either ML 7 Tension A or ML 7 Tension B.</t>
  </si>
  <si>
    <t>Output Mooring Line 8 tension from either ML 8 Tension A or ML 8 Tension B.</t>
  </si>
  <si>
    <t xml:space="preserve">Status of winch brake alarm, 2 winches on each of the platform's columns. </t>
  </si>
  <si>
    <t>Current link number in the chain stopper on ML1.</t>
  </si>
  <si>
    <t>Days of current link on the chain stopper on ML1.</t>
  </si>
  <si>
    <t>Days of current link on the chain stopper on ML2.</t>
  </si>
  <si>
    <t>Days of current link on the chain stopper on ML3.</t>
  </si>
  <si>
    <t>Days of current link on the chain stopper on ML4.</t>
  </si>
  <si>
    <t>Days of current link on the chain stopper on ML5.</t>
  </si>
  <si>
    <t>Days of current link on the chain stopper on ML6.</t>
  </si>
  <si>
    <t>Days of current link on the chain stopper on ML7.</t>
  </si>
  <si>
    <t>Days of current link on the chain stopper on ML8.</t>
  </si>
  <si>
    <t>Days of current link on the chain stopper on ML9.</t>
  </si>
  <si>
    <t>Current link number in the chain stopper on ML2.</t>
  </si>
  <si>
    <t>Current link number in the chain stopper on ML3.</t>
  </si>
  <si>
    <t>Current link number in the chain stopper on ML4.</t>
  </si>
  <si>
    <t>Current link number in the chain stopper on ML5.</t>
  </si>
  <si>
    <t>Current link number in the chain stopper on ML6.</t>
  </si>
  <si>
    <t>Current link number in the chain stopper on ML7.</t>
  </si>
  <si>
    <t>Current link number in the chain stopper on ML8.</t>
  </si>
  <si>
    <t>Current link number in the chain stopper on ML9.</t>
  </si>
  <si>
    <t>Different between CL Draft and East Draft.</t>
  </si>
  <si>
    <t>Different between CL Draft and North Draft.</t>
  </si>
  <si>
    <t>Different between CL Draft and West Draft.</t>
  </si>
  <si>
    <t>Different between CL Draft and South Draft.</t>
  </si>
  <si>
    <t>Measured raw wind speed at sensor MAWS-A location.</t>
  </si>
  <si>
    <t>Wind direction magnitude collected from MAWS-A.</t>
  </si>
  <si>
    <t>Max wind speed magnitude collected from MAWS-A.</t>
  </si>
  <si>
    <t>Wind direction magnitude collected from MAWS-B.</t>
  </si>
  <si>
    <t>Measured raw wind speed at sensor MAWS-B location.</t>
  </si>
  <si>
    <t>Max wind speed magnitude collected from MAWS-B.</t>
  </si>
  <si>
    <t>Measured raw wind direction at sensor MAWS-B location.</t>
  </si>
  <si>
    <t>Measured raw wind direction at sensor MAWS-A location.</t>
  </si>
  <si>
    <t xml:space="preserve">Root mean square of surge and sway accelerations (also = SQRT(Surge Accel RMS^2 + Sway Accel RMS^2)). </t>
  </si>
  <si>
    <t xml:space="preserve">Standard deviation of surge, sway and heave accelerations (also = SQRT(Surge Accel RMS^2 + Sway Accel RMS^2 + Heave Accel RMS^2)). </t>
  </si>
  <si>
    <t>Derived Turret rotation angle to buoy coordinate.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</si>
</sst>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sz val="8"/>
      <name val="Aptos Narrow"/>
      <family val="2"/>
      <scheme val="minor"/>
    </font>
    <font>
      <sz val="11"/>
      <color rgb="FFFF0000"/>
      <name val="Consolas"/>
      <family val="3"/>
    </font>
    <font>
      <u/>
      <sz val="11"/>
      <color theme="10"/>
      <name val="Aptos Narrow"/>
      <family val="2"/>
      <scheme val="minor"/>
    </font>
    <font>
      <vertAlign val="superscript"/>
      <sz val="1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applyNumberFormat="0" applyFill="0" applyBorder="0" applyAlignment="0" applyProtection="0"/>
  </cellStyleXfs>
  <cellXfs count="15">
    <xf numFmtId="0" fontId="0" fillId="0" borderId="0" xfId="0"/>
    <xf numFmtId="0" fontId="0" fillId="0" borderId="0" xfId="0" applyAlignment="1">
      <alignment vertical="center"/>
    </xf>
    <xf numFmtId="0" fontId="16" fillId="0" borderId="10" xfId="0" applyFont="1" applyBorder="1" applyAlignment="1">
      <alignment horizontal="center"/>
    </xf>
    <xf numFmtId="0" fontId="0" fillId="0" borderId="0" xfId="0" applyAlignment="1">
      <alignment horizontal="left" vertical="center"/>
    </xf>
    <xf numFmtId="0" fontId="18" fillId="0" borderId="0" xfId="0" applyFont="1" applyAlignment="1">
      <alignment horizontal="left" vertical="center"/>
    </xf>
    <xf numFmtId="0" fontId="14" fillId="0" borderId="0" xfId="0" applyFont="1" applyAlignment="1">
      <alignment horizontal="left" vertical="center"/>
    </xf>
    <xf numFmtId="0" fontId="16" fillId="0" borderId="10" xfId="0" applyFont="1" applyBorder="1" applyAlignment="1">
      <alignment horizontal="left" vertical="center"/>
    </xf>
    <xf numFmtId="0" fontId="0" fillId="0" borderId="0" xfId="0" quotePrefix="1" applyAlignment="1">
      <alignment horizontal="left" vertical="center" wrapText="1"/>
    </xf>
    <xf numFmtId="0" fontId="0" fillId="0" borderId="0" xfId="0" applyAlignment="1">
      <alignment horizontal="left" vertical="center" wrapText="1"/>
    </xf>
    <xf numFmtId="0" fontId="21" fillId="0" borderId="0" xfId="42" applyAlignment="1">
      <alignment horizontal="left" vertical="center"/>
    </xf>
    <xf numFmtId="0" fontId="0" fillId="0" borderId="0" xfId="0" quotePrefix="1" applyAlignment="1">
      <alignment horizontal="left" vertical="center"/>
    </xf>
    <xf numFmtId="0" fontId="0" fillId="0" borderId="11" xfId="0" applyBorder="1" applyAlignment="1">
      <alignment horizontal="left" vertical="center"/>
    </xf>
    <xf numFmtId="0" fontId="16" fillId="0" borderId="0" xfId="0" applyFont="1" applyAlignment="1">
      <alignment horizontal="left" vertical="center"/>
    </xf>
    <xf numFmtId="0" fontId="20" fillId="0" borderId="0" xfId="0" applyFont="1" applyAlignment="1">
      <alignment horizontal="left" vertical="center"/>
    </xf>
    <xf numFmtId="0" fontId="0" fillId="0" borderId="0" xfId="0" quotePrefix="1" applyAlignment="1">
      <alignment horizontal="lef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295275</xdr:colOff>
      <xdr:row>1474</xdr:row>
      <xdr:rowOff>142875</xdr:rowOff>
    </xdr:from>
    <xdr:to>
      <xdr:col>20</xdr:col>
      <xdr:colOff>484989</xdr:colOff>
      <xdr:row>1480</xdr:row>
      <xdr:rowOff>47494</xdr:rowOff>
    </xdr:to>
    <xdr:pic>
      <xdr:nvPicPr>
        <xdr:cNvPr id="2" name="Picture 1">
          <a:extLst>
            <a:ext uri="{FF2B5EF4-FFF2-40B4-BE49-F238E27FC236}">
              <a16:creationId xmlns:a16="http://schemas.microsoft.com/office/drawing/2014/main" id="{9DA458A9-1ECC-EC4A-BAB7-A9CA118363B3}"/>
            </a:ext>
          </a:extLst>
        </xdr:cNvPr>
        <xdr:cNvPicPr>
          <a:picLocks noChangeAspect="1"/>
        </xdr:cNvPicPr>
      </xdr:nvPicPr>
      <xdr:blipFill>
        <a:blip xmlns:r="http://schemas.openxmlformats.org/officeDocument/2006/relationships" r:embed="rId1"/>
        <a:stretch>
          <a:fillRect/>
        </a:stretch>
      </xdr:blipFill>
      <xdr:spPr>
        <a:xfrm>
          <a:off x="11239500" y="281006550"/>
          <a:ext cx="6285714" cy="104761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s.campbellsci.com/documents/marcom/manuals/awos-om-albian.pdf" TargetMode="External"/><Relationship Id="rId1" Type="http://schemas.openxmlformats.org/officeDocument/2006/relationships/hyperlink" Target="https://www.allweatherinc.com/wp-content/uploads/3000-0011.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85DBD-908D-4421-9E40-43060C3BA13D}">
  <dimension ref="A1:K1095"/>
  <sheetViews>
    <sheetView topLeftCell="C1063" zoomScaleNormal="100" workbookViewId="0">
      <selection activeCell="H571" sqref="H571"/>
    </sheetView>
  </sheetViews>
  <sheetFormatPr defaultRowHeight="15" x14ac:dyDescent="0.25"/>
  <cols>
    <col min="1" max="3" width="9.140625" style="3"/>
    <col min="4" max="4" width="9.85546875" style="3" customWidth="1"/>
    <col min="5" max="5" width="6.7109375" style="3" customWidth="1"/>
    <col min="6" max="6" width="24" style="3" customWidth="1"/>
    <col min="7" max="7" width="9.140625" style="3"/>
    <col min="8" max="8" width="60.28515625" style="3" customWidth="1"/>
    <col min="9" max="10" width="32.28515625" style="3" customWidth="1"/>
    <col min="11" max="11" width="13.5703125" style="3" customWidth="1"/>
  </cols>
  <sheetData>
    <row r="1" spans="1:11" x14ac:dyDescent="0.25">
      <c r="A1" s="6" t="s">
        <v>6980</v>
      </c>
      <c r="B1" s="6" t="s">
        <v>6981</v>
      </c>
      <c r="C1" s="6" t="s">
        <v>6982</v>
      </c>
      <c r="D1" s="6" t="s">
        <v>0</v>
      </c>
      <c r="E1" s="6" t="s">
        <v>1</v>
      </c>
      <c r="F1" s="6" t="s">
        <v>2</v>
      </c>
      <c r="G1" s="6" t="s">
        <v>3</v>
      </c>
      <c r="H1" s="6" t="s">
        <v>22</v>
      </c>
      <c r="I1" s="6" t="s">
        <v>1139</v>
      </c>
      <c r="J1" s="6" t="s">
        <v>6986</v>
      </c>
      <c r="K1" s="6" t="s">
        <v>1269</v>
      </c>
    </row>
    <row r="2" spans="1:11" ht="14.45" customHeight="1" x14ac:dyDescent="0.25">
      <c r="A2" s="3" t="s">
        <v>6983</v>
      </c>
      <c r="B2" s="3" t="s">
        <v>6984</v>
      </c>
      <c r="C2" s="3" t="s">
        <v>6985</v>
      </c>
      <c r="D2" s="3" t="s">
        <v>1111</v>
      </c>
      <c r="E2" s="3">
        <v>1</v>
      </c>
      <c r="F2" s="3" t="s">
        <v>44</v>
      </c>
      <c r="G2" s="3" t="s">
        <v>4</v>
      </c>
      <c r="H2" s="3" t="s">
        <v>1365</v>
      </c>
      <c r="I2" s="3" t="s">
        <v>1232</v>
      </c>
      <c r="J2" s="7"/>
    </row>
    <row r="3" spans="1:11" ht="15" customHeight="1" x14ac:dyDescent="0.25">
      <c r="A3" s="3" t="s">
        <v>6983</v>
      </c>
      <c r="B3" s="3" t="s">
        <v>6984</v>
      </c>
      <c r="C3" s="3" t="s">
        <v>6985</v>
      </c>
      <c r="D3" s="3" t="s">
        <v>1111</v>
      </c>
      <c r="E3" s="3">
        <v>2</v>
      </c>
      <c r="F3" s="3" t="s">
        <v>45</v>
      </c>
      <c r="G3" s="3" t="s">
        <v>4</v>
      </c>
      <c r="H3" s="3" t="s">
        <v>1366</v>
      </c>
      <c r="I3" s="3" t="s">
        <v>1232</v>
      </c>
      <c r="J3" s="7"/>
    </row>
    <row r="4" spans="1:11" ht="15" customHeight="1" x14ac:dyDescent="0.25">
      <c r="A4" s="3" t="s">
        <v>6983</v>
      </c>
      <c r="B4" s="3" t="s">
        <v>6984</v>
      </c>
      <c r="C4" s="3" t="s">
        <v>6985</v>
      </c>
      <c r="D4" s="3" t="s">
        <v>1111</v>
      </c>
      <c r="E4" s="3">
        <v>3</v>
      </c>
      <c r="F4" s="3" t="s">
        <v>46</v>
      </c>
      <c r="G4" s="3" t="s">
        <v>6</v>
      </c>
      <c r="H4" s="3" t="s">
        <v>23</v>
      </c>
      <c r="I4" s="3" t="s">
        <v>1232</v>
      </c>
      <c r="J4" s="7"/>
    </row>
    <row r="5" spans="1:11" ht="15" customHeight="1" x14ac:dyDescent="0.25">
      <c r="A5" s="3" t="s">
        <v>6983</v>
      </c>
      <c r="B5" s="3" t="s">
        <v>6984</v>
      </c>
      <c r="C5" s="3" t="s">
        <v>6985</v>
      </c>
      <c r="D5" s="3" t="s">
        <v>1111</v>
      </c>
      <c r="E5" s="3">
        <v>4</v>
      </c>
      <c r="F5" s="3" t="s">
        <v>47</v>
      </c>
      <c r="G5" s="3" t="s">
        <v>6</v>
      </c>
      <c r="H5" s="3" t="s">
        <v>24</v>
      </c>
      <c r="I5" s="3" t="s">
        <v>1232</v>
      </c>
      <c r="J5" s="7"/>
    </row>
    <row r="6" spans="1:11" ht="15" customHeight="1" x14ac:dyDescent="0.25">
      <c r="A6" s="3" t="s">
        <v>6983</v>
      </c>
      <c r="B6" s="3" t="s">
        <v>6984</v>
      </c>
      <c r="C6" s="3" t="s">
        <v>6985</v>
      </c>
      <c r="D6" s="3" t="s">
        <v>1111</v>
      </c>
      <c r="E6" s="3">
        <v>5</v>
      </c>
      <c r="F6" s="3" t="s">
        <v>48</v>
      </c>
      <c r="G6" s="3" t="s">
        <v>6</v>
      </c>
      <c r="H6" s="3" t="s">
        <v>25</v>
      </c>
      <c r="I6" s="3" t="s">
        <v>1232</v>
      </c>
      <c r="J6" s="7"/>
    </row>
    <row r="7" spans="1:11" ht="15" customHeight="1" x14ac:dyDescent="0.25">
      <c r="A7" s="3" t="s">
        <v>6983</v>
      </c>
      <c r="B7" s="3" t="s">
        <v>6984</v>
      </c>
      <c r="C7" s="3" t="s">
        <v>6985</v>
      </c>
      <c r="D7" s="3" t="s">
        <v>1111</v>
      </c>
      <c r="E7" s="3">
        <v>6</v>
      </c>
      <c r="F7" s="3" t="s">
        <v>49</v>
      </c>
      <c r="G7" s="3" t="s">
        <v>1090</v>
      </c>
      <c r="H7" s="3" t="s">
        <v>26</v>
      </c>
      <c r="I7" s="3" t="s">
        <v>1232</v>
      </c>
      <c r="J7" s="7"/>
    </row>
    <row r="8" spans="1:11" ht="15" customHeight="1" x14ac:dyDescent="0.25">
      <c r="A8" s="3" t="s">
        <v>6983</v>
      </c>
      <c r="B8" s="3" t="s">
        <v>6984</v>
      </c>
      <c r="C8" s="3" t="s">
        <v>6985</v>
      </c>
      <c r="D8" s="3" t="s">
        <v>1111</v>
      </c>
      <c r="E8" s="3">
        <v>7</v>
      </c>
      <c r="F8" s="3" t="s">
        <v>50</v>
      </c>
      <c r="G8" s="3" t="s">
        <v>1090</v>
      </c>
      <c r="H8" s="3" t="s">
        <v>27</v>
      </c>
      <c r="I8" s="3" t="s">
        <v>1232</v>
      </c>
      <c r="J8" s="7"/>
    </row>
    <row r="9" spans="1:11" ht="15" customHeight="1" x14ac:dyDescent="0.25">
      <c r="A9" s="3" t="s">
        <v>6983</v>
      </c>
      <c r="B9" s="3" t="s">
        <v>6984</v>
      </c>
      <c r="C9" s="3" t="s">
        <v>6985</v>
      </c>
      <c r="D9" s="3" t="s">
        <v>1111</v>
      </c>
      <c r="E9" s="3">
        <v>8</v>
      </c>
      <c r="F9" s="3" t="s">
        <v>51</v>
      </c>
      <c r="G9" s="3" t="s">
        <v>1090</v>
      </c>
      <c r="H9" s="3" t="s">
        <v>28</v>
      </c>
      <c r="I9" s="3" t="s">
        <v>1232</v>
      </c>
      <c r="J9" s="7"/>
    </row>
    <row r="10" spans="1:11" ht="15" customHeight="1" x14ac:dyDescent="0.25">
      <c r="A10" s="3" t="s">
        <v>6983</v>
      </c>
      <c r="B10" s="3" t="s">
        <v>6984</v>
      </c>
      <c r="C10" s="3" t="s">
        <v>6985</v>
      </c>
      <c r="D10" s="3" t="s">
        <v>1111</v>
      </c>
      <c r="E10" s="3">
        <v>9</v>
      </c>
      <c r="F10" s="3" t="s">
        <v>52</v>
      </c>
      <c r="G10" s="3" t="s">
        <v>8</v>
      </c>
      <c r="H10" s="3" t="s">
        <v>29</v>
      </c>
      <c r="I10" s="3" t="s">
        <v>1232</v>
      </c>
      <c r="J10" s="7"/>
    </row>
    <row r="11" spans="1:11" ht="15" customHeight="1" x14ac:dyDescent="0.25">
      <c r="A11" s="3" t="s">
        <v>6983</v>
      </c>
      <c r="B11" s="3" t="s">
        <v>6984</v>
      </c>
      <c r="C11" s="3" t="s">
        <v>6985</v>
      </c>
      <c r="D11" s="3" t="s">
        <v>1112</v>
      </c>
      <c r="E11" s="3">
        <v>10</v>
      </c>
      <c r="F11" s="3" t="s">
        <v>53</v>
      </c>
      <c r="G11" s="3" t="s">
        <v>4</v>
      </c>
      <c r="H11" s="3" t="s">
        <v>1365</v>
      </c>
      <c r="I11" s="3" t="s">
        <v>1232</v>
      </c>
      <c r="J11" s="7"/>
    </row>
    <row r="12" spans="1:11" ht="15" customHeight="1" x14ac:dyDescent="0.25">
      <c r="A12" s="3" t="s">
        <v>6983</v>
      </c>
      <c r="B12" s="3" t="s">
        <v>6984</v>
      </c>
      <c r="C12" s="3" t="s">
        <v>6985</v>
      </c>
      <c r="D12" s="3" t="s">
        <v>1112</v>
      </c>
      <c r="E12" s="3">
        <v>11</v>
      </c>
      <c r="F12" s="3" t="s">
        <v>54</v>
      </c>
      <c r="G12" s="3" t="s">
        <v>4</v>
      </c>
      <c r="H12" s="3" t="s">
        <v>1366</v>
      </c>
      <c r="I12" s="3" t="s">
        <v>1232</v>
      </c>
      <c r="J12" s="7"/>
    </row>
    <row r="13" spans="1:11" ht="15" customHeight="1" x14ac:dyDescent="0.25">
      <c r="A13" s="3" t="s">
        <v>6983</v>
      </c>
      <c r="B13" s="3" t="s">
        <v>6984</v>
      </c>
      <c r="C13" s="3" t="s">
        <v>6985</v>
      </c>
      <c r="D13" s="3" t="s">
        <v>1112</v>
      </c>
      <c r="E13" s="3">
        <v>12</v>
      </c>
      <c r="F13" s="3" t="s">
        <v>55</v>
      </c>
      <c r="G13" s="3" t="s">
        <v>6</v>
      </c>
      <c r="H13" s="3" t="s">
        <v>23</v>
      </c>
      <c r="I13" s="3" t="s">
        <v>1232</v>
      </c>
      <c r="J13" s="7"/>
    </row>
    <row r="14" spans="1:11" ht="15" customHeight="1" x14ac:dyDescent="0.25">
      <c r="A14" s="3" t="s">
        <v>6983</v>
      </c>
      <c r="B14" s="3" t="s">
        <v>6984</v>
      </c>
      <c r="C14" s="3" t="s">
        <v>6985</v>
      </c>
      <c r="D14" s="3" t="s">
        <v>1112</v>
      </c>
      <c r="E14" s="3">
        <v>13</v>
      </c>
      <c r="F14" s="3" t="s">
        <v>56</v>
      </c>
      <c r="G14" s="3" t="s">
        <v>6</v>
      </c>
      <c r="H14" s="3" t="s">
        <v>24</v>
      </c>
      <c r="I14" s="3" t="s">
        <v>1232</v>
      </c>
      <c r="J14" s="7"/>
    </row>
    <row r="15" spans="1:11" ht="15" customHeight="1" x14ac:dyDescent="0.25">
      <c r="A15" s="3" t="s">
        <v>6983</v>
      </c>
      <c r="B15" s="3" t="s">
        <v>6984</v>
      </c>
      <c r="C15" s="3" t="s">
        <v>6985</v>
      </c>
      <c r="D15" s="3" t="s">
        <v>1112</v>
      </c>
      <c r="E15" s="3">
        <v>14</v>
      </c>
      <c r="F15" s="3" t="s">
        <v>57</v>
      </c>
      <c r="G15" s="3" t="s">
        <v>6</v>
      </c>
      <c r="H15" s="3" t="s">
        <v>25</v>
      </c>
      <c r="I15" s="3" t="s">
        <v>1232</v>
      </c>
      <c r="J15" s="7"/>
    </row>
    <row r="16" spans="1:11" ht="15" customHeight="1" x14ac:dyDescent="0.25">
      <c r="A16" s="3" t="s">
        <v>6983</v>
      </c>
      <c r="B16" s="3" t="s">
        <v>6984</v>
      </c>
      <c r="C16" s="3" t="s">
        <v>6985</v>
      </c>
      <c r="D16" s="3" t="s">
        <v>1112</v>
      </c>
      <c r="E16" s="3">
        <v>15</v>
      </c>
      <c r="F16" s="3" t="s">
        <v>58</v>
      </c>
      <c r="G16" s="3" t="s">
        <v>1090</v>
      </c>
      <c r="H16" s="3" t="s">
        <v>26</v>
      </c>
      <c r="I16" s="3" t="s">
        <v>1232</v>
      </c>
      <c r="J16" s="7"/>
    </row>
    <row r="17" spans="1:10" ht="15" customHeight="1" x14ac:dyDescent="0.25">
      <c r="A17" s="3" t="s">
        <v>6983</v>
      </c>
      <c r="B17" s="3" t="s">
        <v>6984</v>
      </c>
      <c r="C17" s="3" t="s">
        <v>6985</v>
      </c>
      <c r="D17" s="3" t="s">
        <v>1112</v>
      </c>
      <c r="E17" s="3">
        <v>16</v>
      </c>
      <c r="F17" s="3" t="s">
        <v>59</v>
      </c>
      <c r="G17" s="3" t="s">
        <v>1090</v>
      </c>
      <c r="H17" s="3" t="s">
        <v>27</v>
      </c>
      <c r="I17" s="3" t="s">
        <v>1232</v>
      </c>
      <c r="J17" s="7"/>
    </row>
    <row r="18" spans="1:10" ht="15" customHeight="1" x14ac:dyDescent="0.25">
      <c r="A18" s="3" t="s">
        <v>6983</v>
      </c>
      <c r="B18" s="3" t="s">
        <v>6984</v>
      </c>
      <c r="C18" s="3" t="s">
        <v>6985</v>
      </c>
      <c r="D18" s="3" t="s">
        <v>1112</v>
      </c>
      <c r="E18" s="3">
        <v>17</v>
      </c>
      <c r="F18" s="3" t="s">
        <v>60</v>
      </c>
      <c r="G18" s="3" t="s">
        <v>1090</v>
      </c>
      <c r="H18" s="3" t="s">
        <v>28</v>
      </c>
      <c r="I18" s="3" t="s">
        <v>1232</v>
      </c>
      <c r="J18" s="7"/>
    </row>
    <row r="19" spans="1:10" ht="15" customHeight="1" x14ac:dyDescent="0.25">
      <c r="A19" s="3" t="s">
        <v>6983</v>
      </c>
      <c r="B19" s="3" t="s">
        <v>6984</v>
      </c>
      <c r="C19" s="3" t="s">
        <v>6985</v>
      </c>
      <c r="D19" s="3" t="s">
        <v>1112</v>
      </c>
      <c r="E19" s="3">
        <v>18</v>
      </c>
      <c r="F19" s="3" t="s">
        <v>61</v>
      </c>
      <c r="G19" s="3" t="s">
        <v>8</v>
      </c>
      <c r="H19" s="3" t="s">
        <v>29</v>
      </c>
      <c r="I19" s="3" t="s">
        <v>1232</v>
      </c>
      <c r="J19" s="7"/>
    </row>
    <row r="20" spans="1:10" ht="15" customHeight="1" x14ac:dyDescent="0.25">
      <c r="A20" s="3" t="s">
        <v>6983</v>
      </c>
      <c r="B20" s="3" t="s">
        <v>6984</v>
      </c>
      <c r="C20" s="3" t="s">
        <v>6985</v>
      </c>
      <c r="D20" s="3" t="s">
        <v>1113</v>
      </c>
      <c r="E20" s="3">
        <v>19</v>
      </c>
      <c r="F20" s="3" t="s">
        <v>62</v>
      </c>
      <c r="G20" s="3" t="s">
        <v>14</v>
      </c>
      <c r="H20" s="3" t="s">
        <v>6828</v>
      </c>
      <c r="I20" s="3" t="s">
        <v>1179</v>
      </c>
      <c r="J20" s="7"/>
    </row>
    <row r="21" spans="1:10" ht="15" customHeight="1" x14ac:dyDescent="0.25">
      <c r="A21" s="3" t="s">
        <v>6983</v>
      </c>
      <c r="B21" s="3" t="s">
        <v>6984</v>
      </c>
      <c r="C21" s="3" t="s">
        <v>6985</v>
      </c>
      <c r="D21" s="3" t="s">
        <v>1113</v>
      </c>
      <c r="E21" s="3">
        <v>20</v>
      </c>
      <c r="F21" s="3" t="s">
        <v>63</v>
      </c>
      <c r="G21" s="3" t="s">
        <v>15</v>
      </c>
      <c r="H21" s="3" t="s">
        <v>6829</v>
      </c>
      <c r="I21" s="3" t="s">
        <v>1179</v>
      </c>
      <c r="J21" s="7"/>
    </row>
    <row r="22" spans="1:10" ht="15" customHeight="1" x14ac:dyDescent="0.25">
      <c r="A22" s="3" t="s">
        <v>6983</v>
      </c>
      <c r="B22" s="3" t="s">
        <v>6984</v>
      </c>
      <c r="C22" s="3" t="s">
        <v>6985</v>
      </c>
      <c r="D22" s="3" t="s">
        <v>1113</v>
      </c>
      <c r="E22" s="3">
        <v>21</v>
      </c>
      <c r="F22" s="3" t="s">
        <v>64</v>
      </c>
      <c r="G22" s="3" t="s">
        <v>1091</v>
      </c>
      <c r="H22" s="3" t="s">
        <v>6830</v>
      </c>
      <c r="I22" s="3" t="s">
        <v>1179</v>
      </c>
      <c r="J22" s="7"/>
    </row>
    <row r="23" spans="1:10" ht="15" customHeight="1" x14ac:dyDescent="0.25">
      <c r="A23" s="3" t="s">
        <v>6983</v>
      </c>
      <c r="B23" s="3" t="s">
        <v>6984</v>
      </c>
      <c r="C23" s="3" t="s">
        <v>6985</v>
      </c>
      <c r="D23" s="3" t="s">
        <v>1113</v>
      </c>
      <c r="E23" s="3">
        <v>22</v>
      </c>
      <c r="F23" s="3" t="s">
        <v>65</v>
      </c>
      <c r="G23" s="3" t="s">
        <v>14</v>
      </c>
      <c r="H23" s="3" t="s">
        <v>6833</v>
      </c>
      <c r="I23" s="3" t="s">
        <v>1179</v>
      </c>
      <c r="J23" s="7"/>
    </row>
    <row r="24" spans="1:10" ht="15" customHeight="1" x14ac:dyDescent="0.25">
      <c r="A24" s="3" t="s">
        <v>6983</v>
      </c>
      <c r="B24" s="3" t="s">
        <v>6984</v>
      </c>
      <c r="C24" s="3" t="s">
        <v>6985</v>
      </c>
      <c r="D24" s="3" t="s">
        <v>1113</v>
      </c>
      <c r="E24" s="3">
        <v>23</v>
      </c>
      <c r="F24" s="3" t="s">
        <v>66</v>
      </c>
      <c r="G24" s="3" t="s">
        <v>15</v>
      </c>
      <c r="H24" s="3" t="s">
        <v>6831</v>
      </c>
      <c r="I24" s="3" t="s">
        <v>1179</v>
      </c>
      <c r="J24" s="7"/>
    </row>
    <row r="25" spans="1:10" ht="15" customHeight="1" x14ac:dyDescent="0.25">
      <c r="A25" s="3" t="s">
        <v>6983</v>
      </c>
      <c r="B25" s="3" t="s">
        <v>6984</v>
      </c>
      <c r="C25" s="3" t="s">
        <v>6985</v>
      </c>
      <c r="D25" s="3" t="s">
        <v>1113</v>
      </c>
      <c r="E25" s="3">
        <v>24</v>
      </c>
      <c r="F25" s="3" t="s">
        <v>67</v>
      </c>
      <c r="G25" s="3" t="s">
        <v>1091</v>
      </c>
      <c r="H25" s="3" t="s">
        <v>6832</v>
      </c>
      <c r="I25" s="3" t="s">
        <v>1179</v>
      </c>
      <c r="J25" s="7"/>
    </row>
    <row r="26" spans="1:10" ht="15" customHeight="1" x14ac:dyDescent="0.25">
      <c r="A26" s="3" t="s">
        <v>6983</v>
      </c>
      <c r="B26" s="3" t="s">
        <v>6984</v>
      </c>
      <c r="C26" s="3" t="s">
        <v>6985</v>
      </c>
      <c r="D26" s="3" t="s">
        <v>1113</v>
      </c>
      <c r="E26" s="3">
        <v>25</v>
      </c>
      <c r="F26" s="3" t="s">
        <v>68</v>
      </c>
      <c r="G26" s="3" t="s">
        <v>5</v>
      </c>
      <c r="H26" s="3" t="s">
        <v>35</v>
      </c>
      <c r="I26" s="3" t="s">
        <v>1179</v>
      </c>
      <c r="J26" s="7"/>
    </row>
    <row r="27" spans="1:10" ht="15" customHeight="1" x14ac:dyDescent="0.25">
      <c r="A27" s="3" t="s">
        <v>6983</v>
      </c>
      <c r="B27" s="3" t="s">
        <v>6984</v>
      </c>
      <c r="C27" s="3" t="s">
        <v>6985</v>
      </c>
      <c r="D27" s="3" t="s">
        <v>1113</v>
      </c>
      <c r="E27" s="3">
        <v>26</v>
      </c>
      <c r="F27" s="3" t="s">
        <v>69</v>
      </c>
      <c r="G27" s="3" t="s">
        <v>1092</v>
      </c>
      <c r="H27" s="3" t="s">
        <v>36</v>
      </c>
      <c r="I27" s="3" t="s">
        <v>1179</v>
      </c>
      <c r="J27" s="7"/>
    </row>
    <row r="28" spans="1:10" ht="15" customHeight="1" x14ac:dyDescent="0.25">
      <c r="A28" s="3" t="s">
        <v>6983</v>
      </c>
      <c r="B28" s="3" t="s">
        <v>6984</v>
      </c>
      <c r="C28" s="3" t="s">
        <v>6985</v>
      </c>
      <c r="D28" s="3" t="s">
        <v>1113</v>
      </c>
      <c r="E28" s="3">
        <v>27</v>
      </c>
      <c r="F28" s="3" t="s">
        <v>70</v>
      </c>
      <c r="G28" s="3" t="s">
        <v>16</v>
      </c>
      <c r="H28" s="3" t="s">
        <v>1143</v>
      </c>
      <c r="I28" s="3" t="s">
        <v>1179</v>
      </c>
      <c r="J28" s="7"/>
    </row>
    <row r="29" spans="1:10" ht="15" customHeight="1" x14ac:dyDescent="0.25">
      <c r="A29" s="3" t="s">
        <v>6983</v>
      </c>
      <c r="B29" s="3" t="s">
        <v>6984</v>
      </c>
      <c r="C29" s="3" t="s">
        <v>6985</v>
      </c>
      <c r="D29" s="3" t="s">
        <v>1113</v>
      </c>
      <c r="E29" s="3">
        <v>28</v>
      </c>
      <c r="F29" s="3" t="s">
        <v>71</v>
      </c>
      <c r="G29" s="3" t="s">
        <v>16</v>
      </c>
      <c r="H29" s="3" t="s">
        <v>37</v>
      </c>
      <c r="I29" s="3" t="s">
        <v>1179</v>
      </c>
      <c r="J29" s="7"/>
    </row>
    <row r="30" spans="1:10" ht="15" customHeight="1" x14ac:dyDescent="0.25">
      <c r="A30" s="3" t="s">
        <v>6983</v>
      </c>
      <c r="B30" s="3" t="s">
        <v>6984</v>
      </c>
      <c r="C30" s="3" t="s">
        <v>6985</v>
      </c>
      <c r="D30" s="3" t="s">
        <v>1113</v>
      </c>
      <c r="E30" s="3">
        <v>29</v>
      </c>
      <c r="F30" s="3" t="s">
        <v>72</v>
      </c>
      <c r="G30" s="3" t="s">
        <v>16</v>
      </c>
      <c r="H30" s="3" t="s">
        <v>1142</v>
      </c>
      <c r="I30" s="3" t="s">
        <v>1179</v>
      </c>
      <c r="J30" s="7"/>
    </row>
    <row r="31" spans="1:10" ht="15" customHeight="1" x14ac:dyDescent="0.25">
      <c r="A31" s="3" t="s">
        <v>6983</v>
      </c>
      <c r="B31" s="3" t="s">
        <v>6984</v>
      </c>
      <c r="C31" s="3" t="s">
        <v>6985</v>
      </c>
      <c r="D31" s="3" t="s">
        <v>1113</v>
      </c>
      <c r="E31" s="3">
        <v>30</v>
      </c>
      <c r="F31" s="3" t="s">
        <v>73</v>
      </c>
      <c r="G31" s="3" t="s">
        <v>17</v>
      </c>
      <c r="H31" s="3" t="s">
        <v>38</v>
      </c>
      <c r="I31" s="3" t="s">
        <v>1179</v>
      </c>
      <c r="J31" s="7"/>
    </row>
    <row r="32" spans="1:10" ht="15" customHeight="1" x14ac:dyDescent="0.25">
      <c r="A32" s="3" t="s">
        <v>6983</v>
      </c>
      <c r="B32" s="3" t="s">
        <v>6984</v>
      </c>
      <c r="C32" s="3" t="s">
        <v>6985</v>
      </c>
      <c r="D32" s="3" t="s">
        <v>1113</v>
      </c>
      <c r="E32" s="3">
        <v>31</v>
      </c>
      <c r="F32" s="3" t="s">
        <v>74</v>
      </c>
      <c r="G32" s="3" t="s">
        <v>9</v>
      </c>
      <c r="H32" s="4" t="s">
        <v>30</v>
      </c>
      <c r="I32" s="3" t="s">
        <v>1179</v>
      </c>
      <c r="J32" s="7"/>
    </row>
    <row r="33" spans="1:10" ht="15" customHeight="1" x14ac:dyDescent="0.25">
      <c r="A33" s="3" t="s">
        <v>6983</v>
      </c>
      <c r="B33" s="3" t="s">
        <v>6984</v>
      </c>
      <c r="C33" s="3" t="s">
        <v>6985</v>
      </c>
      <c r="D33" s="3" t="s">
        <v>1114</v>
      </c>
      <c r="E33" s="3">
        <v>32</v>
      </c>
      <c r="F33" s="3" t="s">
        <v>75</v>
      </c>
      <c r="G33" s="3" t="s">
        <v>14</v>
      </c>
      <c r="H33" s="3" t="s">
        <v>6828</v>
      </c>
      <c r="I33" s="3" t="s">
        <v>1179</v>
      </c>
      <c r="J33" s="8"/>
    </row>
    <row r="34" spans="1:10" x14ac:dyDescent="0.25">
      <c r="A34" s="3" t="s">
        <v>6983</v>
      </c>
      <c r="B34" s="3" t="s">
        <v>6984</v>
      </c>
      <c r="C34" s="3" t="s">
        <v>6985</v>
      </c>
      <c r="D34" s="3" t="s">
        <v>1114</v>
      </c>
      <c r="E34" s="3">
        <v>33</v>
      </c>
      <c r="F34" s="3" t="s">
        <v>76</v>
      </c>
      <c r="G34" s="3" t="s">
        <v>15</v>
      </c>
      <c r="H34" s="3" t="s">
        <v>6829</v>
      </c>
      <c r="I34" s="3" t="s">
        <v>1179</v>
      </c>
      <c r="J34" s="8"/>
    </row>
    <row r="35" spans="1:10" x14ac:dyDescent="0.25">
      <c r="A35" s="3" t="s">
        <v>6983</v>
      </c>
      <c r="B35" s="3" t="s">
        <v>6984</v>
      </c>
      <c r="C35" s="3" t="s">
        <v>6985</v>
      </c>
      <c r="D35" s="3" t="s">
        <v>1114</v>
      </c>
      <c r="E35" s="3">
        <v>34</v>
      </c>
      <c r="F35" s="3" t="s">
        <v>77</v>
      </c>
      <c r="G35" s="3" t="s">
        <v>1091</v>
      </c>
      <c r="H35" s="3" t="s">
        <v>6830</v>
      </c>
      <c r="I35" s="3" t="s">
        <v>1179</v>
      </c>
      <c r="J35" s="8"/>
    </row>
    <row r="36" spans="1:10" x14ac:dyDescent="0.25">
      <c r="A36" s="3" t="s">
        <v>6983</v>
      </c>
      <c r="B36" s="3" t="s">
        <v>6984</v>
      </c>
      <c r="C36" s="3" t="s">
        <v>6985</v>
      </c>
      <c r="D36" s="3" t="s">
        <v>1114</v>
      </c>
      <c r="E36" s="3">
        <v>35</v>
      </c>
      <c r="F36" s="3" t="s">
        <v>78</v>
      </c>
      <c r="G36" s="3" t="s">
        <v>14</v>
      </c>
      <c r="H36" s="3" t="s">
        <v>6833</v>
      </c>
      <c r="I36" s="3" t="s">
        <v>1179</v>
      </c>
      <c r="J36" s="8"/>
    </row>
    <row r="37" spans="1:10" x14ac:dyDescent="0.25">
      <c r="A37" s="3" t="s">
        <v>6983</v>
      </c>
      <c r="B37" s="3" t="s">
        <v>6984</v>
      </c>
      <c r="C37" s="3" t="s">
        <v>6985</v>
      </c>
      <c r="D37" s="3" t="s">
        <v>1114</v>
      </c>
      <c r="E37" s="3">
        <v>36</v>
      </c>
      <c r="F37" s="3" t="s">
        <v>79</v>
      </c>
      <c r="G37" s="3" t="s">
        <v>15</v>
      </c>
      <c r="H37" s="3" t="s">
        <v>6831</v>
      </c>
      <c r="I37" s="3" t="s">
        <v>1179</v>
      </c>
      <c r="J37" s="8"/>
    </row>
    <row r="38" spans="1:10" x14ac:dyDescent="0.25">
      <c r="A38" s="3" t="s">
        <v>6983</v>
      </c>
      <c r="B38" s="3" t="s">
        <v>6984</v>
      </c>
      <c r="C38" s="3" t="s">
        <v>6985</v>
      </c>
      <c r="D38" s="3" t="s">
        <v>1114</v>
      </c>
      <c r="E38" s="3">
        <v>37</v>
      </c>
      <c r="F38" s="3" t="s">
        <v>80</v>
      </c>
      <c r="G38" s="3" t="s">
        <v>1091</v>
      </c>
      <c r="H38" s="3" t="s">
        <v>6832</v>
      </c>
      <c r="I38" s="3" t="s">
        <v>1179</v>
      </c>
      <c r="J38" s="8"/>
    </row>
    <row r="39" spans="1:10" x14ac:dyDescent="0.25">
      <c r="A39" s="3" t="s">
        <v>6983</v>
      </c>
      <c r="B39" s="3" t="s">
        <v>6984</v>
      </c>
      <c r="C39" s="3" t="s">
        <v>6985</v>
      </c>
      <c r="D39" s="3" t="s">
        <v>1114</v>
      </c>
      <c r="E39" s="3">
        <v>38</v>
      </c>
      <c r="F39" s="3" t="s">
        <v>81</v>
      </c>
      <c r="G39" s="3" t="s">
        <v>5</v>
      </c>
      <c r="H39" s="3" t="s">
        <v>35</v>
      </c>
      <c r="I39" s="3" t="s">
        <v>1179</v>
      </c>
      <c r="J39" s="8"/>
    </row>
    <row r="40" spans="1:10" x14ac:dyDescent="0.25">
      <c r="A40" s="3" t="s">
        <v>6983</v>
      </c>
      <c r="B40" s="3" t="s">
        <v>6984</v>
      </c>
      <c r="C40" s="3" t="s">
        <v>6985</v>
      </c>
      <c r="D40" s="3" t="s">
        <v>1114</v>
      </c>
      <c r="E40" s="3">
        <v>39</v>
      </c>
      <c r="F40" s="3" t="s">
        <v>82</v>
      </c>
      <c r="G40" s="3" t="s">
        <v>1092</v>
      </c>
      <c r="H40" s="3" t="s">
        <v>36</v>
      </c>
      <c r="I40" s="3" t="s">
        <v>1179</v>
      </c>
      <c r="J40" s="8"/>
    </row>
    <row r="41" spans="1:10" x14ac:dyDescent="0.25">
      <c r="A41" s="3" t="s">
        <v>6983</v>
      </c>
      <c r="B41" s="3" t="s">
        <v>6984</v>
      </c>
      <c r="C41" s="3" t="s">
        <v>6985</v>
      </c>
      <c r="D41" s="3" t="s">
        <v>1114</v>
      </c>
      <c r="E41" s="3">
        <v>40</v>
      </c>
      <c r="F41" s="3" t="s">
        <v>83</v>
      </c>
      <c r="G41" s="3" t="s">
        <v>16</v>
      </c>
      <c r="H41" s="3" t="s">
        <v>1143</v>
      </c>
      <c r="I41" s="3" t="s">
        <v>1179</v>
      </c>
      <c r="J41" s="8"/>
    </row>
    <row r="42" spans="1:10" x14ac:dyDescent="0.25">
      <c r="A42" s="3" t="s">
        <v>6983</v>
      </c>
      <c r="B42" s="3" t="s">
        <v>6984</v>
      </c>
      <c r="C42" s="3" t="s">
        <v>6985</v>
      </c>
      <c r="D42" s="3" t="s">
        <v>1114</v>
      </c>
      <c r="E42" s="3">
        <v>41</v>
      </c>
      <c r="F42" s="3" t="s">
        <v>84</v>
      </c>
      <c r="G42" s="3" t="s">
        <v>16</v>
      </c>
      <c r="H42" s="3" t="s">
        <v>37</v>
      </c>
      <c r="I42" s="3" t="s">
        <v>1179</v>
      </c>
      <c r="J42" s="8"/>
    </row>
    <row r="43" spans="1:10" x14ac:dyDescent="0.25">
      <c r="A43" s="3" t="s">
        <v>6983</v>
      </c>
      <c r="B43" s="3" t="s">
        <v>6984</v>
      </c>
      <c r="C43" s="3" t="s">
        <v>6985</v>
      </c>
      <c r="D43" s="3" t="s">
        <v>1114</v>
      </c>
      <c r="E43" s="3">
        <v>42</v>
      </c>
      <c r="F43" s="3" t="s">
        <v>85</v>
      </c>
      <c r="G43" s="3" t="s">
        <v>16</v>
      </c>
      <c r="H43" s="3" t="s">
        <v>1142</v>
      </c>
      <c r="I43" s="3" t="s">
        <v>1179</v>
      </c>
      <c r="J43" s="8"/>
    </row>
    <row r="44" spans="1:10" x14ac:dyDescent="0.25">
      <c r="A44" s="3" t="s">
        <v>6983</v>
      </c>
      <c r="B44" s="3" t="s">
        <v>6984</v>
      </c>
      <c r="C44" s="3" t="s">
        <v>6985</v>
      </c>
      <c r="D44" s="3" t="s">
        <v>1114</v>
      </c>
      <c r="E44" s="3">
        <v>43</v>
      </c>
      <c r="F44" s="3" t="s">
        <v>86</v>
      </c>
      <c r="G44" s="3" t="s">
        <v>17</v>
      </c>
      <c r="H44" s="3" t="s">
        <v>38</v>
      </c>
      <c r="I44" s="3" t="s">
        <v>1179</v>
      </c>
      <c r="J44" s="8"/>
    </row>
    <row r="45" spans="1:10" x14ac:dyDescent="0.25">
      <c r="A45" s="3" t="s">
        <v>6983</v>
      </c>
      <c r="B45" s="3" t="s">
        <v>6984</v>
      </c>
      <c r="C45" s="3" t="s">
        <v>6985</v>
      </c>
      <c r="D45" s="3" t="s">
        <v>1115</v>
      </c>
      <c r="E45" s="3">
        <v>44</v>
      </c>
      <c r="F45" s="3" t="s">
        <v>87</v>
      </c>
      <c r="G45" s="3" t="s">
        <v>1093</v>
      </c>
      <c r="H45" s="3" t="s">
        <v>6816</v>
      </c>
    </row>
    <row r="46" spans="1:10" x14ac:dyDescent="0.25">
      <c r="A46" s="3" t="s">
        <v>6983</v>
      </c>
      <c r="B46" s="3" t="s">
        <v>6984</v>
      </c>
      <c r="C46" s="3" t="s">
        <v>6985</v>
      </c>
      <c r="D46" s="3" t="s">
        <v>1115</v>
      </c>
      <c r="E46" s="3">
        <v>45</v>
      </c>
      <c r="F46" s="3" t="s">
        <v>88</v>
      </c>
      <c r="G46" s="3" t="s">
        <v>1093</v>
      </c>
      <c r="H46" s="3" t="s">
        <v>6820</v>
      </c>
    </row>
    <row r="47" spans="1:10" x14ac:dyDescent="0.25">
      <c r="A47" s="3" t="s">
        <v>6983</v>
      </c>
      <c r="B47" s="3" t="s">
        <v>6984</v>
      </c>
      <c r="C47" s="3" t="s">
        <v>6985</v>
      </c>
      <c r="D47" s="3" t="s">
        <v>1115</v>
      </c>
      <c r="E47" s="3">
        <v>46</v>
      </c>
      <c r="F47" s="3" t="s">
        <v>89</v>
      </c>
      <c r="G47" s="3" t="s">
        <v>1093</v>
      </c>
      <c r="H47" s="3" t="s">
        <v>6821</v>
      </c>
    </row>
    <row r="48" spans="1:10" x14ac:dyDescent="0.25">
      <c r="A48" s="3" t="s">
        <v>6983</v>
      </c>
      <c r="B48" s="3" t="s">
        <v>6984</v>
      </c>
      <c r="C48" s="3" t="s">
        <v>6985</v>
      </c>
      <c r="D48" s="3" t="s">
        <v>1115</v>
      </c>
      <c r="E48" s="3">
        <v>47</v>
      </c>
      <c r="F48" s="3" t="s">
        <v>90</v>
      </c>
      <c r="G48" s="3" t="s">
        <v>1093</v>
      </c>
      <c r="H48" s="3" t="s">
        <v>6822</v>
      </c>
    </row>
    <row r="49" spans="1:11" x14ac:dyDescent="0.25">
      <c r="A49" s="3" t="s">
        <v>6983</v>
      </c>
      <c r="B49" s="3" t="s">
        <v>6984</v>
      </c>
      <c r="C49" s="3" t="s">
        <v>6985</v>
      </c>
      <c r="D49" s="3" t="s">
        <v>1116</v>
      </c>
      <c r="E49" s="3">
        <v>48</v>
      </c>
      <c r="F49" s="3" t="s">
        <v>91</v>
      </c>
      <c r="G49" s="3" t="s">
        <v>1093</v>
      </c>
      <c r="H49" s="3" t="s">
        <v>1238</v>
      </c>
      <c r="K49" s="9" t="s">
        <v>1235</v>
      </c>
    </row>
    <row r="50" spans="1:11" x14ac:dyDescent="0.25">
      <c r="A50" s="3" t="s">
        <v>6983</v>
      </c>
      <c r="B50" s="3" t="s">
        <v>6984</v>
      </c>
      <c r="C50" s="3" t="s">
        <v>6985</v>
      </c>
      <c r="D50" s="3" t="s">
        <v>1116</v>
      </c>
      <c r="E50" s="3">
        <v>49</v>
      </c>
      <c r="F50" s="3" t="s">
        <v>92</v>
      </c>
      <c r="G50" s="3" t="s">
        <v>8</v>
      </c>
      <c r="H50" s="3" t="s">
        <v>1234</v>
      </c>
      <c r="K50" s="9" t="s">
        <v>1247</v>
      </c>
    </row>
    <row r="51" spans="1:11" x14ac:dyDescent="0.25">
      <c r="A51" s="3" t="s">
        <v>6983</v>
      </c>
      <c r="B51" s="3" t="s">
        <v>6984</v>
      </c>
      <c r="C51" s="3" t="s">
        <v>6985</v>
      </c>
      <c r="D51" s="3" t="s">
        <v>1116</v>
      </c>
      <c r="E51" s="3">
        <v>50</v>
      </c>
      <c r="F51" s="3" t="s">
        <v>93</v>
      </c>
      <c r="G51" s="3" t="s">
        <v>1093</v>
      </c>
      <c r="H51" s="3" t="s">
        <v>1239</v>
      </c>
    </row>
    <row r="52" spans="1:11" x14ac:dyDescent="0.25">
      <c r="A52" s="3" t="s">
        <v>6983</v>
      </c>
      <c r="B52" s="3" t="s">
        <v>6984</v>
      </c>
      <c r="C52" s="3" t="s">
        <v>6985</v>
      </c>
      <c r="D52" s="3" t="s">
        <v>1116</v>
      </c>
      <c r="E52" s="3">
        <v>51</v>
      </c>
      <c r="F52" s="3" t="s">
        <v>94</v>
      </c>
      <c r="G52" s="3" t="s">
        <v>8</v>
      </c>
      <c r="H52" s="3" t="s">
        <v>1236</v>
      </c>
    </row>
    <row r="53" spans="1:11" x14ac:dyDescent="0.25">
      <c r="A53" s="3" t="s">
        <v>6983</v>
      </c>
      <c r="B53" s="3" t="s">
        <v>6984</v>
      </c>
      <c r="C53" s="3" t="s">
        <v>6985</v>
      </c>
      <c r="D53" s="3" t="s">
        <v>1116</v>
      </c>
      <c r="E53" s="3">
        <v>52</v>
      </c>
      <c r="F53" s="3" t="s">
        <v>95</v>
      </c>
      <c r="G53" s="3" t="s">
        <v>1093</v>
      </c>
      <c r="H53" s="3" t="s">
        <v>1240</v>
      </c>
    </row>
    <row r="54" spans="1:11" x14ac:dyDescent="0.25">
      <c r="A54" s="3" t="s">
        <v>6983</v>
      </c>
      <c r="B54" s="3" t="s">
        <v>6984</v>
      </c>
      <c r="C54" s="3" t="s">
        <v>6985</v>
      </c>
      <c r="D54" s="3" t="s">
        <v>1116</v>
      </c>
      <c r="E54" s="3">
        <v>53</v>
      </c>
      <c r="F54" s="3" t="s">
        <v>96</v>
      </c>
      <c r="G54" s="3" t="s">
        <v>8</v>
      </c>
      <c r="H54" s="3" t="s">
        <v>1237</v>
      </c>
    </row>
    <row r="55" spans="1:11" x14ac:dyDescent="0.25">
      <c r="A55" s="3" t="s">
        <v>6983</v>
      </c>
      <c r="B55" s="3" t="s">
        <v>6984</v>
      </c>
      <c r="C55" s="3" t="s">
        <v>6985</v>
      </c>
      <c r="D55" s="3" t="s">
        <v>1116</v>
      </c>
      <c r="E55" s="3">
        <v>54</v>
      </c>
      <c r="F55" s="3" t="s">
        <v>97</v>
      </c>
      <c r="G55" s="3" t="s">
        <v>1093</v>
      </c>
      <c r="H55" s="3" t="s">
        <v>1233</v>
      </c>
    </row>
    <row r="56" spans="1:11" x14ac:dyDescent="0.25">
      <c r="A56" s="3" t="s">
        <v>6983</v>
      </c>
      <c r="B56" s="3" t="s">
        <v>6984</v>
      </c>
      <c r="C56" s="3" t="s">
        <v>6985</v>
      </c>
      <c r="D56" s="3" t="s">
        <v>1116</v>
      </c>
      <c r="E56" s="3">
        <v>55</v>
      </c>
      <c r="F56" s="4" t="s">
        <v>98</v>
      </c>
      <c r="G56" s="3" t="s">
        <v>1094</v>
      </c>
      <c r="H56" s="3" t="s">
        <v>1242</v>
      </c>
    </row>
    <row r="57" spans="1:11" x14ac:dyDescent="0.25">
      <c r="A57" s="3" t="s">
        <v>6983</v>
      </c>
      <c r="B57" s="3" t="s">
        <v>6984</v>
      </c>
      <c r="C57" s="3" t="s">
        <v>6985</v>
      </c>
      <c r="D57" s="3" t="s">
        <v>1116</v>
      </c>
      <c r="E57" s="3">
        <v>56</v>
      </c>
      <c r="F57" s="3" t="s">
        <v>99</v>
      </c>
      <c r="G57" s="3" t="s">
        <v>1095</v>
      </c>
      <c r="H57" s="3" t="s">
        <v>32</v>
      </c>
    </row>
    <row r="58" spans="1:11" x14ac:dyDescent="0.25">
      <c r="A58" s="3" t="s">
        <v>6983</v>
      </c>
      <c r="B58" s="3" t="s">
        <v>6984</v>
      </c>
      <c r="C58" s="3" t="s">
        <v>6985</v>
      </c>
      <c r="D58" s="3" t="s">
        <v>1116</v>
      </c>
      <c r="E58" s="3">
        <v>57</v>
      </c>
      <c r="F58" s="3" t="s">
        <v>100</v>
      </c>
      <c r="G58" s="3" t="s">
        <v>1095</v>
      </c>
      <c r="H58" s="3" t="s">
        <v>1144</v>
      </c>
    </row>
    <row r="59" spans="1:11" x14ac:dyDescent="0.25">
      <c r="A59" s="3" t="s">
        <v>6983</v>
      </c>
      <c r="B59" s="3" t="s">
        <v>6984</v>
      </c>
      <c r="C59" s="3" t="s">
        <v>6985</v>
      </c>
      <c r="D59" s="3" t="s">
        <v>1116</v>
      </c>
      <c r="E59" s="3">
        <v>58</v>
      </c>
      <c r="F59" s="3" t="s">
        <v>101</v>
      </c>
      <c r="G59" s="3" t="s">
        <v>9</v>
      </c>
      <c r="H59" s="3" t="s">
        <v>7023</v>
      </c>
    </row>
    <row r="60" spans="1:11" x14ac:dyDescent="0.25">
      <c r="A60" s="3" t="s">
        <v>6983</v>
      </c>
      <c r="B60" s="3" t="s">
        <v>6984</v>
      </c>
      <c r="C60" s="3" t="s">
        <v>6985</v>
      </c>
      <c r="D60" s="3" t="s">
        <v>1116</v>
      </c>
      <c r="E60" s="3">
        <v>59</v>
      </c>
      <c r="F60" s="3" t="s">
        <v>102</v>
      </c>
      <c r="G60" s="3" t="s">
        <v>13</v>
      </c>
      <c r="H60" s="3" t="s">
        <v>2128</v>
      </c>
    </row>
    <row r="61" spans="1:11" ht="14.25" customHeight="1" x14ac:dyDescent="0.25">
      <c r="A61" s="3" t="s">
        <v>6983</v>
      </c>
      <c r="B61" s="3" t="s">
        <v>6984</v>
      </c>
      <c r="C61" s="3" t="s">
        <v>6985</v>
      </c>
      <c r="D61" s="3" t="s">
        <v>1116</v>
      </c>
      <c r="E61" s="3">
        <v>60</v>
      </c>
      <c r="F61" s="3" t="s">
        <v>103</v>
      </c>
      <c r="G61" s="3" t="s">
        <v>1096</v>
      </c>
      <c r="H61" s="3" t="s">
        <v>1245</v>
      </c>
    </row>
    <row r="62" spans="1:11" x14ac:dyDescent="0.25">
      <c r="A62" s="3" t="s">
        <v>6983</v>
      </c>
      <c r="B62" s="3" t="s">
        <v>6984</v>
      </c>
      <c r="C62" s="3" t="s">
        <v>6985</v>
      </c>
      <c r="D62" s="3" t="s">
        <v>1116</v>
      </c>
      <c r="E62" s="3">
        <v>61</v>
      </c>
      <c r="F62" s="3" t="s">
        <v>104</v>
      </c>
      <c r="G62" s="3" t="s">
        <v>1093</v>
      </c>
      <c r="H62" s="3" t="s">
        <v>1241</v>
      </c>
    </row>
    <row r="63" spans="1:11" x14ac:dyDescent="0.25">
      <c r="A63" s="3" t="s">
        <v>6983</v>
      </c>
      <c r="B63" s="3" t="s">
        <v>6984</v>
      </c>
      <c r="C63" s="3" t="s">
        <v>6985</v>
      </c>
      <c r="D63" s="3" t="s">
        <v>1116</v>
      </c>
      <c r="E63" s="3">
        <v>62</v>
      </c>
      <c r="F63" s="3" t="s">
        <v>105</v>
      </c>
      <c r="G63" s="3" t="s">
        <v>1096</v>
      </c>
      <c r="H63" s="3" t="s">
        <v>1244</v>
      </c>
    </row>
    <row r="64" spans="1:11" x14ac:dyDescent="0.25">
      <c r="A64" s="3" t="s">
        <v>6983</v>
      </c>
      <c r="B64" s="3" t="s">
        <v>6984</v>
      </c>
      <c r="C64" s="3" t="s">
        <v>6985</v>
      </c>
      <c r="D64" s="3" t="s">
        <v>1116</v>
      </c>
      <c r="E64" s="3">
        <v>63</v>
      </c>
      <c r="F64" s="3" t="s">
        <v>106</v>
      </c>
      <c r="G64" s="3" t="s">
        <v>8</v>
      </c>
      <c r="H64" s="3" t="s">
        <v>1243</v>
      </c>
    </row>
    <row r="65" spans="1:11" x14ac:dyDescent="0.25">
      <c r="A65" s="3" t="s">
        <v>6983</v>
      </c>
      <c r="B65" s="3" t="s">
        <v>6984</v>
      </c>
      <c r="C65" s="3" t="s">
        <v>6985</v>
      </c>
      <c r="D65" s="3" t="s">
        <v>1116</v>
      </c>
      <c r="E65" s="3">
        <v>64</v>
      </c>
      <c r="F65" s="3" t="s">
        <v>107</v>
      </c>
      <c r="G65" s="3" t="s">
        <v>8</v>
      </c>
      <c r="H65" s="3" t="s">
        <v>1243</v>
      </c>
    </row>
    <row r="66" spans="1:11" x14ac:dyDescent="0.25">
      <c r="A66" s="3" t="s">
        <v>6983</v>
      </c>
      <c r="B66" s="3" t="s">
        <v>6984</v>
      </c>
      <c r="C66" s="3" t="s">
        <v>6985</v>
      </c>
      <c r="D66" s="3" t="s">
        <v>1116</v>
      </c>
      <c r="E66" s="3">
        <v>65</v>
      </c>
      <c r="F66" s="3" t="s">
        <v>108</v>
      </c>
      <c r="G66" s="3" t="s">
        <v>8</v>
      </c>
      <c r="H66" s="3" t="s">
        <v>1243</v>
      </c>
    </row>
    <row r="67" spans="1:11" x14ac:dyDescent="0.25">
      <c r="A67" s="3" t="s">
        <v>6983</v>
      </c>
      <c r="B67" s="3" t="s">
        <v>6984</v>
      </c>
      <c r="C67" s="3" t="s">
        <v>6985</v>
      </c>
      <c r="D67" s="3" t="s">
        <v>1116</v>
      </c>
      <c r="E67" s="3">
        <v>66</v>
      </c>
      <c r="F67" s="3" t="s">
        <v>109</v>
      </c>
      <c r="G67" s="3" t="s">
        <v>1097</v>
      </c>
      <c r="H67" s="3" t="s">
        <v>33</v>
      </c>
    </row>
    <row r="68" spans="1:11" x14ac:dyDescent="0.25">
      <c r="A68" s="3" t="s">
        <v>6983</v>
      </c>
      <c r="B68" s="3" t="s">
        <v>6984</v>
      </c>
      <c r="C68" s="3" t="s">
        <v>6985</v>
      </c>
      <c r="D68" s="3" t="s">
        <v>1116</v>
      </c>
      <c r="E68" s="3">
        <v>67</v>
      </c>
      <c r="F68" s="3" t="s">
        <v>110</v>
      </c>
      <c r="G68" s="3" t="s">
        <v>13</v>
      </c>
      <c r="H68" s="3" t="s">
        <v>1246</v>
      </c>
    </row>
    <row r="69" spans="1:11" x14ac:dyDescent="0.25">
      <c r="A69" s="3" t="s">
        <v>6983</v>
      </c>
      <c r="B69" s="3" t="s">
        <v>6984</v>
      </c>
      <c r="C69" s="3" t="s">
        <v>6985</v>
      </c>
      <c r="D69" s="3" t="s">
        <v>1117</v>
      </c>
      <c r="E69" s="3">
        <v>68</v>
      </c>
      <c r="F69" s="3" t="s">
        <v>111</v>
      </c>
      <c r="G69" s="3" t="s">
        <v>1093</v>
      </c>
      <c r="H69" s="3" t="str">
        <f>_xlfn.CONCAT("Output ",F69, ", from Ballast and Voids.")</f>
        <v>Output LT0350A1, from Ballast and Voids.</v>
      </c>
      <c r="K69" s="3" t="s">
        <v>1272</v>
      </c>
    </row>
    <row r="70" spans="1:11" x14ac:dyDescent="0.25">
      <c r="A70" s="3" t="s">
        <v>6983</v>
      </c>
      <c r="B70" s="3" t="s">
        <v>6984</v>
      </c>
      <c r="C70" s="3" t="s">
        <v>6985</v>
      </c>
      <c r="D70" s="3" t="s">
        <v>1117</v>
      </c>
      <c r="E70" s="3">
        <v>69</v>
      </c>
      <c r="F70" s="3" t="s">
        <v>112</v>
      </c>
      <c r="G70" s="3" t="s">
        <v>1093</v>
      </c>
      <c r="H70" s="3" t="str">
        <f t="shared" ref="H70:H133" si="0">_xlfn.CONCAT("Output ",F70, ", from Ballast and Voids.")</f>
        <v>Output ILT0455A1, from Ballast and Voids.</v>
      </c>
    </row>
    <row r="71" spans="1:11" x14ac:dyDescent="0.25">
      <c r="A71" s="3" t="s">
        <v>6983</v>
      </c>
      <c r="B71" s="3" t="s">
        <v>6984</v>
      </c>
      <c r="C71" s="3" t="s">
        <v>6985</v>
      </c>
      <c r="D71" s="3" t="s">
        <v>1117</v>
      </c>
      <c r="E71" s="3">
        <v>70</v>
      </c>
      <c r="F71" s="3" t="s">
        <v>113</v>
      </c>
      <c r="G71" s="3" t="s">
        <v>1093</v>
      </c>
      <c r="H71" s="3" t="str">
        <f t="shared" si="0"/>
        <v>Output LT0455B1, from Ballast and Voids.</v>
      </c>
    </row>
    <row r="72" spans="1:11" x14ac:dyDescent="0.25">
      <c r="A72" s="3" t="s">
        <v>6983</v>
      </c>
      <c r="B72" s="3" t="s">
        <v>6984</v>
      </c>
      <c r="C72" s="3" t="s">
        <v>6985</v>
      </c>
      <c r="D72" s="3" t="s">
        <v>1117</v>
      </c>
      <c r="E72" s="3">
        <v>71</v>
      </c>
      <c r="F72" s="3" t="s">
        <v>114</v>
      </c>
      <c r="G72" s="3" t="s">
        <v>1093</v>
      </c>
      <c r="H72" s="3" t="str">
        <f t="shared" si="0"/>
        <v>Output LT0390A1, from Ballast and Voids.</v>
      </c>
    </row>
    <row r="73" spans="1:11" x14ac:dyDescent="0.25">
      <c r="A73" s="3" t="s">
        <v>6983</v>
      </c>
      <c r="B73" s="3" t="s">
        <v>6984</v>
      </c>
      <c r="C73" s="3" t="s">
        <v>6985</v>
      </c>
      <c r="D73" s="3" t="s">
        <v>1117</v>
      </c>
      <c r="E73" s="3">
        <v>72</v>
      </c>
      <c r="F73" s="3" t="s">
        <v>115</v>
      </c>
      <c r="G73" s="3" t="s">
        <v>1093</v>
      </c>
      <c r="H73" s="3" t="str">
        <f t="shared" si="0"/>
        <v>Output LT0610A1, from Ballast and Voids.</v>
      </c>
    </row>
    <row r="74" spans="1:11" x14ac:dyDescent="0.25">
      <c r="A74" s="3" t="s">
        <v>6983</v>
      </c>
      <c r="B74" s="3" t="s">
        <v>6984</v>
      </c>
      <c r="C74" s="3" t="s">
        <v>6985</v>
      </c>
      <c r="D74" s="3" t="s">
        <v>1117</v>
      </c>
      <c r="E74" s="3">
        <v>73</v>
      </c>
      <c r="F74" s="3" t="s">
        <v>116</v>
      </c>
      <c r="G74" s="3" t="s">
        <v>1093</v>
      </c>
      <c r="H74" s="3" t="str">
        <f t="shared" si="0"/>
        <v>Output LT0651A1, from Ballast and Voids.</v>
      </c>
    </row>
    <row r="75" spans="1:11" x14ac:dyDescent="0.25">
      <c r="A75" s="3" t="s">
        <v>6983</v>
      </c>
      <c r="B75" s="3" t="s">
        <v>6984</v>
      </c>
      <c r="C75" s="3" t="s">
        <v>6985</v>
      </c>
      <c r="D75" s="3" t="s">
        <v>1117</v>
      </c>
      <c r="E75" s="3">
        <v>74</v>
      </c>
      <c r="F75" s="3" t="s">
        <v>117</v>
      </c>
      <c r="G75" s="3" t="s">
        <v>1093</v>
      </c>
      <c r="H75" s="3" t="str">
        <f t="shared" si="0"/>
        <v>Output LT2700A1, from Ballast and Voids.</v>
      </c>
    </row>
    <row r="76" spans="1:11" x14ac:dyDescent="0.25">
      <c r="A76" s="3" t="s">
        <v>6983</v>
      </c>
      <c r="B76" s="3" t="s">
        <v>6984</v>
      </c>
      <c r="C76" s="3" t="s">
        <v>6985</v>
      </c>
      <c r="D76" s="3" t="s">
        <v>1117</v>
      </c>
      <c r="E76" s="3">
        <v>75</v>
      </c>
      <c r="F76" s="3" t="s">
        <v>118</v>
      </c>
      <c r="G76" s="3" t="s">
        <v>1093</v>
      </c>
      <c r="H76" s="3" t="str">
        <f t="shared" si="0"/>
        <v>Output LT0420A1, from Ballast and Voids.</v>
      </c>
    </row>
    <row r="77" spans="1:11" x14ac:dyDescent="0.25">
      <c r="A77" s="3" t="s">
        <v>6983</v>
      </c>
      <c r="B77" s="3" t="s">
        <v>6984</v>
      </c>
      <c r="C77" s="3" t="s">
        <v>6985</v>
      </c>
      <c r="D77" s="3" t="s">
        <v>1117</v>
      </c>
      <c r="E77" s="3">
        <v>76</v>
      </c>
      <c r="F77" s="3" t="s">
        <v>119</v>
      </c>
      <c r="G77" s="3" t="s">
        <v>1093</v>
      </c>
      <c r="H77" s="3" t="str">
        <f t="shared" si="0"/>
        <v>Output LT0420B1, from Ballast and Voids.</v>
      </c>
    </row>
    <row r="78" spans="1:11" x14ac:dyDescent="0.25">
      <c r="A78" s="3" t="s">
        <v>6983</v>
      </c>
      <c r="B78" s="3" t="s">
        <v>6984</v>
      </c>
      <c r="C78" s="3" t="s">
        <v>6985</v>
      </c>
      <c r="D78" s="3" t="s">
        <v>1117</v>
      </c>
      <c r="E78" s="3">
        <v>77</v>
      </c>
      <c r="F78" s="3" t="s">
        <v>120</v>
      </c>
      <c r="G78" s="3" t="s">
        <v>1093</v>
      </c>
      <c r="H78" s="3" t="str">
        <f t="shared" si="0"/>
        <v>Output LT0310A1, from Ballast and Voids.</v>
      </c>
    </row>
    <row r="79" spans="1:11" x14ac:dyDescent="0.25">
      <c r="A79" s="3" t="s">
        <v>6983</v>
      </c>
      <c r="B79" s="3" t="s">
        <v>6984</v>
      </c>
      <c r="C79" s="3" t="s">
        <v>6985</v>
      </c>
      <c r="D79" s="3" t="s">
        <v>1117</v>
      </c>
      <c r="E79" s="3">
        <v>78</v>
      </c>
      <c r="F79" s="3" t="s">
        <v>121</v>
      </c>
      <c r="G79" s="3" t="s">
        <v>1093</v>
      </c>
      <c r="H79" s="3" t="str">
        <f t="shared" si="0"/>
        <v>Output LT0160A1, from Ballast and Voids.</v>
      </c>
    </row>
    <row r="80" spans="1:11" x14ac:dyDescent="0.25">
      <c r="A80" s="3" t="s">
        <v>6983</v>
      </c>
      <c r="B80" s="3" t="s">
        <v>6984</v>
      </c>
      <c r="C80" s="3" t="s">
        <v>6985</v>
      </c>
      <c r="D80" s="3" t="s">
        <v>1117</v>
      </c>
      <c r="E80" s="3">
        <v>79</v>
      </c>
      <c r="F80" s="3" t="s">
        <v>122</v>
      </c>
      <c r="G80" s="3" t="s">
        <v>1093</v>
      </c>
      <c r="H80" s="3" t="str">
        <f t="shared" si="0"/>
        <v>Output LT0320A1, from Ballast and Voids.</v>
      </c>
    </row>
    <row r="81" spans="1:8" x14ac:dyDescent="0.25">
      <c r="A81" s="3" t="s">
        <v>6983</v>
      </c>
      <c r="B81" s="3" t="s">
        <v>6984</v>
      </c>
      <c r="C81" s="3" t="s">
        <v>6985</v>
      </c>
      <c r="D81" s="3" t="s">
        <v>1117</v>
      </c>
      <c r="E81" s="3">
        <v>80</v>
      </c>
      <c r="F81" s="3" t="s">
        <v>123</v>
      </c>
      <c r="G81" s="3" t="s">
        <v>1093</v>
      </c>
      <c r="H81" s="3" t="str">
        <f t="shared" si="0"/>
        <v>Output LT0300A1, from Ballast and Voids.</v>
      </c>
    </row>
    <row r="82" spans="1:8" x14ac:dyDescent="0.25">
      <c r="A82" s="3" t="s">
        <v>6983</v>
      </c>
      <c r="B82" s="3" t="s">
        <v>6984</v>
      </c>
      <c r="C82" s="3" t="s">
        <v>6985</v>
      </c>
      <c r="D82" s="3" t="s">
        <v>1117</v>
      </c>
      <c r="E82" s="3">
        <v>81</v>
      </c>
      <c r="F82" s="3" t="s">
        <v>124</v>
      </c>
      <c r="G82" s="3" t="s">
        <v>1093</v>
      </c>
      <c r="H82" s="3" t="str">
        <f t="shared" si="0"/>
        <v>Output LT2120A1, from Ballast and Voids.</v>
      </c>
    </row>
    <row r="83" spans="1:8" x14ac:dyDescent="0.25">
      <c r="A83" s="3" t="s">
        <v>6983</v>
      </c>
      <c r="B83" s="3" t="s">
        <v>6984</v>
      </c>
      <c r="C83" s="3" t="s">
        <v>6985</v>
      </c>
      <c r="D83" s="3" t="s">
        <v>1117</v>
      </c>
      <c r="E83" s="3">
        <v>82</v>
      </c>
      <c r="F83" s="3" t="s">
        <v>125</v>
      </c>
      <c r="G83" s="3" t="s">
        <v>1093</v>
      </c>
      <c r="H83" s="3" t="str">
        <f t="shared" si="0"/>
        <v>Output LT0150A1, from Ballast and Voids.</v>
      </c>
    </row>
    <row r="84" spans="1:8" x14ac:dyDescent="0.25">
      <c r="A84" s="3" t="s">
        <v>6983</v>
      </c>
      <c r="B84" s="3" t="s">
        <v>6984</v>
      </c>
      <c r="C84" s="3" t="s">
        <v>6985</v>
      </c>
      <c r="D84" s="3" t="s">
        <v>1117</v>
      </c>
      <c r="E84" s="3">
        <v>83</v>
      </c>
      <c r="F84" s="3" t="s">
        <v>126</v>
      </c>
      <c r="G84" s="3" t="s">
        <v>1093</v>
      </c>
      <c r="H84" s="3" t="str">
        <f t="shared" si="0"/>
        <v>Output ILT0150B1, from Ballast and Voids.</v>
      </c>
    </row>
    <row r="85" spans="1:8" x14ac:dyDescent="0.25">
      <c r="A85" s="3" t="s">
        <v>6983</v>
      </c>
      <c r="B85" s="3" t="s">
        <v>6984</v>
      </c>
      <c r="C85" s="3" t="s">
        <v>6985</v>
      </c>
      <c r="D85" s="3" t="s">
        <v>1117</v>
      </c>
      <c r="E85" s="3">
        <v>84</v>
      </c>
      <c r="F85" s="3" t="s">
        <v>127</v>
      </c>
      <c r="G85" s="3" t="s">
        <v>1093</v>
      </c>
      <c r="H85" s="3" t="str">
        <f t="shared" si="0"/>
        <v>Output LT4015A1, from Ballast and Voids.</v>
      </c>
    </row>
    <row r="86" spans="1:8" x14ac:dyDescent="0.25">
      <c r="A86" s="3" t="s">
        <v>6983</v>
      </c>
      <c r="B86" s="3" t="s">
        <v>6984</v>
      </c>
      <c r="C86" s="3" t="s">
        <v>6985</v>
      </c>
      <c r="D86" s="3" t="s">
        <v>1117</v>
      </c>
      <c r="E86" s="3">
        <v>85</v>
      </c>
      <c r="F86" s="3" t="s">
        <v>128</v>
      </c>
      <c r="G86" s="3" t="s">
        <v>1093</v>
      </c>
      <c r="H86" s="3" t="str">
        <f t="shared" si="0"/>
        <v>Output LT4035A1, from Ballast and Voids.</v>
      </c>
    </row>
    <row r="87" spans="1:8" x14ac:dyDescent="0.25">
      <c r="A87" s="3" t="s">
        <v>6983</v>
      </c>
      <c r="B87" s="3" t="s">
        <v>6984</v>
      </c>
      <c r="C87" s="3" t="s">
        <v>6985</v>
      </c>
      <c r="D87" s="3" t="s">
        <v>1117</v>
      </c>
      <c r="E87" s="3">
        <v>86</v>
      </c>
      <c r="F87" s="3" t="s">
        <v>129</v>
      </c>
      <c r="G87" s="3" t="s">
        <v>1093</v>
      </c>
      <c r="H87" s="3" t="str">
        <f t="shared" si="0"/>
        <v>Output LT4055A1, from Ballast and Voids.</v>
      </c>
    </row>
    <row r="88" spans="1:8" x14ac:dyDescent="0.25">
      <c r="A88" s="3" t="s">
        <v>6983</v>
      </c>
      <c r="B88" s="3" t="s">
        <v>6984</v>
      </c>
      <c r="C88" s="3" t="s">
        <v>6985</v>
      </c>
      <c r="D88" s="3" t="s">
        <v>1117</v>
      </c>
      <c r="E88" s="3">
        <v>87</v>
      </c>
      <c r="F88" s="3" t="s">
        <v>130</v>
      </c>
      <c r="G88" s="3" t="s">
        <v>1098</v>
      </c>
      <c r="H88" s="3" t="str">
        <f t="shared" si="0"/>
        <v>Output ILT0100B1, from Ballast and Voids.</v>
      </c>
    </row>
    <row r="89" spans="1:8" x14ac:dyDescent="0.25">
      <c r="A89" s="3" t="s">
        <v>6983</v>
      </c>
      <c r="B89" s="3" t="s">
        <v>6984</v>
      </c>
      <c r="C89" s="3" t="s">
        <v>6985</v>
      </c>
      <c r="D89" s="3" t="s">
        <v>1117</v>
      </c>
      <c r="E89" s="3">
        <v>88</v>
      </c>
      <c r="F89" s="3" t="s">
        <v>131</v>
      </c>
      <c r="G89" s="3" t="s">
        <v>1093</v>
      </c>
      <c r="H89" s="3" t="str">
        <f t="shared" si="0"/>
        <v>Output LT0100B1, from Ballast and Voids.</v>
      </c>
    </row>
    <row r="90" spans="1:8" x14ac:dyDescent="0.25">
      <c r="A90" s="3" t="s">
        <v>6983</v>
      </c>
      <c r="B90" s="3" t="s">
        <v>6984</v>
      </c>
      <c r="C90" s="3" t="s">
        <v>6985</v>
      </c>
      <c r="D90" s="3" t="s">
        <v>1117</v>
      </c>
      <c r="E90" s="3">
        <v>89</v>
      </c>
      <c r="F90" s="3" t="s">
        <v>132</v>
      </c>
      <c r="G90" s="3" t="s">
        <v>1093</v>
      </c>
      <c r="H90" s="3" t="str">
        <f t="shared" si="0"/>
        <v>Output ILT0490A1, from Ballast and Voids.</v>
      </c>
    </row>
    <row r="91" spans="1:8" x14ac:dyDescent="0.25">
      <c r="A91" s="3" t="s">
        <v>6983</v>
      </c>
      <c r="B91" s="3" t="s">
        <v>6984</v>
      </c>
      <c r="C91" s="3" t="s">
        <v>6985</v>
      </c>
      <c r="D91" s="3" t="s">
        <v>1117</v>
      </c>
      <c r="E91" s="3">
        <v>90</v>
      </c>
      <c r="F91" s="3" t="s">
        <v>133</v>
      </c>
      <c r="G91" s="3" t="s">
        <v>1093</v>
      </c>
      <c r="H91" s="3" t="str">
        <f t="shared" si="0"/>
        <v>Output LT1800A1, from Ballast and Voids.</v>
      </c>
    </row>
    <row r="92" spans="1:8" x14ac:dyDescent="0.25">
      <c r="A92" s="3" t="s">
        <v>6983</v>
      </c>
      <c r="B92" s="3" t="s">
        <v>6984</v>
      </c>
      <c r="C92" s="3" t="s">
        <v>6985</v>
      </c>
      <c r="D92" s="3" t="s">
        <v>1117</v>
      </c>
      <c r="E92" s="3">
        <v>91</v>
      </c>
      <c r="F92" s="3" t="s">
        <v>134</v>
      </c>
      <c r="G92" s="3" t="s">
        <v>1093</v>
      </c>
      <c r="H92" s="3" t="str">
        <f t="shared" si="0"/>
        <v>Output LT1805A1, from Ballast and Voids.</v>
      </c>
    </row>
    <row r="93" spans="1:8" x14ac:dyDescent="0.25">
      <c r="A93" s="3" t="s">
        <v>6983</v>
      </c>
      <c r="B93" s="3" t="s">
        <v>6984</v>
      </c>
      <c r="C93" s="3" t="s">
        <v>6985</v>
      </c>
      <c r="D93" s="3" t="s">
        <v>1117</v>
      </c>
      <c r="E93" s="3">
        <v>92</v>
      </c>
      <c r="F93" s="3" t="s">
        <v>135</v>
      </c>
      <c r="G93" s="3" t="s">
        <v>1093</v>
      </c>
      <c r="H93" s="3" t="str">
        <f t="shared" si="0"/>
        <v>Output LT1810A1, from Ballast and Voids.</v>
      </c>
    </row>
    <row r="94" spans="1:8" x14ac:dyDescent="0.25">
      <c r="A94" s="3" t="s">
        <v>6983</v>
      </c>
      <c r="B94" s="3" t="s">
        <v>6984</v>
      </c>
      <c r="C94" s="3" t="s">
        <v>6985</v>
      </c>
      <c r="D94" s="3" t="s">
        <v>1117</v>
      </c>
      <c r="E94" s="3">
        <v>93</v>
      </c>
      <c r="F94" s="3" t="s">
        <v>136</v>
      </c>
      <c r="G94" s="3" t="s">
        <v>1093</v>
      </c>
      <c r="H94" s="3" t="str">
        <f t="shared" si="0"/>
        <v>Output LT1820A1, from Ballast and Voids.</v>
      </c>
    </row>
    <row r="95" spans="1:8" x14ac:dyDescent="0.25">
      <c r="A95" s="3" t="s">
        <v>6983</v>
      </c>
      <c r="B95" s="3" t="s">
        <v>6984</v>
      </c>
      <c r="C95" s="3" t="s">
        <v>6985</v>
      </c>
      <c r="D95" s="3" t="s">
        <v>1117</v>
      </c>
      <c r="E95" s="3">
        <v>94</v>
      </c>
      <c r="F95" s="3" t="s">
        <v>137</v>
      </c>
      <c r="G95" s="3" t="s">
        <v>1093</v>
      </c>
      <c r="H95" s="3" t="str">
        <f t="shared" si="0"/>
        <v>Output LT1825A1, from Ballast and Voids.</v>
      </c>
    </row>
    <row r="96" spans="1:8" x14ac:dyDescent="0.25">
      <c r="A96" s="3" t="s">
        <v>6983</v>
      </c>
      <c r="B96" s="3" t="s">
        <v>6984</v>
      </c>
      <c r="C96" s="3" t="s">
        <v>6985</v>
      </c>
      <c r="D96" s="3" t="s">
        <v>1117</v>
      </c>
      <c r="E96" s="3">
        <v>95</v>
      </c>
      <c r="F96" s="3" t="s">
        <v>138</v>
      </c>
      <c r="G96" s="3" t="s">
        <v>1093</v>
      </c>
      <c r="H96" s="3" t="str">
        <f t="shared" si="0"/>
        <v>Output LT1900A1, from Ballast and Voids.</v>
      </c>
    </row>
    <row r="97" spans="1:8" x14ac:dyDescent="0.25">
      <c r="A97" s="3" t="s">
        <v>6983</v>
      </c>
      <c r="B97" s="3" t="s">
        <v>6984</v>
      </c>
      <c r="C97" s="3" t="s">
        <v>6985</v>
      </c>
      <c r="D97" s="3" t="s">
        <v>1117</v>
      </c>
      <c r="E97" s="3">
        <v>96</v>
      </c>
      <c r="F97" s="3" t="s">
        <v>139</v>
      </c>
      <c r="G97" s="3" t="s">
        <v>1093</v>
      </c>
      <c r="H97" s="3" t="str">
        <f t="shared" si="0"/>
        <v>Output LT1905A1, from Ballast and Voids.</v>
      </c>
    </row>
    <row r="98" spans="1:8" x14ac:dyDescent="0.25">
      <c r="A98" s="3" t="s">
        <v>6983</v>
      </c>
      <c r="B98" s="3" t="s">
        <v>6984</v>
      </c>
      <c r="C98" s="3" t="s">
        <v>6985</v>
      </c>
      <c r="D98" s="3" t="s">
        <v>1117</v>
      </c>
      <c r="E98" s="3">
        <v>97</v>
      </c>
      <c r="F98" s="3" t="s">
        <v>140</v>
      </c>
      <c r="G98" s="3" t="s">
        <v>1099</v>
      </c>
      <c r="H98" s="3" t="str">
        <f t="shared" si="0"/>
        <v>Output LT2211A1, from Ballast and Voids.</v>
      </c>
    </row>
    <row r="99" spans="1:8" x14ac:dyDescent="0.25">
      <c r="A99" s="3" t="s">
        <v>6983</v>
      </c>
      <c r="B99" s="3" t="s">
        <v>6984</v>
      </c>
      <c r="C99" s="3" t="s">
        <v>6985</v>
      </c>
      <c r="D99" s="3" t="s">
        <v>1117</v>
      </c>
      <c r="E99" s="3">
        <v>98</v>
      </c>
      <c r="F99" s="3" t="s">
        <v>141</v>
      </c>
      <c r="G99" s="3" t="s">
        <v>1099</v>
      </c>
      <c r="H99" s="3" t="str">
        <f t="shared" si="0"/>
        <v>Output LT2212A1, from Ballast and Voids.</v>
      </c>
    </row>
    <row r="100" spans="1:8" x14ac:dyDescent="0.25">
      <c r="A100" s="3" t="s">
        <v>6983</v>
      </c>
      <c r="B100" s="3" t="s">
        <v>6984</v>
      </c>
      <c r="C100" s="3" t="s">
        <v>6985</v>
      </c>
      <c r="D100" s="3" t="s">
        <v>1117</v>
      </c>
      <c r="E100" s="3">
        <v>99</v>
      </c>
      <c r="F100" s="3" t="s">
        <v>142</v>
      </c>
      <c r="G100" s="3" t="s">
        <v>1099</v>
      </c>
      <c r="H100" s="3" t="str">
        <f t="shared" si="0"/>
        <v>Output LT2213A1, from Ballast and Voids.</v>
      </c>
    </row>
    <row r="101" spans="1:8" x14ac:dyDescent="0.25">
      <c r="A101" s="3" t="s">
        <v>6983</v>
      </c>
      <c r="B101" s="3" t="s">
        <v>6984</v>
      </c>
      <c r="C101" s="3" t="s">
        <v>6985</v>
      </c>
      <c r="D101" s="3" t="s">
        <v>1117</v>
      </c>
      <c r="E101" s="3">
        <v>100</v>
      </c>
      <c r="F101" s="3" t="s">
        <v>143</v>
      </c>
      <c r="G101" s="3" t="s">
        <v>1099</v>
      </c>
      <c r="H101" s="3" t="str">
        <f t="shared" si="0"/>
        <v>Output LT2214A1, from Ballast and Voids.</v>
      </c>
    </row>
    <row r="102" spans="1:8" x14ac:dyDescent="0.25">
      <c r="A102" s="3" t="s">
        <v>6983</v>
      </c>
      <c r="B102" s="3" t="s">
        <v>6984</v>
      </c>
      <c r="C102" s="3" t="s">
        <v>6985</v>
      </c>
      <c r="D102" s="3" t="s">
        <v>1117</v>
      </c>
      <c r="E102" s="3">
        <v>101</v>
      </c>
      <c r="F102" s="3" t="s">
        <v>144</v>
      </c>
      <c r="G102" s="3" t="s">
        <v>1093</v>
      </c>
      <c r="H102" s="3" t="str">
        <f t="shared" si="0"/>
        <v>Output LT2650A1, from Ballast and Voids.</v>
      </c>
    </row>
    <row r="103" spans="1:8" x14ac:dyDescent="0.25">
      <c r="A103" s="3" t="s">
        <v>6983</v>
      </c>
      <c r="B103" s="3" t="s">
        <v>6984</v>
      </c>
      <c r="C103" s="3" t="s">
        <v>6985</v>
      </c>
      <c r="D103" s="3" t="s">
        <v>1117</v>
      </c>
      <c r="E103" s="3">
        <v>102</v>
      </c>
      <c r="F103" s="3" t="s">
        <v>145</v>
      </c>
      <c r="G103" s="3" t="s">
        <v>1093</v>
      </c>
      <c r="H103" s="3" t="str">
        <f t="shared" si="0"/>
        <v>Output LT2670A1, from Ballast and Voids.</v>
      </c>
    </row>
    <row r="104" spans="1:8" x14ac:dyDescent="0.25">
      <c r="A104" s="3" t="s">
        <v>6983</v>
      </c>
      <c r="B104" s="3" t="s">
        <v>6984</v>
      </c>
      <c r="C104" s="3" t="s">
        <v>6985</v>
      </c>
      <c r="D104" s="3" t="s">
        <v>1117</v>
      </c>
      <c r="E104" s="3">
        <v>103</v>
      </c>
      <c r="F104" s="3" t="s">
        <v>146</v>
      </c>
      <c r="G104" s="3" t="s">
        <v>1093</v>
      </c>
      <c r="H104" s="3" t="str">
        <f t="shared" si="0"/>
        <v>Output LT2701A1, from Ballast and Voids.</v>
      </c>
    </row>
    <row r="105" spans="1:8" x14ac:dyDescent="0.25">
      <c r="A105" s="3" t="s">
        <v>6983</v>
      </c>
      <c r="B105" s="3" t="s">
        <v>6984</v>
      </c>
      <c r="C105" s="3" t="s">
        <v>6985</v>
      </c>
      <c r="D105" s="3" t="s">
        <v>1117</v>
      </c>
      <c r="E105" s="3">
        <v>104</v>
      </c>
      <c r="F105" s="3" t="s">
        <v>147</v>
      </c>
      <c r="G105" s="3" t="s">
        <v>1093</v>
      </c>
      <c r="H105" s="3" t="str">
        <f t="shared" si="0"/>
        <v>Output LT2706A1, from Ballast and Voids.</v>
      </c>
    </row>
    <row r="106" spans="1:8" x14ac:dyDescent="0.25">
      <c r="A106" s="3" t="s">
        <v>6983</v>
      </c>
      <c r="B106" s="3" t="s">
        <v>6984</v>
      </c>
      <c r="C106" s="3" t="s">
        <v>6985</v>
      </c>
      <c r="D106" s="3" t="s">
        <v>1117</v>
      </c>
      <c r="E106" s="3">
        <v>105</v>
      </c>
      <c r="F106" s="3" t="s">
        <v>148</v>
      </c>
      <c r="G106" s="3" t="s">
        <v>1093</v>
      </c>
      <c r="H106" s="3" t="str">
        <f t="shared" si="0"/>
        <v>Output LT2746A1, from Ballast and Voids.</v>
      </c>
    </row>
    <row r="107" spans="1:8" x14ac:dyDescent="0.25">
      <c r="A107" s="3" t="s">
        <v>6983</v>
      </c>
      <c r="B107" s="3" t="s">
        <v>6984</v>
      </c>
      <c r="C107" s="3" t="s">
        <v>6985</v>
      </c>
      <c r="D107" s="3" t="s">
        <v>1117</v>
      </c>
      <c r="E107" s="3">
        <v>106</v>
      </c>
      <c r="F107" s="3" t="s">
        <v>149</v>
      </c>
      <c r="G107" s="3" t="s">
        <v>1093</v>
      </c>
      <c r="H107" s="3" t="str">
        <f t="shared" si="0"/>
        <v>Output LT2796A1, from Ballast and Voids.</v>
      </c>
    </row>
    <row r="108" spans="1:8" x14ac:dyDescent="0.25">
      <c r="A108" s="3" t="s">
        <v>6983</v>
      </c>
      <c r="B108" s="3" t="s">
        <v>6984</v>
      </c>
      <c r="C108" s="3" t="s">
        <v>6985</v>
      </c>
      <c r="D108" s="3" t="s">
        <v>1117</v>
      </c>
      <c r="E108" s="3">
        <v>107</v>
      </c>
      <c r="F108" s="3" t="s">
        <v>150</v>
      </c>
      <c r="G108" s="3" t="s">
        <v>1093</v>
      </c>
      <c r="H108" s="3" t="str">
        <f t="shared" si="0"/>
        <v>Output LT2801A1, from Ballast and Voids.</v>
      </c>
    </row>
    <row r="109" spans="1:8" x14ac:dyDescent="0.25">
      <c r="A109" s="3" t="s">
        <v>6983</v>
      </c>
      <c r="B109" s="3" t="s">
        <v>6984</v>
      </c>
      <c r="C109" s="3" t="s">
        <v>6985</v>
      </c>
      <c r="D109" s="3" t="s">
        <v>1117</v>
      </c>
      <c r="E109" s="3">
        <v>108</v>
      </c>
      <c r="F109" s="3" t="s">
        <v>151</v>
      </c>
      <c r="G109" s="3" t="s">
        <v>1093</v>
      </c>
      <c r="H109" s="3" t="str">
        <f t="shared" si="0"/>
        <v>Output LT2804A1, from Ballast and Voids.</v>
      </c>
    </row>
    <row r="110" spans="1:8" x14ac:dyDescent="0.25">
      <c r="A110" s="3" t="s">
        <v>6983</v>
      </c>
      <c r="B110" s="3" t="s">
        <v>6984</v>
      </c>
      <c r="C110" s="3" t="s">
        <v>6985</v>
      </c>
      <c r="D110" s="3" t="s">
        <v>1117</v>
      </c>
      <c r="E110" s="3">
        <v>109</v>
      </c>
      <c r="F110" s="3" t="s">
        <v>152</v>
      </c>
      <c r="G110" s="3" t="s">
        <v>1093</v>
      </c>
      <c r="H110" s="3" t="str">
        <f t="shared" si="0"/>
        <v>Output LT2807A1, from Ballast and Voids.</v>
      </c>
    </row>
    <row r="111" spans="1:8" x14ac:dyDescent="0.25">
      <c r="A111" s="3" t="s">
        <v>6983</v>
      </c>
      <c r="B111" s="3" t="s">
        <v>6984</v>
      </c>
      <c r="C111" s="3" t="s">
        <v>6985</v>
      </c>
      <c r="D111" s="3" t="s">
        <v>1117</v>
      </c>
      <c r="E111" s="3">
        <v>110</v>
      </c>
      <c r="F111" s="3" t="s">
        <v>153</v>
      </c>
      <c r="G111" s="3" t="s">
        <v>1093</v>
      </c>
      <c r="H111" s="3" t="str">
        <f t="shared" si="0"/>
        <v>Output LT2810A1, from Ballast and Voids.</v>
      </c>
    </row>
    <row r="112" spans="1:8" x14ac:dyDescent="0.25">
      <c r="A112" s="3" t="s">
        <v>6983</v>
      </c>
      <c r="B112" s="3" t="s">
        <v>6984</v>
      </c>
      <c r="C112" s="3" t="s">
        <v>6985</v>
      </c>
      <c r="D112" s="3" t="s">
        <v>1117</v>
      </c>
      <c r="E112" s="3">
        <v>111</v>
      </c>
      <c r="F112" s="3" t="s">
        <v>154</v>
      </c>
      <c r="G112" s="3" t="s">
        <v>1093</v>
      </c>
      <c r="H112" s="3" t="str">
        <f t="shared" si="0"/>
        <v>Output LT2820A1, from Ballast and Voids.</v>
      </c>
    </row>
    <row r="113" spans="1:8" x14ac:dyDescent="0.25">
      <c r="A113" s="3" t="s">
        <v>6983</v>
      </c>
      <c r="B113" s="3" t="s">
        <v>6984</v>
      </c>
      <c r="C113" s="3" t="s">
        <v>6985</v>
      </c>
      <c r="D113" s="3" t="s">
        <v>1117</v>
      </c>
      <c r="E113" s="3">
        <v>112</v>
      </c>
      <c r="F113" s="3" t="s">
        <v>155</v>
      </c>
      <c r="G113" s="3" t="s">
        <v>1093</v>
      </c>
      <c r="H113" s="3" t="str">
        <f t="shared" si="0"/>
        <v>Output LT2881A1, from Ballast and Voids.</v>
      </c>
    </row>
    <row r="114" spans="1:8" x14ac:dyDescent="0.25">
      <c r="A114" s="3" t="s">
        <v>6983</v>
      </c>
      <c r="B114" s="3" t="s">
        <v>6984</v>
      </c>
      <c r="C114" s="3" t="s">
        <v>6985</v>
      </c>
      <c r="D114" s="3" t="s">
        <v>1117</v>
      </c>
      <c r="E114" s="3">
        <v>113</v>
      </c>
      <c r="F114" s="3" t="s">
        <v>156</v>
      </c>
      <c r="G114" s="3" t="s">
        <v>1093</v>
      </c>
      <c r="H114" s="3" t="str">
        <f t="shared" si="0"/>
        <v>Output LT2885A1, from Ballast and Voids.</v>
      </c>
    </row>
    <row r="115" spans="1:8" x14ac:dyDescent="0.25">
      <c r="A115" s="3" t="s">
        <v>6983</v>
      </c>
      <c r="B115" s="3" t="s">
        <v>6984</v>
      </c>
      <c r="C115" s="3" t="s">
        <v>6985</v>
      </c>
      <c r="D115" s="3" t="s">
        <v>1117</v>
      </c>
      <c r="E115" s="3">
        <v>114</v>
      </c>
      <c r="F115" s="3" t="s">
        <v>157</v>
      </c>
      <c r="G115" s="3" t="s">
        <v>1093</v>
      </c>
      <c r="H115" s="3" t="str">
        <f t="shared" si="0"/>
        <v>Output LT5120A1, from Ballast and Voids.</v>
      </c>
    </row>
    <row r="116" spans="1:8" x14ac:dyDescent="0.25">
      <c r="A116" s="3" t="s">
        <v>6983</v>
      </c>
      <c r="B116" s="3" t="s">
        <v>6984</v>
      </c>
      <c r="C116" s="3" t="s">
        <v>6985</v>
      </c>
      <c r="D116" s="3" t="s">
        <v>1117</v>
      </c>
      <c r="E116" s="3">
        <v>115</v>
      </c>
      <c r="F116" s="3" t="s">
        <v>158</v>
      </c>
      <c r="G116" s="3" t="s">
        <v>1093</v>
      </c>
      <c r="H116" s="3" t="str">
        <f t="shared" si="0"/>
        <v>Output LT5220A1, from Ballast and Voids.</v>
      </c>
    </row>
    <row r="117" spans="1:8" x14ac:dyDescent="0.25">
      <c r="A117" s="3" t="s">
        <v>6983</v>
      </c>
      <c r="B117" s="3" t="s">
        <v>6984</v>
      </c>
      <c r="C117" s="3" t="s">
        <v>6985</v>
      </c>
      <c r="D117" s="3" t="s">
        <v>1117</v>
      </c>
      <c r="E117" s="3">
        <v>116</v>
      </c>
      <c r="F117" s="3" t="s">
        <v>159</v>
      </c>
      <c r="G117" s="3" t="s">
        <v>1093</v>
      </c>
      <c r="H117" s="3" t="str">
        <f t="shared" si="0"/>
        <v>Output LT5320A1, from Ballast and Voids.</v>
      </c>
    </row>
    <row r="118" spans="1:8" x14ac:dyDescent="0.25">
      <c r="A118" s="3" t="s">
        <v>6983</v>
      </c>
      <c r="B118" s="3" t="s">
        <v>6984</v>
      </c>
      <c r="C118" s="3" t="s">
        <v>6985</v>
      </c>
      <c r="D118" s="3" t="s">
        <v>1117</v>
      </c>
      <c r="E118" s="3">
        <v>117</v>
      </c>
      <c r="F118" s="3" t="s">
        <v>160</v>
      </c>
      <c r="G118" s="3" t="s">
        <v>1093</v>
      </c>
      <c r="H118" s="3" t="str">
        <f t="shared" si="0"/>
        <v>Output LT5420A1, from Ballast and Voids.</v>
      </c>
    </row>
    <row r="119" spans="1:8" x14ac:dyDescent="0.25">
      <c r="A119" s="3" t="s">
        <v>6983</v>
      </c>
      <c r="B119" s="3" t="s">
        <v>6984</v>
      </c>
      <c r="C119" s="3" t="s">
        <v>6985</v>
      </c>
      <c r="D119" s="3" t="s">
        <v>1117</v>
      </c>
      <c r="E119" s="3">
        <v>118</v>
      </c>
      <c r="F119" s="3" t="s">
        <v>161</v>
      </c>
      <c r="G119" s="3" t="s">
        <v>1093</v>
      </c>
      <c r="H119" s="3" t="str">
        <f t="shared" si="0"/>
        <v>Output EPN-BE Level, from Ballast and Voids.</v>
      </c>
    </row>
    <row r="120" spans="1:8" x14ac:dyDescent="0.25">
      <c r="A120" s="3" t="s">
        <v>6983</v>
      </c>
      <c r="B120" s="3" t="s">
        <v>6984</v>
      </c>
      <c r="C120" s="3" t="s">
        <v>6985</v>
      </c>
      <c r="D120" s="3" t="s">
        <v>1117</v>
      </c>
      <c r="E120" s="3">
        <v>119</v>
      </c>
      <c r="F120" s="3" t="s">
        <v>162</v>
      </c>
      <c r="G120" s="3" t="s">
        <v>1093</v>
      </c>
      <c r="H120" s="3" t="str">
        <f t="shared" si="0"/>
        <v>Output EPN-BW Level, from Ballast and Voids.</v>
      </c>
    </row>
    <row r="121" spans="1:8" x14ac:dyDescent="0.25">
      <c r="A121" s="3" t="s">
        <v>6983</v>
      </c>
      <c r="B121" s="3" t="s">
        <v>6984</v>
      </c>
      <c r="C121" s="3" t="s">
        <v>6985</v>
      </c>
      <c r="D121" s="3" t="s">
        <v>1117</v>
      </c>
      <c r="E121" s="3">
        <v>120</v>
      </c>
      <c r="F121" s="3" t="s">
        <v>163</v>
      </c>
      <c r="G121" s="3" t="s">
        <v>1093</v>
      </c>
      <c r="H121" s="3" t="str">
        <f t="shared" si="0"/>
        <v>Output EPS-BE Level, from Ballast and Voids.</v>
      </c>
    </row>
    <row r="122" spans="1:8" x14ac:dyDescent="0.25">
      <c r="A122" s="3" t="s">
        <v>6983</v>
      </c>
      <c r="B122" s="3" t="s">
        <v>6984</v>
      </c>
      <c r="C122" s="3" t="s">
        <v>6985</v>
      </c>
      <c r="D122" s="3" t="s">
        <v>1117</v>
      </c>
      <c r="E122" s="3">
        <v>121</v>
      </c>
      <c r="F122" s="3" t="s">
        <v>164</v>
      </c>
      <c r="G122" s="3" t="s">
        <v>1093</v>
      </c>
      <c r="H122" s="3" t="str">
        <f t="shared" si="0"/>
        <v>Output EPS-BW Level, from Ballast and Voids.</v>
      </c>
    </row>
    <row r="123" spans="1:8" x14ac:dyDescent="0.25">
      <c r="A123" s="3" t="s">
        <v>6983</v>
      </c>
      <c r="B123" s="3" t="s">
        <v>6984</v>
      </c>
      <c r="C123" s="3" t="s">
        <v>6985</v>
      </c>
      <c r="D123" s="3" t="s">
        <v>1117</v>
      </c>
      <c r="E123" s="3">
        <v>122</v>
      </c>
      <c r="F123" s="3" t="s">
        <v>165</v>
      </c>
      <c r="G123" s="3" t="s">
        <v>1093</v>
      </c>
      <c r="H123" s="3" t="str">
        <f t="shared" si="0"/>
        <v>Output LTNE0, from Ballast and Voids.</v>
      </c>
    </row>
    <row r="124" spans="1:8" x14ac:dyDescent="0.25">
      <c r="A124" s="3" t="s">
        <v>6983</v>
      </c>
      <c r="B124" s="3" t="s">
        <v>6984</v>
      </c>
      <c r="C124" s="3" t="s">
        <v>6985</v>
      </c>
      <c r="D124" s="3" t="s">
        <v>1117</v>
      </c>
      <c r="E124" s="3">
        <v>123</v>
      </c>
      <c r="F124" s="3" t="s">
        <v>166</v>
      </c>
      <c r="G124" s="3" t="s">
        <v>1093</v>
      </c>
      <c r="H124" s="3" t="str">
        <f t="shared" si="0"/>
        <v>Output NE0-B Level, from Ballast and Voids.</v>
      </c>
    </row>
    <row r="125" spans="1:8" x14ac:dyDescent="0.25">
      <c r="A125" s="3" t="s">
        <v>6983</v>
      </c>
      <c r="B125" s="3" t="s">
        <v>6984</v>
      </c>
      <c r="C125" s="3" t="s">
        <v>6985</v>
      </c>
      <c r="D125" s="3" t="s">
        <v>1117</v>
      </c>
      <c r="E125" s="3">
        <v>124</v>
      </c>
      <c r="F125" s="3" t="s">
        <v>167</v>
      </c>
      <c r="G125" s="3" t="s">
        <v>1093</v>
      </c>
      <c r="H125" s="3" t="str">
        <f t="shared" si="0"/>
        <v>Output NE1-VNE Void, from Ballast and Voids.</v>
      </c>
    </row>
    <row r="126" spans="1:8" x14ac:dyDescent="0.25">
      <c r="A126" s="3" t="s">
        <v>6983</v>
      </c>
      <c r="B126" s="3" t="s">
        <v>6984</v>
      </c>
      <c r="C126" s="3" t="s">
        <v>6985</v>
      </c>
      <c r="D126" s="3" t="s">
        <v>1117</v>
      </c>
      <c r="E126" s="3">
        <v>125</v>
      </c>
      <c r="F126" s="3" t="s">
        <v>168</v>
      </c>
      <c r="G126" s="3" t="s">
        <v>1093</v>
      </c>
      <c r="H126" s="3" t="str">
        <f t="shared" si="0"/>
        <v>Output NE1-VS Void, from Ballast and Voids.</v>
      </c>
    </row>
    <row r="127" spans="1:8" x14ac:dyDescent="0.25">
      <c r="A127" s="3" t="s">
        <v>6983</v>
      </c>
      <c r="B127" s="3" t="s">
        <v>6984</v>
      </c>
      <c r="C127" s="3" t="s">
        <v>6985</v>
      </c>
      <c r="D127" s="3" t="s">
        <v>1117</v>
      </c>
      <c r="E127" s="3">
        <v>126</v>
      </c>
      <c r="F127" s="3" t="s">
        <v>169</v>
      </c>
      <c r="G127" s="3" t="s">
        <v>1093</v>
      </c>
      <c r="H127" s="3" t="str">
        <f t="shared" si="0"/>
        <v>Output NE1-VW Void, from Ballast and Voids.</v>
      </c>
    </row>
    <row r="128" spans="1:8" x14ac:dyDescent="0.25">
      <c r="A128" s="3" t="s">
        <v>6983</v>
      </c>
      <c r="B128" s="3" t="s">
        <v>6984</v>
      </c>
      <c r="C128" s="3" t="s">
        <v>6985</v>
      </c>
      <c r="D128" s="3" t="s">
        <v>1117</v>
      </c>
      <c r="E128" s="3">
        <v>127</v>
      </c>
      <c r="F128" s="3" t="s">
        <v>170</v>
      </c>
      <c r="G128" s="3" t="s">
        <v>1093</v>
      </c>
      <c r="H128" s="3" t="str">
        <f t="shared" si="0"/>
        <v>Output NE2-VNE Void, from Ballast and Voids.</v>
      </c>
    </row>
    <row r="129" spans="1:8" x14ac:dyDescent="0.25">
      <c r="A129" s="3" t="s">
        <v>6983</v>
      </c>
      <c r="B129" s="3" t="s">
        <v>6984</v>
      </c>
      <c r="C129" s="3" t="s">
        <v>6985</v>
      </c>
      <c r="D129" s="3" t="s">
        <v>1117</v>
      </c>
      <c r="E129" s="3">
        <v>128</v>
      </c>
      <c r="F129" s="3" t="s">
        <v>171</v>
      </c>
      <c r="G129" s="3" t="s">
        <v>1093</v>
      </c>
      <c r="H129" s="3" t="str">
        <f t="shared" si="0"/>
        <v>Output NE2-VS Void, from Ballast and Voids.</v>
      </c>
    </row>
    <row r="130" spans="1:8" x14ac:dyDescent="0.25">
      <c r="A130" s="3" t="s">
        <v>6983</v>
      </c>
      <c r="B130" s="3" t="s">
        <v>6984</v>
      </c>
      <c r="C130" s="3" t="s">
        <v>6985</v>
      </c>
      <c r="D130" s="3" t="s">
        <v>1117</v>
      </c>
      <c r="E130" s="3">
        <v>129</v>
      </c>
      <c r="F130" s="3" t="s">
        <v>172</v>
      </c>
      <c r="G130" s="3" t="s">
        <v>1093</v>
      </c>
      <c r="H130" s="3" t="str">
        <f t="shared" si="0"/>
        <v>Output NE2-VW Void, from Ballast and Voids.</v>
      </c>
    </row>
    <row r="131" spans="1:8" x14ac:dyDescent="0.25">
      <c r="A131" s="3" t="s">
        <v>6983</v>
      </c>
      <c r="B131" s="3" t="s">
        <v>6984</v>
      </c>
      <c r="C131" s="3" t="s">
        <v>6985</v>
      </c>
      <c r="D131" s="3" t="s">
        <v>1117</v>
      </c>
      <c r="E131" s="3">
        <v>130</v>
      </c>
      <c r="F131" s="3" t="s">
        <v>173</v>
      </c>
      <c r="G131" s="3" t="s">
        <v>1093</v>
      </c>
      <c r="H131" s="3" t="str">
        <f t="shared" si="0"/>
        <v>Output LTNE3CNE, from Ballast and Voids.</v>
      </c>
    </row>
    <row r="132" spans="1:8" x14ac:dyDescent="0.25">
      <c r="A132" s="3" t="s">
        <v>6983</v>
      </c>
      <c r="B132" s="3" t="s">
        <v>6984</v>
      </c>
      <c r="C132" s="3" t="s">
        <v>6985</v>
      </c>
      <c r="D132" s="3" t="s">
        <v>1117</v>
      </c>
      <c r="E132" s="3">
        <v>131</v>
      </c>
      <c r="F132" s="3" t="s">
        <v>174</v>
      </c>
      <c r="G132" s="3" t="s">
        <v>1093</v>
      </c>
      <c r="H132" s="3" t="str">
        <f t="shared" si="0"/>
        <v>Output NE3-V Void, from Ballast and Voids.</v>
      </c>
    </row>
    <row r="133" spans="1:8" x14ac:dyDescent="0.25">
      <c r="A133" s="3" t="s">
        <v>6983</v>
      </c>
      <c r="B133" s="3" t="s">
        <v>6984</v>
      </c>
      <c r="C133" s="3" t="s">
        <v>6985</v>
      </c>
      <c r="D133" s="3" t="s">
        <v>1117</v>
      </c>
      <c r="E133" s="3">
        <v>132</v>
      </c>
      <c r="F133" s="3" t="s">
        <v>175</v>
      </c>
      <c r="G133" s="3" t="s">
        <v>1093</v>
      </c>
      <c r="H133" s="3" t="str">
        <f t="shared" si="0"/>
        <v>Output LTNE3VA1, from Ballast and Voids.</v>
      </c>
    </row>
    <row r="134" spans="1:8" x14ac:dyDescent="0.25">
      <c r="A134" s="3" t="s">
        <v>6983</v>
      </c>
      <c r="B134" s="3" t="s">
        <v>6984</v>
      </c>
      <c r="C134" s="3" t="s">
        <v>6985</v>
      </c>
      <c r="D134" s="3" t="s">
        <v>1117</v>
      </c>
      <c r="E134" s="3">
        <v>133</v>
      </c>
      <c r="F134" s="3" t="s">
        <v>176</v>
      </c>
      <c r="G134" s="3" t="s">
        <v>1093</v>
      </c>
      <c r="H134" s="3" t="str">
        <f t="shared" ref="H134:H181" si="1">_xlfn.CONCAT("Output ",F134, ", from Ballast and Voids.")</f>
        <v>Output LTNE3VB1, from Ballast and Voids.</v>
      </c>
    </row>
    <row r="135" spans="1:8" x14ac:dyDescent="0.25">
      <c r="A135" s="3" t="s">
        <v>6983</v>
      </c>
      <c r="B135" s="3" t="s">
        <v>6984</v>
      </c>
      <c r="C135" s="3" t="s">
        <v>6985</v>
      </c>
      <c r="D135" s="3" t="s">
        <v>1117</v>
      </c>
      <c r="E135" s="3">
        <v>134</v>
      </c>
      <c r="F135" s="3" t="s">
        <v>177</v>
      </c>
      <c r="G135" s="3" t="s">
        <v>1093</v>
      </c>
      <c r="H135" s="3" t="str">
        <f t="shared" si="1"/>
        <v>Output LTNE3VC1, from Ballast and Voids.</v>
      </c>
    </row>
    <row r="136" spans="1:8" x14ac:dyDescent="0.25">
      <c r="A136" s="3" t="s">
        <v>6983</v>
      </c>
      <c r="B136" s="3" t="s">
        <v>6984</v>
      </c>
      <c r="C136" s="3" t="s">
        <v>6985</v>
      </c>
      <c r="D136" s="3" t="s">
        <v>1117</v>
      </c>
      <c r="E136" s="3">
        <v>135</v>
      </c>
      <c r="F136" s="3" t="s">
        <v>178</v>
      </c>
      <c r="G136" s="3" t="s">
        <v>1093</v>
      </c>
      <c r="H136" s="3" t="str">
        <f t="shared" si="1"/>
        <v>Output NPE-BN Level, from Ballast and Voids.</v>
      </c>
    </row>
    <row r="137" spans="1:8" x14ac:dyDescent="0.25">
      <c r="A137" s="3" t="s">
        <v>6983</v>
      </c>
      <c r="B137" s="3" t="s">
        <v>6984</v>
      </c>
      <c r="C137" s="3" t="s">
        <v>6985</v>
      </c>
      <c r="D137" s="3" t="s">
        <v>1117</v>
      </c>
      <c r="E137" s="3">
        <v>136</v>
      </c>
      <c r="F137" s="3" t="s">
        <v>179</v>
      </c>
      <c r="G137" s="3" t="s">
        <v>1093</v>
      </c>
      <c r="H137" s="3" t="str">
        <f t="shared" si="1"/>
        <v>Output NPE-BS Level, from Ballast and Voids.</v>
      </c>
    </row>
    <row r="138" spans="1:8" x14ac:dyDescent="0.25">
      <c r="A138" s="3" t="s">
        <v>6983</v>
      </c>
      <c r="B138" s="3" t="s">
        <v>6984</v>
      </c>
      <c r="C138" s="3" t="s">
        <v>6985</v>
      </c>
      <c r="D138" s="3" t="s">
        <v>1117</v>
      </c>
      <c r="E138" s="3">
        <v>137</v>
      </c>
      <c r="F138" s="3" t="s">
        <v>180</v>
      </c>
      <c r="G138" s="3" t="s">
        <v>1093</v>
      </c>
      <c r="H138" s="3" t="str">
        <f t="shared" si="1"/>
        <v>Output NPW-BN Level, from Ballast and Voids.</v>
      </c>
    </row>
    <row r="139" spans="1:8" x14ac:dyDescent="0.25">
      <c r="A139" s="3" t="s">
        <v>6983</v>
      </c>
      <c r="B139" s="3" t="s">
        <v>6984</v>
      </c>
      <c r="C139" s="3" t="s">
        <v>6985</v>
      </c>
      <c r="D139" s="3" t="s">
        <v>1117</v>
      </c>
      <c r="E139" s="3">
        <v>138</v>
      </c>
      <c r="F139" s="3" t="s">
        <v>181</v>
      </c>
      <c r="G139" s="3" t="s">
        <v>1093</v>
      </c>
      <c r="H139" s="3" t="str">
        <f t="shared" si="1"/>
        <v>Output NPW-BS Level, from Ballast and Voids.</v>
      </c>
    </row>
    <row r="140" spans="1:8" x14ac:dyDescent="0.25">
      <c r="A140" s="3" t="s">
        <v>6983</v>
      </c>
      <c r="B140" s="3" t="s">
        <v>6984</v>
      </c>
      <c r="C140" s="3" t="s">
        <v>6985</v>
      </c>
      <c r="D140" s="3" t="s">
        <v>1117</v>
      </c>
      <c r="E140" s="3">
        <v>139</v>
      </c>
      <c r="F140" s="3" t="s">
        <v>182</v>
      </c>
      <c r="G140" s="3" t="s">
        <v>1093</v>
      </c>
      <c r="H140" s="3" t="str">
        <f t="shared" si="1"/>
        <v>Output LTNW0, from Ballast and Voids.</v>
      </c>
    </row>
    <row r="141" spans="1:8" x14ac:dyDescent="0.25">
      <c r="A141" s="3" t="s">
        <v>6983</v>
      </c>
      <c r="B141" s="3" t="s">
        <v>6984</v>
      </c>
      <c r="C141" s="3" t="s">
        <v>6985</v>
      </c>
      <c r="D141" s="3" t="s">
        <v>1117</v>
      </c>
      <c r="E141" s="3">
        <v>140</v>
      </c>
      <c r="F141" s="3" t="s">
        <v>183</v>
      </c>
      <c r="G141" s="3" t="s">
        <v>1093</v>
      </c>
      <c r="H141" s="3" t="str">
        <f t="shared" si="1"/>
        <v>Output NW0-B Level, from Ballast and Voids.</v>
      </c>
    </row>
    <row r="142" spans="1:8" x14ac:dyDescent="0.25">
      <c r="A142" s="3" t="s">
        <v>6983</v>
      </c>
      <c r="B142" s="3" t="s">
        <v>6984</v>
      </c>
      <c r="C142" s="3" t="s">
        <v>6985</v>
      </c>
      <c r="D142" s="3" t="s">
        <v>1117</v>
      </c>
      <c r="E142" s="3">
        <v>141</v>
      </c>
      <c r="F142" s="3" t="s">
        <v>184</v>
      </c>
      <c r="G142" s="3" t="s">
        <v>1093</v>
      </c>
      <c r="H142" s="3" t="str">
        <f t="shared" si="1"/>
        <v>Output NW1-VE Void, from Ballast and Voids.</v>
      </c>
    </row>
    <row r="143" spans="1:8" x14ac:dyDescent="0.25">
      <c r="A143" s="3" t="s">
        <v>6983</v>
      </c>
      <c r="B143" s="3" t="s">
        <v>6984</v>
      </c>
      <c r="C143" s="3" t="s">
        <v>6985</v>
      </c>
      <c r="D143" s="3" t="s">
        <v>1117</v>
      </c>
      <c r="E143" s="3">
        <v>142</v>
      </c>
      <c r="F143" s="3" t="s">
        <v>185</v>
      </c>
      <c r="G143" s="3" t="s">
        <v>1093</v>
      </c>
      <c r="H143" s="3" t="str">
        <f t="shared" si="1"/>
        <v>Output NW1-VNW Void, from Ballast and Voids.</v>
      </c>
    </row>
    <row r="144" spans="1:8" x14ac:dyDescent="0.25">
      <c r="A144" s="3" t="s">
        <v>6983</v>
      </c>
      <c r="B144" s="3" t="s">
        <v>6984</v>
      </c>
      <c r="C144" s="3" t="s">
        <v>6985</v>
      </c>
      <c r="D144" s="3" t="s">
        <v>1117</v>
      </c>
      <c r="E144" s="3">
        <v>143</v>
      </c>
      <c r="F144" s="3" t="s">
        <v>186</v>
      </c>
      <c r="G144" s="3" t="s">
        <v>1093</v>
      </c>
      <c r="H144" s="3" t="str">
        <f t="shared" si="1"/>
        <v>Output NW1-VS Void, from Ballast and Voids.</v>
      </c>
    </row>
    <row r="145" spans="1:8" x14ac:dyDescent="0.25">
      <c r="A145" s="3" t="s">
        <v>6983</v>
      </c>
      <c r="B145" s="3" t="s">
        <v>6984</v>
      </c>
      <c r="C145" s="3" t="s">
        <v>6985</v>
      </c>
      <c r="D145" s="3" t="s">
        <v>1117</v>
      </c>
      <c r="E145" s="3">
        <v>144</v>
      </c>
      <c r="F145" s="3" t="s">
        <v>187</v>
      </c>
      <c r="G145" s="3" t="s">
        <v>1093</v>
      </c>
      <c r="H145" s="3" t="str">
        <f t="shared" si="1"/>
        <v>Output NW2-VE Void, from Ballast and Voids.</v>
      </c>
    </row>
    <row r="146" spans="1:8" x14ac:dyDescent="0.25">
      <c r="A146" s="3" t="s">
        <v>6983</v>
      </c>
      <c r="B146" s="3" t="s">
        <v>6984</v>
      </c>
      <c r="C146" s="3" t="s">
        <v>6985</v>
      </c>
      <c r="D146" s="3" t="s">
        <v>1117</v>
      </c>
      <c r="E146" s="3">
        <v>145</v>
      </c>
      <c r="F146" s="3" t="s">
        <v>188</v>
      </c>
      <c r="G146" s="3" t="s">
        <v>1093</v>
      </c>
      <c r="H146" s="3" t="str">
        <f t="shared" si="1"/>
        <v>Output NW2-VNW Void, from Ballast and Voids.</v>
      </c>
    </row>
    <row r="147" spans="1:8" x14ac:dyDescent="0.25">
      <c r="A147" s="3" t="s">
        <v>6983</v>
      </c>
      <c r="B147" s="3" t="s">
        <v>6984</v>
      </c>
      <c r="C147" s="3" t="s">
        <v>6985</v>
      </c>
      <c r="D147" s="3" t="s">
        <v>1117</v>
      </c>
      <c r="E147" s="3">
        <v>146</v>
      </c>
      <c r="F147" s="3" t="s">
        <v>189</v>
      </c>
      <c r="G147" s="3" t="s">
        <v>1093</v>
      </c>
      <c r="H147" s="3" t="str">
        <f t="shared" si="1"/>
        <v>Output NW2-VS Void, from Ballast and Voids.</v>
      </c>
    </row>
    <row r="148" spans="1:8" x14ac:dyDescent="0.25">
      <c r="A148" s="3" t="s">
        <v>6983</v>
      </c>
      <c r="B148" s="3" t="s">
        <v>6984</v>
      </c>
      <c r="C148" s="3" t="s">
        <v>6985</v>
      </c>
      <c r="D148" s="3" t="s">
        <v>1117</v>
      </c>
      <c r="E148" s="3">
        <v>147</v>
      </c>
      <c r="F148" s="3" t="s">
        <v>190</v>
      </c>
      <c r="G148" s="3" t="s">
        <v>1093</v>
      </c>
      <c r="H148" s="3" t="str">
        <f t="shared" si="1"/>
        <v>Output LTNW3CNW, from Ballast and Voids.</v>
      </c>
    </row>
    <row r="149" spans="1:8" x14ac:dyDescent="0.25">
      <c r="A149" s="3" t="s">
        <v>6983</v>
      </c>
      <c r="B149" s="3" t="s">
        <v>6984</v>
      </c>
      <c r="C149" s="3" t="s">
        <v>6985</v>
      </c>
      <c r="D149" s="3" t="s">
        <v>1117</v>
      </c>
      <c r="E149" s="3">
        <v>148</v>
      </c>
      <c r="F149" s="3" t="s">
        <v>191</v>
      </c>
      <c r="G149" s="3" t="s">
        <v>1093</v>
      </c>
      <c r="H149" s="3" t="str">
        <f t="shared" si="1"/>
        <v>Output NW3-V Void, from Ballast and Voids.</v>
      </c>
    </row>
    <row r="150" spans="1:8" x14ac:dyDescent="0.25">
      <c r="A150" s="3" t="s">
        <v>6983</v>
      </c>
      <c r="B150" s="3" t="s">
        <v>6984</v>
      </c>
      <c r="C150" s="3" t="s">
        <v>6985</v>
      </c>
      <c r="D150" s="3" t="s">
        <v>1117</v>
      </c>
      <c r="E150" s="3">
        <v>149</v>
      </c>
      <c r="F150" s="3" t="s">
        <v>192</v>
      </c>
      <c r="G150" s="3" t="s">
        <v>1093</v>
      </c>
      <c r="H150" s="3" t="str">
        <f t="shared" si="1"/>
        <v>Output LTSE0, from Ballast and Voids.</v>
      </c>
    </row>
    <row r="151" spans="1:8" x14ac:dyDescent="0.25">
      <c r="A151" s="3" t="s">
        <v>6983</v>
      </c>
      <c r="B151" s="3" t="s">
        <v>6984</v>
      </c>
      <c r="C151" s="3" t="s">
        <v>6985</v>
      </c>
      <c r="D151" s="3" t="s">
        <v>1117</v>
      </c>
      <c r="E151" s="3">
        <v>150</v>
      </c>
      <c r="F151" s="3" t="s">
        <v>193</v>
      </c>
      <c r="G151" s="3" t="s">
        <v>1093</v>
      </c>
      <c r="H151" s="3" t="str">
        <f t="shared" si="1"/>
        <v>Output SE0-B Level, from Ballast and Voids.</v>
      </c>
    </row>
    <row r="152" spans="1:8" x14ac:dyDescent="0.25">
      <c r="A152" s="3" t="s">
        <v>6983</v>
      </c>
      <c r="B152" s="3" t="s">
        <v>6984</v>
      </c>
      <c r="C152" s="3" t="s">
        <v>6985</v>
      </c>
      <c r="D152" s="3" t="s">
        <v>1117</v>
      </c>
      <c r="E152" s="3">
        <v>151</v>
      </c>
      <c r="F152" s="3" t="s">
        <v>194</v>
      </c>
      <c r="G152" s="3" t="s">
        <v>1093</v>
      </c>
      <c r="H152" s="3" t="str">
        <f t="shared" si="1"/>
        <v>Output SE1-VE Void, from Ballast and Voids.</v>
      </c>
    </row>
    <row r="153" spans="1:8" x14ac:dyDescent="0.25">
      <c r="A153" s="3" t="s">
        <v>6983</v>
      </c>
      <c r="B153" s="3" t="s">
        <v>6984</v>
      </c>
      <c r="C153" s="3" t="s">
        <v>6985</v>
      </c>
      <c r="D153" s="3" t="s">
        <v>1117</v>
      </c>
      <c r="E153" s="3">
        <v>152</v>
      </c>
      <c r="F153" s="3" t="s">
        <v>195</v>
      </c>
      <c r="G153" s="3" t="s">
        <v>1093</v>
      </c>
      <c r="H153" s="3" t="str">
        <f t="shared" si="1"/>
        <v>Output SE1-VN Void, from Ballast and Voids.</v>
      </c>
    </row>
    <row r="154" spans="1:8" x14ac:dyDescent="0.25">
      <c r="A154" s="3" t="s">
        <v>6983</v>
      </c>
      <c r="B154" s="3" t="s">
        <v>6984</v>
      </c>
      <c r="C154" s="3" t="s">
        <v>6985</v>
      </c>
      <c r="D154" s="3" t="s">
        <v>1117</v>
      </c>
      <c r="E154" s="3">
        <v>153</v>
      </c>
      <c r="F154" s="3" t="s">
        <v>196</v>
      </c>
      <c r="G154" s="3" t="s">
        <v>1093</v>
      </c>
      <c r="H154" s="3" t="str">
        <f t="shared" si="1"/>
        <v>Output SE1-VS Void, from Ballast and Voids.</v>
      </c>
    </row>
    <row r="155" spans="1:8" x14ac:dyDescent="0.25">
      <c r="A155" s="3" t="s">
        <v>6983</v>
      </c>
      <c r="B155" s="3" t="s">
        <v>6984</v>
      </c>
      <c r="C155" s="3" t="s">
        <v>6985</v>
      </c>
      <c r="D155" s="3" t="s">
        <v>1117</v>
      </c>
      <c r="E155" s="3">
        <v>154</v>
      </c>
      <c r="F155" s="3" t="s">
        <v>197</v>
      </c>
      <c r="G155" s="3" t="s">
        <v>1093</v>
      </c>
      <c r="H155" s="3" t="str">
        <f t="shared" si="1"/>
        <v>Output SE1-VW Void, from Ballast and Voids.</v>
      </c>
    </row>
    <row r="156" spans="1:8" x14ac:dyDescent="0.25">
      <c r="A156" s="3" t="s">
        <v>6983</v>
      </c>
      <c r="B156" s="3" t="s">
        <v>6984</v>
      </c>
      <c r="C156" s="3" t="s">
        <v>6985</v>
      </c>
      <c r="D156" s="3" t="s">
        <v>1117</v>
      </c>
      <c r="E156" s="3">
        <v>155</v>
      </c>
      <c r="F156" s="3" t="s">
        <v>198</v>
      </c>
      <c r="G156" s="3" t="s">
        <v>1093</v>
      </c>
      <c r="H156" s="3" t="str">
        <f t="shared" si="1"/>
        <v>Output SE2-VE Void, from Ballast and Voids.</v>
      </c>
    </row>
    <row r="157" spans="1:8" x14ac:dyDescent="0.25">
      <c r="A157" s="3" t="s">
        <v>6983</v>
      </c>
      <c r="B157" s="3" t="s">
        <v>6984</v>
      </c>
      <c r="C157" s="3" t="s">
        <v>6985</v>
      </c>
      <c r="D157" s="3" t="s">
        <v>1117</v>
      </c>
      <c r="E157" s="3">
        <v>156</v>
      </c>
      <c r="F157" s="3" t="s">
        <v>199</v>
      </c>
      <c r="G157" s="3" t="s">
        <v>1093</v>
      </c>
      <c r="H157" s="3" t="str">
        <f t="shared" si="1"/>
        <v>Output SE2-VN Void, from Ballast and Voids.</v>
      </c>
    </row>
    <row r="158" spans="1:8" x14ac:dyDescent="0.25">
      <c r="A158" s="3" t="s">
        <v>6983</v>
      </c>
      <c r="B158" s="3" t="s">
        <v>6984</v>
      </c>
      <c r="C158" s="3" t="s">
        <v>6985</v>
      </c>
      <c r="D158" s="3" t="s">
        <v>1117</v>
      </c>
      <c r="E158" s="3">
        <v>157</v>
      </c>
      <c r="F158" s="3" t="s">
        <v>200</v>
      </c>
      <c r="G158" s="3" t="s">
        <v>1093</v>
      </c>
      <c r="H158" s="3" t="str">
        <f t="shared" si="1"/>
        <v>Output SE2-VS Void, from Ballast and Voids.</v>
      </c>
    </row>
    <row r="159" spans="1:8" x14ac:dyDescent="0.25">
      <c r="A159" s="3" t="s">
        <v>6983</v>
      </c>
      <c r="B159" s="3" t="s">
        <v>6984</v>
      </c>
      <c r="C159" s="3" t="s">
        <v>6985</v>
      </c>
      <c r="D159" s="3" t="s">
        <v>1117</v>
      </c>
      <c r="E159" s="3">
        <v>158</v>
      </c>
      <c r="F159" s="3" t="s">
        <v>201</v>
      </c>
      <c r="G159" s="3" t="s">
        <v>1093</v>
      </c>
      <c r="H159" s="3" t="str">
        <f t="shared" si="1"/>
        <v>Output SE2-VW Void, from Ballast and Voids.</v>
      </c>
    </row>
    <row r="160" spans="1:8" x14ac:dyDescent="0.25">
      <c r="A160" s="3" t="s">
        <v>6983</v>
      </c>
      <c r="B160" s="3" t="s">
        <v>6984</v>
      </c>
      <c r="C160" s="3" t="s">
        <v>6985</v>
      </c>
      <c r="D160" s="3" t="s">
        <v>1117</v>
      </c>
      <c r="E160" s="3">
        <v>159</v>
      </c>
      <c r="F160" s="3" t="s">
        <v>202</v>
      </c>
      <c r="G160" s="3" t="s">
        <v>1093</v>
      </c>
      <c r="H160" s="3" t="str">
        <f t="shared" si="1"/>
        <v>Output LTSE3CSE, from Ballast and Voids.</v>
      </c>
    </row>
    <row r="161" spans="1:8" x14ac:dyDescent="0.25">
      <c r="A161" s="3" t="s">
        <v>6983</v>
      </c>
      <c r="B161" s="3" t="s">
        <v>6984</v>
      </c>
      <c r="C161" s="3" t="s">
        <v>6985</v>
      </c>
      <c r="D161" s="3" t="s">
        <v>1117</v>
      </c>
      <c r="E161" s="3">
        <v>160</v>
      </c>
      <c r="F161" s="3" t="s">
        <v>203</v>
      </c>
      <c r="G161" s="3" t="s">
        <v>1093</v>
      </c>
      <c r="H161" s="3" t="str">
        <f t="shared" si="1"/>
        <v>Output SE3-V Void, from Ballast and Voids.</v>
      </c>
    </row>
    <row r="162" spans="1:8" x14ac:dyDescent="0.25">
      <c r="A162" s="3" t="s">
        <v>6983</v>
      </c>
      <c r="B162" s="3" t="s">
        <v>6984</v>
      </c>
      <c r="C162" s="3" t="s">
        <v>6985</v>
      </c>
      <c r="D162" s="3" t="s">
        <v>1117</v>
      </c>
      <c r="E162" s="3">
        <v>161</v>
      </c>
      <c r="F162" s="3" t="s">
        <v>204</v>
      </c>
      <c r="G162" s="3" t="s">
        <v>1093</v>
      </c>
      <c r="H162" s="3" t="str">
        <f t="shared" si="1"/>
        <v>Output SPE-BN Level, from Ballast and Voids.</v>
      </c>
    </row>
    <row r="163" spans="1:8" x14ac:dyDescent="0.25">
      <c r="A163" s="3" t="s">
        <v>6983</v>
      </c>
      <c r="B163" s="3" t="s">
        <v>6984</v>
      </c>
      <c r="C163" s="3" t="s">
        <v>6985</v>
      </c>
      <c r="D163" s="3" t="s">
        <v>1117</v>
      </c>
      <c r="E163" s="3">
        <v>162</v>
      </c>
      <c r="F163" s="3" t="s">
        <v>205</v>
      </c>
      <c r="G163" s="3" t="s">
        <v>1093</v>
      </c>
      <c r="H163" s="3" t="str">
        <f t="shared" si="1"/>
        <v>Output SPE-BS Level, from Ballast and Voids.</v>
      </c>
    </row>
    <row r="164" spans="1:8" x14ac:dyDescent="0.25">
      <c r="A164" s="3" t="s">
        <v>6983</v>
      </c>
      <c r="B164" s="3" t="s">
        <v>6984</v>
      </c>
      <c r="C164" s="3" t="s">
        <v>6985</v>
      </c>
      <c r="D164" s="3" t="s">
        <v>1117</v>
      </c>
      <c r="E164" s="3">
        <v>163</v>
      </c>
      <c r="F164" s="3" t="s">
        <v>206</v>
      </c>
      <c r="G164" s="3" t="s">
        <v>1093</v>
      </c>
      <c r="H164" s="3" t="str">
        <f t="shared" si="1"/>
        <v>Output SPW-BN Level, from Ballast and Voids.</v>
      </c>
    </row>
    <row r="165" spans="1:8" x14ac:dyDescent="0.25">
      <c r="A165" s="3" t="s">
        <v>6983</v>
      </c>
      <c r="B165" s="3" t="s">
        <v>6984</v>
      </c>
      <c r="C165" s="3" t="s">
        <v>6985</v>
      </c>
      <c r="D165" s="3" t="s">
        <v>1117</v>
      </c>
      <c r="E165" s="3">
        <v>164</v>
      </c>
      <c r="F165" s="3" t="s">
        <v>207</v>
      </c>
      <c r="G165" s="3" t="s">
        <v>1093</v>
      </c>
      <c r="H165" s="3" t="str">
        <f t="shared" si="1"/>
        <v>Output SPW-BS Level, from Ballast and Voids.</v>
      </c>
    </row>
    <row r="166" spans="1:8" x14ac:dyDescent="0.25">
      <c r="A166" s="3" t="s">
        <v>6983</v>
      </c>
      <c r="B166" s="3" t="s">
        <v>6984</v>
      </c>
      <c r="C166" s="3" t="s">
        <v>6985</v>
      </c>
      <c r="D166" s="3" t="s">
        <v>1117</v>
      </c>
      <c r="E166" s="3">
        <v>165</v>
      </c>
      <c r="F166" s="3" t="s">
        <v>208</v>
      </c>
      <c r="G166" s="3" t="s">
        <v>1093</v>
      </c>
      <c r="H166" s="3" t="str">
        <f t="shared" si="1"/>
        <v>Output LTSW0, from Ballast and Voids.</v>
      </c>
    </row>
    <row r="167" spans="1:8" x14ac:dyDescent="0.25">
      <c r="A167" s="3" t="s">
        <v>6983</v>
      </c>
      <c r="B167" s="3" t="s">
        <v>6984</v>
      </c>
      <c r="C167" s="3" t="s">
        <v>6985</v>
      </c>
      <c r="D167" s="3" t="s">
        <v>1117</v>
      </c>
      <c r="E167" s="3">
        <v>166</v>
      </c>
      <c r="F167" s="3" t="s">
        <v>209</v>
      </c>
      <c r="G167" s="3" t="s">
        <v>1093</v>
      </c>
      <c r="H167" s="3" t="str">
        <f t="shared" si="1"/>
        <v>Output SW0-B Level, from Ballast and Voids.</v>
      </c>
    </row>
    <row r="168" spans="1:8" x14ac:dyDescent="0.25">
      <c r="A168" s="3" t="s">
        <v>6983</v>
      </c>
      <c r="B168" s="3" t="s">
        <v>6984</v>
      </c>
      <c r="C168" s="3" t="s">
        <v>6985</v>
      </c>
      <c r="D168" s="3" t="s">
        <v>1117</v>
      </c>
      <c r="E168" s="3">
        <v>167</v>
      </c>
      <c r="F168" s="3" t="s">
        <v>210</v>
      </c>
      <c r="G168" s="3" t="s">
        <v>1093</v>
      </c>
      <c r="H168" s="3" t="str">
        <f t="shared" si="1"/>
        <v>Output SW1-VE Void, from Ballast and Voids.</v>
      </c>
    </row>
    <row r="169" spans="1:8" x14ac:dyDescent="0.25">
      <c r="A169" s="3" t="s">
        <v>6983</v>
      </c>
      <c r="B169" s="3" t="s">
        <v>6984</v>
      </c>
      <c r="C169" s="3" t="s">
        <v>6985</v>
      </c>
      <c r="D169" s="3" t="s">
        <v>1117</v>
      </c>
      <c r="E169" s="3">
        <v>168</v>
      </c>
      <c r="F169" s="3" t="s">
        <v>211</v>
      </c>
      <c r="G169" s="3" t="s">
        <v>1093</v>
      </c>
      <c r="H169" s="3" t="str">
        <f t="shared" si="1"/>
        <v>Output SW1-VN Void, from Ballast and Voids.</v>
      </c>
    </row>
    <row r="170" spans="1:8" x14ac:dyDescent="0.25">
      <c r="A170" s="3" t="s">
        <v>6983</v>
      </c>
      <c r="B170" s="3" t="s">
        <v>6984</v>
      </c>
      <c r="C170" s="3" t="s">
        <v>6985</v>
      </c>
      <c r="D170" s="3" t="s">
        <v>1117</v>
      </c>
      <c r="E170" s="3">
        <v>169</v>
      </c>
      <c r="F170" s="3" t="s">
        <v>212</v>
      </c>
      <c r="G170" s="3" t="s">
        <v>1093</v>
      </c>
      <c r="H170" s="3" t="str">
        <f t="shared" si="1"/>
        <v>Output SW1-VS Void, from Ballast and Voids.</v>
      </c>
    </row>
    <row r="171" spans="1:8" x14ac:dyDescent="0.25">
      <c r="A171" s="3" t="s">
        <v>6983</v>
      </c>
      <c r="B171" s="3" t="s">
        <v>6984</v>
      </c>
      <c r="C171" s="3" t="s">
        <v>6985</v>
      </c>
      <c r="D171" s="3" t="s">
        <v>1117</v>
      </c>
      <c r="E171" s="3">
        <v>170</v>
      </c>
      <c r="F171" s="3" t="s">
        <v>213</v>
      </c>
      <c r="G171" s="3" t="s">
        <v>1093</v>
      </c>
      <c r="H171" s="3" t="str">
        <f t="shared" si="1"/>
        <v>Output SW1-VW Void, from Ballast and Voids.</v>
      </c>
    </row>
    <row r="172" spans="1:8" x14ac:dyDescent="0.25">
      <c r="A172" s="3" t="s">
        <v>6983</v>
      </c>
      <c r="B172" s="3" t="s">
        <v>6984</v>
      </c>
      <c r="C172" s="3" t="s">
        <v>6985</v>
      </c>
      <c r="D172" s="3" t="s">
        <v>1117</v>
      </c>
      <c r="E172" s="3">
        <v>171</v>
      </c>
      <c r="F172" s="3" t="s">
        <v>214</v>
      </c>
      <c r="G172" s="3" t="s">
        <v>1093</v>
      </c>
      <c r="H172" s="3" t="str">
        <f t="shared" si="1"/>
        <v>Output SW2-VE Void, from Ballast and Voids.</v>
      </c>
    </row>
    <row r="173" spans="1:8" x14ac:dyDescent="0.25">
      <c r="A173" s="3" t="s">
        <v>6983</v>
      </c>
      <c r="B173" s="3" t="s">
        <v>6984</v>
      </c>
      <c r="C173" s="3" t="s">
        <v>6985</v>
      </c>
      <c r="D173" s="3" t="s">
        <v>1117</v>
      </c>
      <c r="E173" s="3">
        <v>172</v>
      </c>
      <c r="F173" s="3" t="s">
        <v>215</v>
      </c>
      <c r="G173" s="3" t="s">
        <v>1093</v>
      </c>
      <c r="H173" s="3" t="str">
        <f t="shared" si="1"/>
        <v>Output SW2-VN Void, from Ballast and Voids.</v>
      </c>
    </row>
    <row r="174" spans="1:8" x14ac:dyDescent="0.25">
      <c r="A174" s="3" t="s">
        <v>6983</v>
      </c>
      <c r="B174" s="3" t="s">
        <v>6984</v>
      </c>
      <c r="C174" s="3" t="s">
        <v>6985</v>
      </c>
      <c r="D174" s="3" t="s">
        <v>1117</v>
      </c>
      <c r="E174" s="3">
        <v>173</v>
      </c>
      <c r="F174" s="3" t="s">
        <v>216</v>
      </c>
      <c r="G174" s="3" t="s">
        <v>1093</v>
      </c>
      <c r="H174" s="3" t="str">
        <f t="shared" si="1"/>
        <v>Output SW2-VS Void, from Ballast and Voids.</v>
      </c>
    </row>
    <row r="175" spans="1:8" x14ac:dyDescent="0.25">
      <c r="A175" s="3" t="s">
        <v>6983</v>
      </c>
      <c r="B175" s="3" t="s">
        <v>6984</v>
      </c>
      <c r="C175" s="3" t="s">
        <v>6985</v>
      </c>
      <c r="D175" s="3" t="s">
        <v>1117</v>
      </c>
      <c r="E175" s="3">
        <v>174</v>
      </c>
      <c r="F175" s="3" t="s">
        <v>217</v>
      </c>
      <c r="G175" s="3" t="s">
        <v>1093</v>
      </c>
      <c r="H175" s="3" t="str">
        <f t="shared" si="1"/>
        <v>Output SW2-VW Void, from Ballast and Voids.</v>
      </c>
    </row>
    <row r="176" spans="1:8" x14ac:dyDescent="0.25">
      <c r="A176" s="3" t="s">
        <v>6983</v>
      </c>
      <c r="B176" s="3" t="s">
        <v>6984</v>
      </c>
      <c r="C176" s="3" t="s">
        <v>6985</v>
      </c>
      <c r="D176" s="3" t="s">
        <v>1117</v>
      </c>
      <c r="E176" s="3">
        <v>175</v>
      </c>
      <c r="F176" s="3" t="s">
        <v>218</v>
      </c>
      <c r="G176" s="3" t="s">
        <v>1093</v>
      </c>
      <c r="H176" s="3" t="str">
        <f t="shared" si="1"/>
        <v>Output LTSW3CSW, from Ballast and Voids.</v>
      </c>
    </row>
    <row r="177" spans="1:11" x14ac:dyDescent="0.25">
      <c r="A177" s="3" t="s">
        <v>6983</v>
      </c>
      <c r="B177" s="3" t="s">
        <v>6984</v>
      </c>
      <c r="C177" s="3" t="s">
        <v>6985</v>
      </c>
      <c r="D177" s="3" t="s">
        <v>1117</v>
      </c>
      <c r="E177" s="3">
        <v>176</v>
      </c>
      <c r="F177" s="3" t="s">
        <v>219</v>
      </c>
      <c r="G177" s="3" t="s">
        <v>1093</v>
      </c>
      <c r="H177" s="3" t="str">
        <f t="shared" si="1"/>
        <v>Output SW3-V Void, from Ballast and Voids.</v>
      </c>
    </row>
    <row r="178" spans="1:11" x14ac:dyDescent="0.25">
      <c r="A178" s="3" t="s">
        <v>6983</v>
      </c>
      <c r="B178" s="3" t="s">
        <v>6984</v>
      </c>
      <c r="C178" s="3" t="s">
        <v>6985</v>
      </c>
      <c r="D178" s="3" t="s">
        <v>1117</v>
      </c>
      <c r="E178" s="3">
        <v>177</v>
      </c>
      <c r="F178" s="3" t="s">
        <v>220</v>
      </c>
      <c r="G178" s="3" t="s">
        <v>1093</v>
      </c>
      <c r="H178" s="3" t="str">
        <f t="shared" si="1"/>
        <v>Output WPN-BE Level, from Ballast and Voids.</v>
      </c>
    </row>
    <row r="179" spans="1:11" x14ac:dyDescent="0.25">
      <c r="A179" s="3" t="s">
        <v>6983</v>
      </c>
      <c r="B179" s="3" t="s">
        <v>6984</v>
      </c>
      <c r="C179" s="3" t="s">
        <v>6985</v>
      </c>
      <c r="D179" s="3" t="s">
        <v>1117</v>
      </c>
      <c r="E179" s="3">
        <v>178</v>
      </c>
      <c r="F179" s="3" t="s">
        <v>221</v>
      </c>
      <c r="G179" s="3" t="s">
        <v>1093</v>
      </c>
      <c r="H179" s="3" t="str">
        <f t="shared" si="1"/>
        <v>Output WPN-BW Level, from Ballast and Voids.</v>
      </c>
    </row>
    <row r="180" spans="1:11" x14ac:dyDescent="0.25">
      <c r="A180" s="3" t="s">
        <v>6983</v>
      </c>
      <c r="B180" s="3" t="s">
        <v>6984</v>
      </c>
      <c r="C180" s="3" t="s">
        <v>6985</v>
      </c>
      <c r="D180" s="3" t="s">
        <v>1117</v>
      </c>
      <c r="E180" s="3">
        <v>179</v>
      </c>
      <c r="F180" s="3" t="s">
        <v>222</v>
      </c>
      <c r="G180" s="3" t="s">
        <v>1093</v>
      </c>
      <c r="H180" s="3" t="str">
        <f t="shared" si="1"/>
        <v>Output WPS-BE Level, from Ballast and Voids.</v>
      </c>
    </row>
    <row r="181" spans="1:11" x14ac:dyDescent="0.25">
      <c r="A181" s="3" t="s">
        <v>6983</v>
      </c>
      <c r="B181" s="3" t="s">
        <v>6984</v>
      </c>
      <c r="C181" s="3" t="s">
        <v>6985</v>
      </c>
      <c r="D181" s="3" t="s">
        <v>1117</v>
      </c>
      <c r="E181" s="3">
        <v>180</v>
      </c>
      <c r="F181" s="3" t="s">
        <v>223</v>
      </c>
      <c r="G181" s="3" t="s">
        <v>1093</v>
      </c>
      <c r="H181" s="3" t="str">
        <f t="shared" si="1"/>
        <v>Output WPS-BW Level, from Ballast and Voids.</v>
      </c>
    </row>
    <row r="182" spans="1:11" x14ac:dyDescent="0.25">
      <c r="A182" s="3" t="s">
        <v>6983</v>
      </c>
      <c r="B182" s="3" t="s">
        <v>6984</v>
      </c>
      <c r="C182" s="3" t="s">
        <v>6985</v>
      </c>
      <c r="D182" s="3" t="s">
        <v>1117</v>
      </c>
      <c r="E182" s="3">
        <v>181</v>
      </c>
      <c r="F182" s="3" t="s">
        <v>224</v>
      </c>
      <c r="G182" s="3" t="s">
        <v>31</v>
      </c>
      <c r="H182" s="3" t="s">
        <v>6964</v>
      </c>
    </row>
    <row r="183" spans="1:11" x14ac:dyDescent="0.25">
      <c r="A183" s="3" t="s">
        <v>6983</v>
      </c>
      <c r="B183" s="3" t="s">
        <v>6984</v>
      </c>
      <c r="C183" s="3" t="s">
        <v>6985</v>
      </c>
      <c r="D183" s="3" t="s">
        <v>1118</v>
      </c>
      <c r="E183" s="3">
        <v>182</v>
      </c>
      <c r="F183" s="3" t="s">
        <v>225</v>
      </c>
      <c r="G183" s="3" t="s">
        <v>13</v>
      </c>
      <c r="H183" s="3" t="s">
        <v>6977</v>
      </c>
    </row>
    <row r="184" spans="1:11" x14ac:dyDescent="0.25">
      <c r="A184" s="3" t="s">
        <v>6983</v>
      </c>
      <c r="B184" s="3" t="s">
        <v>6984</v>
      </c>
      <c r="C184" s="3" t="s">
        <v>6985</v>
      </c>
      <c r="D184" s="3" t="s">
        <v>1118</v>
      </c>
      <c r="E184" s="3">
        <v>183</v>
      </c>
      <c r="F184" s="3" t="s">
        <v>226</v>
      </c>
      <c r="G184" s="3" t="s">
        <v>9</v>
      </c>
      <c r="H184" s="4" t="s">
        <v>7030</v>
      </c>
    </row>
    <row r="185" spans="1:11" x14ac:dyDescent="0.25">
      <c r="A185" s="3" t="s">
        <v>6983</v>
      </c>
      <c r="B185" s="3" t="s">
        <v>6984</v>
      </c>
      <c r="C185" s="3" t="s">
        <v>6985</v>
      </c>
      <c r="D185" s="3" t="s">
        <v>1118</v>
      </c>
      <c r="E185" s="3">
        <v>184</v>
      </c>
      <c r="F185" s="3" t="s">
        <v>227</v>
      </c>
      <c r="G185" s="3" t="s">
        <v>1095</v>
      </c>
      <c r="H185" s="3" t="s">
        <v>6976</v>
      </c>
    </row>
    <row r="186" spans="1:11" x14ac:dyDescent="0.25">
      <c r="A186" s="3" t="s">
        <v>6983</v>
      </c>
      <c r="B186" s="3" t="s">
        <v>6984</v>
      </c>
      <c r="C186" s="3" t="s">
        <v>6985</v>
      </c>
      <c r="D186" s="3" t="s">
        <v>1119</v>
      </c>
      <c r="E186" s="3">
        <v>185</v>
      </c>
      <c r="F186" s="3" t="s">
        <v>228</v>
      </c>
      <c r="G186" s="3" t="s">
        <v>1095</v>
      </c>
      <c r="H186" s="3" t="s">
        <v>6976</v>
      </c>
    </row>
    <row r="187" spans="1:11" x14ac:dyDescent="0.25">
      <c r="A187" s="3" t="s">
        <v>6983</v>
      </c>
      <c r="B187" s="3" t="s">
        <v>6984</v>
      </c>
      <c r="C187" s="3" t="s">
        <v>6985</v>
      </c>
      <c r="D187" s="3" t="s">
        <v>1119</v>
      </c>
      <c r="E187" s="3">
        <v>186</v>
      </c>
      <c r="F187" s="3" t="s">
        <v>229</v>
      </c>
      <c r="G187" s="3" t="s">
        <v>13</v>
      </c>
      <c r="H187" s="4" t="s">
        <v>6974</v>
      </c>
    </row>
    <row r="188" spans="1:11" x14ac:dyDescent="0.25">
      <c r="A188" s="3" t="s">
        <v>6983</v>
      </c>
      <c r="B188" s="3" t="s">
        <v>6984</v>
      </c>
      <c r="C188" s="3" t="s">
        <v>6985</v>
      </c>
      <c r="D188" s="3" t="s">
        <v>1119</v>
      </c>
      <c r="E188" s="3">
        <v>187</v>
      </c>
      <c r="F188" s="3" t="s">
        <v>230</v>
      </c>
      <c r="G188" s="3" t="s">
        <v>9</v>
      </c>
      <c r="H188" s="4" t="s">
        <v>6975</v>
      </c>
    </row>
    <row r="189" spans="1:11" x14ac:dyDescent="0.25">
      <c r="A189" s="3" t="s">
        <v>6983</v>
      </c>
      <c r="B189" s="3" t="s">
        <v>6984</v>
      </c>
      <c r="C189" s="3" t="s">
        <v>6985</v>
      </c>
      <c r="D189" s="3" t="s">
        <v>1120</v>
      </c>
      <c r="E189" s="3">
        <v>188</v>
      </c>
      <c r="F189" s="3" t="s">
        <v>231</v>
      </c>
      <c r="G189" s="3" t="s">
        <v>31</v>
      </c>
      <c r="H189" s="3" t="s">
        <v>6961</v>
      </c>
    </row>
    <row r="190" spans="1:11" x14ac:dyDescent="0.25">
      <c r="A190" s="3" t="s">
        <v>6983</v>
      </c>
      <c r="B190" s="3" t="s">
        <v>6984</v>
      </c>
      <c r="C190" s="3" t="s">
        <v>6985</v>
      </c>
      <c r="D190" s="3" t="s">
        <v>1120</v>
      </c>
      <c r="E190" s="3">
        <v>189</v>
      </c>
      <c r="F190" s="3" t="s">
        <v>232</v>
      </c>
      <c r="G190" s="3" t="s">
        <v>20</v>
      </c>
      <c r="H190" s="3" t="s">
        <v>6957</v>
      </c>
    </row>
    <row r="191" spans="1:11" x14ac:dyDescent="0.25">
      <c r="A191" s="3" t="s">
        <v>6983</v>
      </c>
      <c r="B191" s="3" t="s">
        <v>6984</v>
      </c>
      <c r="C191" s="3" t="s">
        <v>6985</v>
      </c>
      <c r="D191" s="3" t="s">
        <v>1120</v>
      </c>
      <c r="E191" s="3">
        <v>190</v>
      </c>
      <c r="F191" s="3" t="s">
        <v>233</v>
      </c>
      <c r="G191" s="3" t="s">
        <v>1100</v>
      </c>
      <c r="H191" s="3" t="s">
        <v>1298</v>
      </c>
      <c r="K191" s="3" t="s">
        <v>1302</v>
      </c>
    </row>
    <row r="192" spans="1:11" x14ac:dyDescent="0.25">
      <c r="A192" s="3" t="s">
        <v>6983</v>
      </c>
      <c r="B192" s="3" t="s">
        <v>6984</v>
      </c>
      <c r="C192" s="3" t="s">
        <v>6985</v>
      </c>
      <c r="D192" s="3" t="s">
        <v>1120</v>
      </c>
      <c r="E192" s="3">
        <v>191</v>
      </c>
      <c r="F192" s="3" t="s">
        <v>234</v>
      </c>
      <c r="G192" s="3" t="s">
        <v>1093</v>
      </c>
      <c r="H192" s="3" t="s">
        <v>1299</v>
      </c>
    </row>
    <row r="193" spans="1:8" x14ac:dyDescent="0.25">
      <c r="A193" s="3" t="s">
        <v>6983</v>
      </c>
      <c r="B193" s="3" t="s">
        <v>6984</v>
      </c>
      <c r="C193" s="3" t="s">
        <v>6985</v>
      </c>
      <c r="D193" s="3" t="s">
        <v>1120</v>
      </c>
      <c r="E193" s="3">
        <v>192</v>
      </c>
      <c r="F193" s="3" t="s">
        <v>235</v>
      </c>
      <c r="G193" s="3" t="s">
        <v>1093</v>
      </c>
      <c r="H193" s="3" t="s">
        <v>1300</v>
      </c>
    </row>
    <row r="194" spans="1:8" x14ac:dyDescent="0.25">
      <c r="A194" s="3" t="s">
        <v>6983</v>
      </c>
      <c r="B194" s="3" t="s">
        <v>6984</v>
      </c>
      <c r="C194" s="3" t="s">
        <v>6985</v>
      </c>
      <c r="D194" s="3" t="s">
        <v>1120</v>
      </c>
      <c r="E194" s="3">
        <v>193</v>
      </c>
      <c r="F194" s="3" t="s">
        <v>236</v>
      </c>
      <c r="G194" s="3" t="s">
        <v>1093</v>
      </c>
      <c r="H194" s="3" t="s">
        <v>1301</v>
      </c>
    </row>
    <row r="195" spans="1:8" x14ac:dyDescent="0.25">
      <c r="A195" s="3" t="s">
        <v>6983</v>
      </c>
      <c r="B195" s="3" t="s">
        <v>6984</v>
      </c>
      <c r="C195" s="3" t="s">
        <v>6985</v>
      </c>
      <c r="D195" s="3" t="s">
        <v>1120</v>
      </c>
      <c r="E195" s="3">
        <v>194</v>
      </c>
      <c r="F195" s="3" t="s">
        <v>237</v>
      </c>
      <c r="G195" s="3" t="s">
        <v>1093</v>
      </c>
      <c r="H195" s="3" t="str">
        <f>_xlfn.CONCAT("Output ",F195, ", from Ballast Tanks Advisor Level.")</f>
        <v>Output NPW-BN Advisor Level, from Ballast Tanks Advisor Level.</v>
      </c>
    </row>
    <row r="196" spans="1:8" x14ac:dyDescent="0.25">
      <c r="A196" s="3" t="s">
        <v>6983</v>
      </c>
      <c r="B196" s="3" t="s">
        <v>6984</v>
      </c>
      <c r="C196" s="3" t="s">
        <v>6985</v>
      </c>
      <c r="D196" s="3" t="s">
        <v>1120</v>
      </c>
      <c r="E196" s="3">
        <v>195</v>
      </c>
      <c r="F196" s="3" t="s">
        <v>238</v>
      </c>
      <c r="G196" s="3" t="s">
        <v>1093</v>
      </c>
      <c r="H196" s="3" t="str">
        <f t="shared" ref="H196:H214" si="2">_xlfn.CONCAT("Output ",F196, ", from Ballast Tanks Advisor Level.")</f>
        <v>Output NPW-BS Advisor Level, from Ballast Tanks Advisor Level.</v>
      </c>
    </row>
    <row r="197" spans="1:8" x14ac:dyDescent="0.25">
      <c r="A197" s="3" t="s">
        <v>6983</v>
      </c>
      <c r="B197" s="3" t="s">
        <v>6984</v>
      </c>
      <c r="C197" s="3" t="s">
        <v>6985</v>
      </c>
      <c r="D197" s="3" t="s">
        <v>1120</v>
      </c>
      <c r="E197" s="3">
        <v>196</v>
      </c>
      <c r="F197" s="3" t="s">
        <v>239</v>
      </c>
      <c r="G197" s="3" t="s">
        <v>1093</v>
      </c>
      <c r="H197" s="3" t="str">
        <f t="shared" si="2"/>
        <v>Output NPE-BN Advisor Level, from Ballast Tanks Advisor Level.</v>
      </c>
    </row>
    <row r="198" spans="1:8" x14ac:dyDescent="0.25">
      <c r="A198" s="3" t="s">
        <v>6983</v>
      </c>
      <c r="B198" s="3" t="s">
        <v>6984</v>
      </c>
      <c r="C198" s="3" t="s">
        <v>6985</v>
      </c>
      <c r="D198" s="3" t="s">
        <v>1120</v>
      </c>
      <c r="E198" s="3">
        <v>197</v>
      </c>
      <c r="F198" s="3" t="s">
        <v>240</v>
      </c>
      <c r="G198" s="3" t="s">
        <v>1093</v>
      </c>
      <c r="H198" s="3" t="str">
        <f t="shared" si="2"/>
        <v>Output NPE-BS Advisor Level, from Ballast Tanks Advisor Level.</v>
      </c>
    </row>
    <row r="199" spans="1:8" x14ac:dyDescent="0.25">
      <c r="A199" s="3" t="s">
        <v>6983</v>
      </c>
      <c r="B199" s="3" t="s">
        <v>6984</v>
      </c>
      <c r="C199" s="3" t="s">
        <v>6985</v>
      </c>
      <c r="D199" s="3" t="s">
        <v>1120</v>
      </c>
      <c r="E199" s="3">
        <v>198</v>
      </c>
      <c r="F199" s="3" t="s">
        <v>241</v>
      </c>
      <c r="G199" s="3" t="s">
        <v>1093</v>
      </c>
      <c r="H199" s="3" t="str">
        <f t="shared" si="2"/>
        <v>Output EPN-BW Advisor Level, from Ballast Tanks Advisor Level.</v>
      </c>
    </row>
    <row r="200" spans="1:8" x14ac:dyDescent="0.25">
      <c r="A200" s="3" t="s">
        <v>6983</v>
      </c>
      <c r="B200" s="3" t="s">
        <v>6984</v>
      </c>
      <c r="C200" s="3" t="s">
        <v>6985</v>
      </c>
      <c r="D200" s="3" t="s">
        <v>1120</v>
      </c>
      <c r="E200" s="3">
        <v>199</v>
      </c>
      <c r="F200" s="3" t="s">
        <v>242</v>
      </c>
      <c r="G200" s="3" t="s">
        <v>1093</v>
      </c>
      <c r="H200" s="3" t="str">
        <f t="shared" si="2"/>
        <v>Output EPN-BE Advisor Level, from Ballast Tanks Advisor Level.</v>
      </c>
    </row>
    <row r="201" spans="1:8" x14ac:dyDescent="0.25">
      <c r="A201" s="3" t="s">
        <v>6983</v>
      </c>
      <c r="B201" s="3" t="s">
        <v>6984</v>
      </c>
      <c r="C201" s="3" t="s">
        <v>6985</v>
      </c>
      <c r="D201" s="3" t="s">
        <v>1120</v>
      </c>
      <c r="E201" s="3">
        <v>200</v>
      </c>
      <c r="F201" s="3" t="s">
        <v>243</v>
      </c>
      <c r="G201" s="3" t="s">
        <v>1093</v>
      </c>
      <c r="H201" s="3" t="str">
        <f t="shared" si="2"/>
        <v>Output EPS-BW Advisor Level, from Ballast Tanks Advisor Level.</v>
      </c>
    </row>
    <row r="202" spans="1:8" x14ac:dyDescent="0.25">
      <c r="A202" s="3" t="s">
        <v>6983</v>
      </c>
      <c r="B202" s="3" t="s">
        <v>6984</v>
      </c>
      <c r="C202" s="3" t="s">
        <v>6985</v>
      </c>
      <c r="D202" s="3" t="s">
        <v>1120</v>
      </c>
      <c r="E202" s="3">
        <v>201</v>
      </c>
      <c r="F202" s="3" t="s">
        <v>244</v>
      </c>
      <c r="G202" s="3" t="s">
        <v>1093</v>
      </c>
      <c r="H202" s="3" t="str">
        <f t="shared" si="2"/>
        <v>Output EPS-BE Advisor Level, from Ballast Tanks Advisor Level.</v>
      </c>
    </row>
    <row r="203" spans="1:8" x14ac:dyDescent="0.25">
      <c r="A203" s="3" t="s">
        <v>6983</v>
      </c>
      <c r="B203" s="3" t="s">
        <v>6984</v>
      </c>
      <c r="C203" s="3" t="s">
        <v>6985</v>
      </c>
      <c r="D203" s="3" t="s">
        <v>1120</v>
      </c>
      <c r="E203" s="3">
        <v>202</v>
      </c>
      <c r="F203" s="3" t="s">
        <v>245</v>
      </c>
      <c r="G203" s="3" t="s">
        <v>1093</v>
      </c>
      <c r="H203" s="3" t="str">
        <f t="shared" si="2"/>
        <v>Output NW0-B Advisor Level, from Ballast Tanks Advisor Level.</v>
      </c>
    </row>
    <row r="204" spans="1:8" x14ac:dyDescent="0.25">
      <c r="A204" s="3" t="s">
        <v>6983</v>
      </c>
      <c r="B204" s="3" t="s">
        <v>6984</v>
      </c>
      <c r="C204" s="3" t="s">
        <v>6985</v>
      </c>
      <c r="D204" s="3" t="s">
        <v>1120</v>
      </c>
      <c r="E204" s="3">
        <v>203</v>
      </c>
      <c r="F204" s="3" t="s">
        <v>246</v>
      </c>
      <c r="G204" s="3" t="s">
        <v>1093</v>
      </c>
      <c r="H204" s="3" t="str">
        <f t="shared" si="2"/>
        <v>Output NE0-B Advisor Level, from Ballast Tanks Advisor Level.</v>
      </c>
    </row>
    <row r="205" spans="1:8" x14ac:dyDescent="0.25">
      <c r="A205" s="3" t="s">
        <v>6983</v>
      </c>
      <c r="B205" s="3" t="s">
        <v>6984</v>
      </c>
      <c r="C205" s="3" t="s">
        <v>6985</v>
      </c>
      <c r="D205" s="3" t="s">
        <v>1120</v>
      </c>
      <c r="E205" s="3">
        <v>204</v>
      </c>
      <c r="F205" s="3" t="s">
        <v>247</v>
      </c>
      <c r="G205" s="3" t="s">
        <v>1093</v>
      </c>
      <c r="H205" s="3" t="str">
        <f t="shared" si="2"/>
        <v>Output SPE-BN Advisor Level, from Ballast Tanks Advisor Level.</v>
      </c>
    </row>
    <row r="206" spans="1:8" x14ac:dyDescent="0.25">
      <c r="A206" s="3" t="s">
        <v>6983</v>
      </c>
      <c r="B206" s="3" t="s">
        <v>6984</v>
      </c>
      <c r="C206" s="3" t="s">
        <v>6985</v>
      </c>
      <c r="D206" s="3" t="s">
        <v>1120</v>
      </c>
      <c r="E206" s="3">
        <v>205</v>
      </c>
      <c r="F206" s="3" t="s">
        <v>248</v>
      </c>
      <c r="G206" s="3" t="s">
        <v>1093</v>
      </c>
      <c r="H206" s="3" t="str">
        <f t="shared" si="2"/>
        <v>Output SPE-BS Advisor Level, from Ballast Tanks Advisor Level.</v>
      </c>
    </row>
    <row r="207" spans="1:8" x14ac:dyDescent="0.25">
      <c r="A207" s="3" t="s">
        <v>6983</v>
      </c>
      <c r="B207" s="3" t="s">
        <v>6984</v>
      </c>
      <c r="C207" s="3" t="s">
        <v>6985</v>
      </c>
      <c r="D207" s="3" t="s">
        <v>1120</v>
      </c>
      <c r="E207" s="3">
        <v>206</v>
      </c>
      <c r="F207" s="3" t="s">
        <v>249</v>
      </c>
      <c r="G207" s="3" t="s">
        <v>1093</v>
      </c>
      <c r="H207" s="3" t="str">
        <f t="shared" si="2"/>
        <v>Output SPW-BN Advisor Level, from Ballast Tanks Advisor Level.</v>
      </c>
    </row>
    <row r="208" spans="1:8" x14ac:dyDescent="0.25">
      <c r="A208" s="3" t="s">
        <v>6983</v>
      </c>
      <c r="B208" s="3" t="s">
        <v>6984</v>
      </c>
      <c r="C208" s="3" t="s">
        <v>6985</v>
      </c>
      <c r="D208" s="3" t="s">
        <v>1120</v>
      </c>
      <c r="E208" s="3">
        <v>207</v>
      </c>
      <c r="F208" s="3" t="s">
        <v>250</v>
      </c>
      <c r="G208" s="3" t="s">
        <v>1093</v>
      </c>
      <c r="H208" s="3" t="str">
        <f t="shared" si="2"/>
        <v>Output SPW-BS Advisor Level, from Ballast Tanks Advisor Level.</v>
      </c>
    </row>
    <row r="209" spans="1:11" x14ac:dyDescent="0.25">
      <c r="A209" s="3" t="s">
        <v>6983</v>
      </c>
      <c r="B209" s="3" t="s">
        <v>6984</v>
      </c>
      <c r="C209" s="3" t="s">
        <v>6985</v>
      </c>
      <c r="D209" s="3" t="s">
        <v>1120</v>
      </c>
      <c r="E209" s="3">
        <v>208</v>
      </c>
      <c r="F209" s="3" t="s">
        <v>251</v>
      </c>
      <c r="G209" s="3" t="s">
        <v>1093</v>
      </c>
      <c r="H209" s="3" t="str">
        <f t="shared" si="2"/>
        <v>Output WPS-BW Advisor Level, from Ballast Tanks Advisor Level.</v>
      </c>
    </row>
    <row r="210" spans="1:11" x14ac:dyDescent="0.25">
      <c r="A210" s="3" t="s">
        <v>6983</v>
      </c>
      <c r="B210" s="3" t="s">
        <v>6984</v>
      </c>
      <c r="C210" s="3" t="s">
        <v>6985</v>
      </c>
      <c r="D210" s="3" t="s">
        <v>1120</v>
      </c>
      <c r="E210" s="3">
        <v>209</v>
      </c>
      <c r="F210" s="3" t="s">
        <v>252</v>
      </c>
      <c r="G210" s="3" t="s">
        <v>1093</v>
      </c>
      <c r="H210" s="3" t="str">
        <f t="shared" si="2"/>
        <v>Output WPS-BE Advisor Level, from Ballast Tanks Advisor Level.</v>
      </c>
    </row>
    <row r="211" spans="1:11" x14ac:dyDescent="0.25">
      <c r="A211" s="3" t="s">
        <v>6983</v>
      </c>
      <c r="B211" s="3" t="s">
        <v>6984</v>
      </c>
      <c r="C211" s="3" t="s">
        <v>6985</v>
      </c>
      <c r="D211" s="3" t="s">
        <v>1120</v>
      </c>
      <c r="E211" s="3">
        <v>210</v>
      </c>
      <c r="F211" s="3" t="s">
        <v>253</v>
      </c>
      <c r="G211" s="3" t="s">
        <v>1093</v>
      </c>
      <c r="H211" s="3" t="str">
        <f t="shared" si="2"/>
        <v>Output WPN-BW Advisor Level, from Ballast Tanks Advisor Level.</v>
      </c>
    </row>
    <row r="212" spans="1:11" x14ac:dyDescent="0.25">
      <c r="A212" s="3" t="s">
        <v>6983</v>
      </c>
      <c r="B212" s="3" t="s">
        <v>6984</v>
      </c>
      <c r="C212" s="3" t="s">
        <v>6985</v>
      </c>
      <c r="D212" s="3" t="s">
        <v>1120</v>
      </c>
      <c r="E212" s="3">
        <v>211</v>
      </c>
      <c r="F212" s="3" t="s">
        <v>254</v>
      </c>
      <c r="G212" s="3" t="s">
        <v>1093</v>
      </c>
      <c r="H212" s="3" t="str">
        <f t="shared" si="2"/>
        <v>Output WPN-BE Advisor Level, from Ballast Tanks Advisor Level.</v>
      </c>
    </row>
    <row r="213" spans="1:11" x14ac:dyDescent="0.25">
      <c r="A213" s="3" t="s">
        <v>6983</v>
      </c>
      <c r="B213" s="3" t="s">
        <v>6984</v>
      </c>
      <c r="C213" s="3" t="s">
        <v>6985</v>
      </c>
      <c r="D213" s="3" t="s">
        <v>1120</v>
      </c>
      <c r="E213" s="3">
        <v>212</v>
      </c>
      <c r="F213" s="3" t="s">
        <v>255</v>
      </c>
      <c r="G213" s="3" t="s">
        <v>1093</v>
      </c>
      <c r="H213" s="3" t="str">
        <f t="shared" si="2"/>
        <v>Output SW0-B Advisor Level, from Ballast Tanks Advisor Level.</v>
      </c>
    </row>
    <row r="214" spans="1:11" x14ac:dyDescent="0.25">
      <c r="A214" s="3" t="s">
        <v>6983</v>
      </c>
      <c r="B214" s="3" t="s">
        <v>6984</v>
      </c>
      <c r="C214" s="3" t="s">
        <v>6985</v>
      </c>
      <c r="D214" s="3" t="s">
        <v>1120</v>
      </c>
      <c r="E214" s="3">
        <v>213</v>
      </c>
      <c r="F214" s="3" t="s">
        <v>256</v>
      </c>
      <c r="G214" s="3" t="s">
        <v>1093</v>
      </c>
      <c r="H214" s="3" t="str">
        <f t="shared" si="2"/>
        <v>Output SE0-B Advisor Level, from Ballast Tanks Advisor Level.</v>
      </c>
    </row>
    <row r="215" spans="1:11" x14ac:dyDescent="0.25">
      <c r="A215" s="3" t="s">
        <v>6983</v>
      </c>
      <c r="B215" s="3" t="s">
        <v>6984</v>
      </c>
      <c r="C215" s="3" t="s">
        <v>6985</v>
      </c>
      <c r="D215" s="3" t="s">
        <v>1120</v>
      </c>
      <c r="E215" s="3">
        <v>214</v>
      </c>
      <c r="F215" s="3" t="s">
        <v>257</v>
      </c>
      <c r="G215" s="3" t="s">
        <v>1100</v>
      </c>
      <c r="H215" s="3" t="s">
        <v>1292</v>
      </c>
      <c r="K215" s="3" t="s">
        <v>1281</v>
      </c>
    </row>
    <row r="216" spans="1:11" x14ac:dyDescent="0.25">
      <c r="A216" s="3" t="s">
        <v>6983</v>
      </c>
      <c r="B216" s="3" t="s">
        <v>6984</v>
      </c>
      <c r="C216" s="3" t="s">
        <v>6985</v>
      </c>
      <c r="D216" s="3" t="s">
        <v>1120</v>
      </c>
      <c r="E216" s="3">
        <v>215</v>
      </c>
      <c r="F216" s="3" t="s">
        <v>258</v>
      </c>
      <c r="G216" s="3" t="s">
        <v>1093</v>
      </c>
      <c r="H216" s="3" t="s">
        <v>1291</v>
      </c>
    </row>
    <row r="217" spans="1:11" x14ac:dyDescent="0.25">
      <c r="A217" s="3" t="s">
        <v>6983</v>
      </c>
      <c r="B217" s="3" t="s">
        <v>6984</v>
      </c>
      <c r="C217" s="3" t="s">
        <v>6985</v>
      </c>
      <c r="D217" s="3" t="s">
        <v>1120</v>
      </c>
      <c r="E217" s="3">
        <v>216</v>
      </c>
      <c r="F217" s="3" t="s">
        <v>259</v>
      </c>
      <c r="G217" s="3" t="s">
        <v>1093</v>
      </c>
      <c r="H217" s="3" t="s">
        <v>1290</v>
      </c>
    </row>
    <row r="218" spans="1:11" x14ac:dyDescent="0.25">
      <c r="A218" s="3" t="s">
        <v>6983</v>
      </c>
      <c r="B218" s="3" t="s">
        <v>6984</v>
      </c>
      <c r="C218" s="3" t="s">
        <v>6985</v>
      </c>
      <c r="D218" s="3" t="s">
        <v>1120</v>
      </c>
      <c r="E218" s="3">
        <v>217</v>
      </c>
      <c r="F218" s="3" t="s">
        <v>260</v>
      </c>
      <c r="G218" s="3" t="s">
        <v>1101</v>
      </c>
      <c r="H218" s="3" t="s">
        <v>2156</v>
      </c>
    </row>
    <row r="219" spans="1:11" x14ac:dyDescent="0.25">
      <c r="A219" s="3" t="s">
        <v>6983</v>
      </c>
      <c r="B219" s="3" t="s">
        <v>6984</v>
      </c>
      <c r="C219" s="3" t="s">
        <v>6985</v>
      </c>
      <c r="D219" s="3" t="s">
        <v>1120</v>
      </c>
      <c r="E219" s="3">
        <v>218</v>
      </c>
      <c r="F219" s="3" t="s">
        <v>261</v>
      </c>
      <c r="G219" s="3" t="s">
        <v>1101</v>
      </c>
      <c r="H219" s="3" t="s">
        <v>2157</v>
      </c>
    </row>
    <row r="220" spans="1:11" x14ac:dyDescent="0.25">
      <c r="A220" s="3" t="s">
        <v>6983</v>
      </c>
      <c r="B220" s="3" t="s">
        <v>6984</v>
      </c>
      <c r="C220" s="3" t="s">
        <v>6985</v>
      </c>
      <c r="D220" s="3" t="s">
        <v>1120</v>
      </c>
      <c r="E220" s="3">
        <v>219</v>
      </c>
      <c r="F220" s="3" t="s">
        <v>262</v>
      </c>
      <c r="G220" s="3" t="s">
        <v>1100</v>
      </c>
      <c r="H220" s="3" t="s">
        <v>1286</v>
      </c>
    </row>
    <row r="221" spans="1:11" x14ac:dyDescent="0.25">
      <c r="A221" s="3" t="s">
        <v>6983</v>
      </c>
      <c r="B221" s="3" t="s">
        <v>6984</v>
      </c>
      <c r="C221" s="3" t="s">
        <v>6985</v>
      </c>
      <c r="D221" s="3" t="s">
        <v>1120</v>
      </c>
      <c r="E221" s="3">
        <v>220</v>
      </c>
      <c r="F221" s="3" t="s">
        <v>263</v>
      </c>
      <c r="G221" s="3" t="s">
        <v>4</v>
      </c>
      <c r="H221" s="3" t="s">
        <v>1287</v>
      </c>
    </row>
    <row r="222" spans="1:11" x14ac:dyDescent="0.25">
      <c r="A222" s="3" t="s">
        <v>6983</v>
      </c>
      <c r="B222" s="3" t="s">
        <v>6984</v>
      </c>
      <c r="C222" s="3" t="s">
        <v>6985</v>
      </c>
      <c r="D222" s="3" t="s">
        <v>1120</v>
      </c>
      <c r="E222" s="3">
        <v>221</v>
      </c>
      <c r="F222" s="3" t="s">
        <v>264</v>
      </c>
      <c r="G222" s="3" t="s">
        <v>1093</v>
      </c>
      <c r="H222" s="3" t="s">
        <v>1282</v>
      </c>
    </row>
    <row r="223" spans="1:11" x14ac:dyDescent="0.25">
      <c r="A223" s="3" t="s">
        <v>6983</v>
      </c>
      <c r="B223" s="3" t="s">
        <v>6984</v>
      </c>
      <c r="C223" s="3" t="s">
        <v>6985</v>
      </c>
      <c r="D223" s="3" t="s">
        <v>1120</v>
      </c>
      <c r="E223" s="3">
        <v>222</v>
      </c>
      <c r="F223" s="3" t="s">
        <v>265</v>
      </c>
      <c r="G223" s="3" t="s">
        <v>4</v>
      </c>
      <c r="H223" s="3" t="s">
        <v>1283</v>
      </c>
    </row>
    <row r="224" spans="1:11" x14ac:dyDescent="0.25">
      <c r="A224" s="3" t="s">
        <v>6983</v>
      </c>
      <c r="B224" s="3" t="s">
        <v>6984</v>
      </c>
      <c r="C224" s="3" t="s">
        <v>6985</v>
      </c>
      <c r="D224" s="3" t="s">
        <v>1120</v>
      </c>
      <c r="E224" s="3">
        <v>223</v>
      </c>
      <c r="F224" s="3" t="s">
        <v>266</v>
      </c>
      <c r="G224" s="3" t="s">
        <v>4</v>
      </c>
      <c r="H224" s="3" t="s">
        <v>1284</v>
      </c>
    </row>
    <row r="225" spans="1:8" x14ac:dyDescent="0.25">
      <c r="A225" s="3" t="s">
        <v>6983</v>
      </c>
      <c r="B225" s="3" t="s">
        <v>6984</v>
      </c>
      <c r="C225" s="3" t="s">
        <v>6985</v>
      </c>
      <c r="D225" s="3" t="s">
        <v>1120</v>
      </c>
      <c r="E225" s="3">
        <v>224</v>
      </c>
      <c r="F225" s="3" t="s">
        <v>267</v>
      </c>
      <c r="G225" s="3" t="s">
        <v>1093</v>
      </c>
      <c r="H225" s="3" t="s">
        <v>1285</v>
      </c>
    </row>
    <row r="226" spans="1:8" x14ac:dyDescent="0.25">
      <c r="A226" s="3" t="s">
        <v>6983</v>
      </c>
      <c r="B226" s="3" t="s">
        <v>6984</v>
      </c>
      <c r="C226" s="3" t="s">
        <v>6985</v>
      </c>
      <c r="D226" s="3" t="s">
        <v>1120</v>
      </c>
      <c r="E226" s="3">
        <v>225</v>
      </c>
      <c r="F226" s="3" t="s">
        <v>268</v>
      </c>
      <c r="G226" s="3" t="s">
        <v>1093</v>
      </c>
      <c r="H226" s="3" t="s">
        <v>1285</v>
      </c>
    </row>
    <row r="227" spans="1:8" x14ac:dyDescent="0.25">
      <c r="A227" s="3" t="s">
        <v>6983</v>
      </c>
      <c r="B227" s="3" t="s">
        <v>6984</v>
      </c>
      <c r="C227" s="3" t="s">
        <v>6985</v>
      </c>
      <c r="D227" s="3" t="s">
        <v>1120</v>
      </c>
      <c r="E227" s="3">
        <v>226</v>
      </c>
      <c r="F227" s="3" t="s">
        <v>269</v>
      </c>
      <c r="G227" s="3" t="s">
        <v>1100</v>
      </c>
      <c r="H227" s="3" t="str">
        <f>_xlfn.CONCAT("Output ",F227, ", from the “Equilibrium Calculation Subroutine” from LMP.")</f>
        <v>Output ML1 Predicted Tension, from the “Equilibrium Calculation Subroutine” from LMP.</v>
      </c>
    </row>
    <row r="228" spans="1:8" x14ac:dyDescent="0.25">
      <c r="A228" s="3" t="s">
        <v>6983</v>
      </c>
      <c r="B228" s="3" t="s">
        <v>6984</v>
      </c>
      <c r="C228" s="3" t="s">
        <v>6985</v>
      </c>
      <c r="D228" s="3" t="s">
        <v>1120</v>
      </c>
      <c r="E228" s="3">
        <v>227</v>
      </c>
      <c r="F228" s="3" t="s">
        <v>270</v>
      </c>
      <c r="G228" s="3" t="s">
        <v>1100</v>
      </c>
      <c r="H228" s="3" t="str">
        <f t="shared" ref="H228:H259" si="3">_xlfn.CONCAT("Output ",F228, ", from the “Equilibrium Calculation Subroutine” from LMP.")</f>
        <v>Output ML2 Predicted Tension, from the “Equilibrium Calculation Subroutine” from LMP.</v>
      </c>
    </row>
    <row r="229" spans="1:8" x14ac:dyDescent="0.25">
      <c r="A229" s="3" t="s">
        <v>6983</v>
      </c>
      <c r="B229" s="3" t="s">
        <v>6984</v>
      </c>
      <c r="C229" s="3" t="s">
        <v>6985</v>
      </c>
      <c r="D229" s="3" t="s">
        <v>1120</v>
      </c>
      <c r="E229" s="3">
        <v>228</v>
      </c>
      <c r="F229" s="3" t="s">
        <v>271</v>
      </c>
      <c r="G229" s="3" t="s">
        <v>1100</v>
      </c>
      <c r="H229" s="3" t="str">
        <f t="shared" si="3"/>
        <v>Output ML3 Predicted Tension, from the “Equilibrium Calculation Subroutine” from LMP.</v>
      </c>
    </row>
    <row r="230" spans="1:8" x14ac:dyDescent="0.25">
      <c r="A230" s="3" t="s">
        <v>6983</v>
      </c>
      <c r="B230" s="3" t="s">
        <v>6984</v>
      </c>
      <c r="C230" s="3" t="s">
        <v>6985</v>
      </c>
      <c r="D230" s="3" t="s">
        <v>1120</v>
      </c>
      <c r="E230" s="3">
        <v>229</v>
      </c>
      <c r="F230" s="3" t="s">
        <v>272</v>
      </c>
      <c r="G230" s="3" t="s">
        <v>1100</v>
      </c>
      <c r="H230" s="3" t="str">
        <f t="shared" si="3"/>
        <v>Output ML4 Predicted Tension, from the “Equilibrium Calculation Subroutine” from LMP.</v>
      </c>
    </row>
    <row r="231" spans="1:8" x14ac:dyDescent="0.25">
      <c r="A231" s="3" t="s">
        <v>6983</v>
      </c>
      <c r="B231" s="3" t="s">
        <v>6984</v>
      </c>
      <c r="C231" s="3" t="s">
        <v>6985</v>
      </c>
      <c r="D231" s="3" t="s">
        <v>1120</v>
      </c>
      <c r="E231" s="3">
        <v>230</v>
      </c>
      <c r="F231" s="3" t="s">
        <v>273</v>
      </c>
      <c r="G231" s="3" t="s">
        <v>1100</v>
      </c>
      <c r="H231" s="3" t="str">
        <f t="shared" si="3"/>
        <v>Output ML5 Predicted Tension, from the “Equilibrium Calculation Subroutine” from LMP.</v>
      </c>
    </row>
    <row r="232" spans="1:8" x14ac:dyDescent="0.25">
      <c r="A232" s="3" t="s">
        <v>6983</v>
      </c>
      <c r="B232" s="3" t="s">
        <v>6984</v>
      </c>
      <c r="C232" s="3" t="s">
        <v>6985</v>
      </c>
      <c r="D232" s="3" t="s">
        <v>1120</v>
      </c>
      <c r="E232" s="3">
        <v>231</v>
      </c>
      <c r="F232" s="3" t="s">
        <v>274</v>
      </c>
      <c r="G232" s="3" t="s">
        <v>1100</v>
      </c>
      <c r="H232" s="3" t="str">
        <f t="shared" si="3"/>
        <v>Output ML6 Predicted Tension, from the “Equilibrium Calculation Subroutine” from LMP.</v>
      </c>
    </row>
    <row r="233" spans="1:8" x14ac:dyDescent="0.25">
      <c r="A233" s="3" t="s">
        <v>6983</v>
      </c>
      <c r="B233" s="3" t="s">
        <v>6984</v>
      </c>
      <c r="C233" s="3" t="s">
        <v>6985</v>
      </c>
      <c r="D233" s="3" t="s">
        <v>1120</v>
      </c>
      <c r="E233" s="3">
        <v>232</v>
      </c>
      <c r="F233" s="3" t="s">
        <v>275</v>
      </c>
      <c r="G233" s="3" t="s">
        <v>1100</v>
      </c>
      <c r="H233" s="3" t="str">
        <f t="shared" si="3"/>
        <v>Output ML7 Predicted Tension, from the “Equilibrium Calculation Subroutine” from LMP.</v>
      </c>
    </row>
    <row r="234" spans="1:8" x14ac:dyDescent="0.25">
      <c r="A234" s="3" t="s">
        <v>6983</v>
      </c>
      <c r="B234" s="3" t="s">
        <v>6984</v>
      </c>
      <c r="C234" s="3" t="s">
        <v>6985</v>
      </c>
      <c r="D234" s="3" t="s">
        <v>1120</v>
      </c>
      <c r="E234" s="3">
        <v>233</v>
      </c>
      <c r="F234" s="3" t="s">
        <v>276</v>
      </c>
      <c r="G234" s="3" t="s">
        <v>1100</v>
      </c>
      <c r="H234" s="3" t="str">
        <f t="shared" si="3"/>
        <v>Output ML8 Predicted Tension, from the “Equilibrium Calculation Subroutine” from LMP.</v>
      </c>
    </row>
    <row r="235" spans="1:8" x14ac:dyDescent="0.25">
      <c r="A235" s="3" t="s">
        <v>6983</v>
      </c>
      <c r="B235" s="3" t="s">
        <v>6984</v>
      </c>
      <c r="C235" s="3" t="s">
        <v>6985</v>
      </c>
      <c r="D235" s="3" t="s">
        <v>1120</v>
      </c>
      <c r="E235" s="3">
        <v>234</v>
      </c>
      <c r="F235" s="3" t="s">
        <v>277</v>
      </c>
      <c r="G235" s="3" t="s">
        <v>1100</v>
      </c>
      <c r="H235" s="3" t="str">
        <f t="shared" si="3"/>
        <v>Output ML9 Predicted Tension, from the “Equilibrium Calculation Subroutine” from LMP.</v>
      </c>
    </row>
    <row r="236" spans="1:8" x14ac:dyDescent="0.25">
      <c r="A236" s="3" t="s">
        <v>6983</v>
      </c>
      <c r="B236" s="3" t="s">
        <v>6984</v>
      </c>
      <c r="C236" s="3" t="s">
        <v>6985</v>
      </c>
      <c r="D236" s="3" t="s">
        <v>1120</v>
      </c>
      <c r="E236" s="3">
        <v>235</v>
      </c>
      <c r="F236" s="3" t="s">
        <v>278</v>
      </c>
      <c r="G236" s="3" t="s">
        <v>1100</v>
      </c>
      <c r="H236" s="3" t="str">
        <f t="shared" si="3"/>
        <v>Output ML10 Predicted Tension, from the “Equilibrium Calculation Subroutine” from LMP.</v>
      </c>
    </row>
    <row r="237" spans="1:8" x14ac:dyDescent="0.25">
      <c r="A237" s="3" t="s">
        <v>6983</v>
      </c>
      <c r="B237" s="3" t="s">
        <v>6984</v>
      </c>
      <c r="C237" s="3" t="s">
        <v>6985</v>
      </c>
      <c r="D237" s="3" t="s">
        <v>1120</v>
      </c>
      <c r="E237" s="3">
        <v>236</v>
      </c>
      <c r="F237" s="3" t="s">
        <v>279</v>
      </c>
      <c r="G237" s="3" t="s">
        <v>1100</v>
      </c>
      <c r="H237" s="3" t="str">
        <f t="shared" si="3"/>
        <v>Output ML11 Predicted Tension, from the “Equilibrium Calculation Subroutine” from LMP.</v>
      </c>
    </row>
    <row r="238" spans="1:8" x14ac:dyDescent="0.25">
      <c r="A238" s="3" t="s">
        <v>6983</v>
      </c>
      <c r="B238" s="3" t="s">
        <v>6984</v>
      </c>
      <c r="C238" s="3" t="s">
        <v>6985</v>
      </c>
      <c r="D238" s="3" t="s">
        <v>1120</v>
      </c>
      <c r="E238" s="3">
        <v>237</v>
      </c>
      <c r="F238" s="3" t="s">
        <v>280</v>
      </c>
      <c r="G238" s="3" t="s">
        <v>1100</v>
      </c>
      <c r="H238" s="3" t="str">
        <f t="shared" si="3"/>
        <v>Output ML12 Predicted Tension, from the “Equilibrium Calculation Subroutine” from LMP.</v>
      </c>
    </row>
    <row r="239" spans="1:8" x14ac:dyDescent="0.25">
      <c r="A239" s="3" t="s">
        <v>6983</v>
      </c>
      <c r="B239" s="3" t="s">
        <v>6984</v>
      </c>
      <c r="C239" s="3" t="s">
        <v>6985</v>
      </c>
      <c r="D239" s="3" t="s">
        <v>1120</v>
      </c>
      <c r="E239" s="3">
        <v>238</v>
      </c>
      <c r="F239" s="3" t="s">
        <v>281</v>
      </c>
      <c r="G239" s="3" t="s">
        <v>1100</v>
      </c>
      <c r="H239" s="3" t="str">
        <f t="shared" si="3"/>
        <v>Output ML13 Predicted Tension, from the “Equilibrium Calculation Subroutine” from LMP.</v>
      </c>
    </row>
    <row r="240" spans="1:8" x14ac:dyDescent="0.25">
      <c r="A240" s="3" t="s">
        <v>6983</v>
      </c>
      <c r="B240" s="3" t="s">
        <v>6984</v>
      </c>
      <c r="C240" s="3" t="s">
        <v>6985</v>
      </c>
      <c r="D240" s="3" t="s">
        <v>1120</v>
      </c>
      <c r="E240" s="3">
        <v>239</v>
      </c>
      <c r="F240" s="3" t="s">
        <v>282</v>
      </c>
      <c r="G240" s="3" t="s">
        <v>1100</v>
      </c>
      <c r="H240" s="3" t="str">
        <f t="shared" si="3"/>
        <v>Output ML14 Predicted Tension, from the “Equilibrium Calculation Subroutine” from LMP.</v>
      </c>
    </row>
    <row r="241" spans="1:8" x14ac:dyDescent="0.25">
      <c r="A241" s="3" t="s">
        <v>6983</v>
      </c>
      <c r="B241" s="3" t="s">
        <v>6984</v>
      </c>
      <c r="C241" s="3" t="s">
        <v>6985</v>
      </c>
      <c r="D241" s="3" t="s">
        <v>1120</v>
      </c>
      <c r="E241" s="3">
        <v>240</v>
      </c>
      <c r="F241" s="3" t="s">
        <v>283</v>
      </c>
      <c r="G241" s="3" t="s">
        <v>1100</v>
      </c>
      <c r="H241" s="3" t="str">
        <f t="shared" si="3"/>
        <v>Output ML15 Predicted Tension, from the “Equilibrium Calculation Subroutine” from LMP.</v>
      </c>
    </row>
    <row r="242" spans="1:8" x14ac:dyDescent="0.25">
      <c r="A242" s="3" t="s">
        <v>6983</v>
      </c>
      <c r="B242" s="3" t="s">
        <v>6984</v>
      </c>
      <c r="C242" s="3" t="s">
        <v>6985</v>
      </c>
      <c r="D242" s="3" t="s">
        <v>1120</v>
      </c>
      <c r="E242" s="3">
        <v>241</v>
      </c>
      <c r="F242" s="3" t="s">
        <v>284</v>
      </c>
      <c r="G242" s="3" t="s">
        <v>1100</v>
      </c>
      <c r="H242" s="3" t="str">
        <f t="shared" si="3"/>
        <v>Output ML16 Predicted Tension, from the “Equilibrium Calculation Subroutine” from LMP.</v>
      </c>
    </row>
    <row r="243" spans="1:8" x14ac:dyDescent="0.25">
      <c r="A243" s="3" t="s">
        <v>6983</v>
      </c>
      <c r="B243" s="3" t="s">
        <v>6984</v>
      </c>
      <c r="C243" s="3" t="s">
        <v>6985</v>
      </c>
      <c r="D243" s="3" t="s">
        <v>1120</v>
      </c>
      <c r="E243" s="3">
        <v>242</v>
      </c>
      <c r="F243" s="3" t="s">
        <v>285</v>
      </c>
      <c r="G243" s="3" t="s">
        <v>4</v>
      </c>
      <c r="H243" s="3" t="str">
        <f t="shared" si="3"/>
        <v>Output ML1 Predicted Angle, from the “Equilibrium Calculation Subroutine” from LMP.</v>
      </c>
    </row>
    <row r="244" spans="1:8" x14ac:dyDescent="0.25">
      <c r="A244" s="3" t="s">
        <v>6983</v>
      </c>
      <c r="B244" s="3" t="s">
        <v>6984</v>
      </c>
      <c r="C244" s="3" t="s">
        <v>6985</v>
      </c>
      <c r="D244" s="3" t="s">
        <v>1120</v>
      </c>
      <c r="E244" s="3">
        <v>243</v>
      </c>
      <c r="F244" s="3" t="s">
        <v>286</v>
      </c>
      <c r="G244" s="3" t="s">
        <v>4</v>
      </c>
      <c r="H244" s="3" t="str">
        <f t="shared" si="3"/>
        <v>Output ML2 Predicted Angle, from the “Equilibrium Calculation Subroutine” from LMP.</v>
      </c>
    </row>
    <row r="245" spans="1:8" x14ac:dyDescent="0.25">
      <c r="A245" s="3" t="s">
        <v>6983</v>
      </c>
      <c r="B245" s="3" t="s">
        <v>6984</v>
      </c>
      <c r="C245" s="3" t="s">
        <v>6985</v>
      </c>
      <c r="D245" s="3" t="s">
        <v>1120</v>
      </c>
      <c r="E245" s="3">
        <v>244</v>
      </c>
      <c r="F245" s="3" t="s">
        <v>287</v>
      </c>
      <c r="G245" s="3" t="s">
        <v>4</v>
      </c>
      <c r="H245" s="3" t="str">
        <f t="shared" si="3"/>
        <v>Output ML3 Predicted Angle, from the “Equilibrium Calculation Subroutine” from LMP.</v>
      </c>
    </row>
    <row r="246" spans="1:8" x14ac:dyDescent="0.25">
      <c r="A246" s="3" t="s">
        <v>6983</v>
      </c>
      <c r="B246" s="3" t="s">
        <v>6984</v>
      </c>
      <c r="C246" s="3" t="s">
        <v>6985</v>
      </c>
      <c r="D246" s="3" t="s">
        <v>1120</v>
      </c>
      <c r="E246" s="3">
        <v>245</v>
      </c>
      <c r="F246" s="3" t="s">
        <v>288</v>
      </c>
      <c r="G246" s="3" t="s">
        <v>4</v>
      </c>
      <c r="H246" s="3" t="str">
        <f t="shared" si="3"/>
        <v>Output ML4 Predicted Angle, from the “Equilibrium Calculation Subroutine” from LMP.</v>
      </c>
    </row>
    <row r="247" spans="1:8" x14ac:dyDescent="0.25">
      <c r="A247" s="3" t="s">
        <v>6983</v>
      </c>
      <c r="B247" s="3" t="s">
        <v>6984</v>
      </c>
      <c r="C247" s="3" t="s">
        <v>6985</v>
      </c>
      <c r="D247" s="3" t="s">
        <v>1120</v>
      </c>
      <c r="E247" s="3">
        <v>246</v>
      </c>
      <c r="F247" s="3" t="s">
        <v>289</v>
      </c>
      <c r="G247" s="3" t="s">
        <v>4</v>
      </c>
      <c r="H247" s="3" t="str">
        <f t="shared" si="3"/>
        <v>Output ML5 Predicted Angle, from the “Equilibrium Calculation Subroutine” from LMP.</v>
      </c>
    </row>
    <row r="248" spans="1:8" x14ac:dyDescent="0.25">
      <c r="A248" s="3" t="s">
        <v>6983</v>
      </c>
      <c r="B248" s="3" t="s">
        <v>6984</v>
      </c>
      <c r="C248" s="3" t="s">
        <v>6985</v>
      </c>
      <c r="D248" s="3" t="s">
        <v>1120</v>
      </c>
      <c r="E248" s="3">
        <v>247</v>
      </c>
      <c r="F248" s="3" t="s">
        <v>290</v>
      </c>
      <c r="G248" s="3" t="s">
        <v>4</v>
      </c>
      <c r="H248" s="3" t="str">
        <f t="shared" si="3"/>
        <v>Output ML6 Predicted Angle, from the “Equilibrium Calculation Subroutine” from LMP.</v>
      </c>
    </row>
    <row r="249" spans="1:8" x14ac:dyDescent="0.25">
      <c r="A249" s="3" t="s">
        <v>6983</v>
      </c>
      <c r="B249" s="3" t="s">
        <v>6984</v>
      </c>
      <c r="C249" s="3" t="s">
        <v>6985</v>
      </c>
      <c r="D249" s="3" t="s">
        <v>1120</v>
      </c>
      <c r="E249" s="3">
        <v>248</v>
      </c>
      <c r="F249" s="3" t="s">
        <v>291</v>
      </c>
      <c r="G249" s="3" t="s">
        <v>4</v>
      </c>
      <c r="H249" s="3" t="str">
        <f t="shared" si="3"/>
        <v>Output ML7 Predicted Angle, from the “Equilibrium Calculation Subroutine” from LMP.</v>
      </c>
    </row>
    <row r="250" spans="1:8" x14ac:dyDescent="0.25">
      <c r="A250" s="3" t="s">
        <v>6983</v>
      </c>
      <c r="B250" s="3" t="s">
        <v>6984</v>
      </c>
      <c r="C250" s="3" t="s">
        <v>6985</v>
      </c>
      <c r="D250" s="3" t="s">
        <v>1120</v>
      </c>
      <c r="E250" s="3">
        <v>249</v>
      </c>
      <c r="F250" s="3" t="s">
        <v>292</v>
      </c>
      <c r="G250" s="3" t="s">
        <v>4</v>
      </c>
      <c r="H250" s="3" t="str">
        <f t="shared" si="3"/>
        <v>Output ML8 Predicted Angle, from the “Equilibrium Calculation Subroutine” from LMP.</v>
      </c>
    </row>
    <row r="251" spans="1:8" x14ac:dyDescent="0.25">
      <c r="A251" s="3" t="s">
        <v>6983</v>
      </c>
      <c r="B251" s="3" t="s">
        <v>6984</v>
      </c>
      <c r="C251" s="3" t="s">
        <v>6985</v>
      </c>
      <c r="D251" s="3" t="s">
        <v>1120</v>
      </c>
      <c r="E251" s="3">
        <v>250</v>
      </c>
      <c r="F251" s="3" t="s">
        <v>293</v>
      </c>
      <c r="G251" s="3" t="s">
        <v>4</v>
      </c>
      <c r="H251" s="3" t="str">
        <f t="shared" si="3"/>
        <v>Output ML9 Predicted Angle, from the “Equilibrium Calculation Subroutine” from LMP.</v>
      </c>
    </row>
    <row r="252" spans="1:8" x14ac:dyDescent="0.25">
      <c r="A252" s="3" t="s">
        <v>6983</v>
      </c>
      <c r="B252" s="3" t="s">
        <v>6984</v>
      </c>
      <c r="C252" s="3" t="s">
        <v>6985</v>
      </c>
      <c r="D252" s="3" t="s">
        <v>1120</v>
      </c>
      <c r="E252" s="3">
        <v>251</v>
      </c>
      <c r="F252" s="3" t="s">
        <v>294</v>
      </c>
      <c r="G252" s="3" t="s">
        <v>4</v>
      </c>
      <c r="H252" s="3" t="str">
        <f t="shared" si="3"/>
        <v>Output ML10 Predicted Angle, from the “Equilibrium Calculation Subroutine” from LMP.</v>
      </c>
    </row>
    <row r="253" spans="1:8" x14ac:dyDescent="0.25">
      <c r="A253" s="3" t="s">
        <v>6983</v>
      </c>
      <c r="B253" s="3" t="s">
        <v>6984</v>
      </c>
      <c r="C253" s="3" t="s">
        <v>6985</v>
      </c>
      <c r="D253" s="3" t="s">
        <v>1120</v>
      </c>
      <c r="E253" s="3">
        <v>252</v>
      </c>
      <c r="F253" s="3" t="s">
        <v>295</v>
      </c>
      <c r="G253" s="3" t="s">
        <v>4</v>
      </c>
      <c r="H253" s="3" t="str">
        <f t="shared" si="3"/>
        <v>Output ML11 Predicted Angle, from the “Equilibrium Calculation Subroutine” from LMP.</v>
      </c>
    </row>
    <row r="254" spans="1:8" x14ac:dyDescent="0.25">
      <c r="A254" s="3" t="s">
        <v>6983</v>
      </c>
      <c r="B254" s="3" t="s">
        <v>6984</v>
      </c>
      <c r="C254" s="3" t="s">
        <v>6985</v>
      </c>
      <c r="D254" s="3" t="s">
        <v>1120</v>
      </c>
      <c r="E254" s="3">
        <v>253</v>
      </c>
      <c r="F254" s="3" t="s">
        <v>296</v>
      </c>
      <c r="G254" s="3" t="s">
        <v>4</v>
      </c>
      <c r="H254" s="3" t="str">
        <f t="shared" si="3"/>
        <v>Output ML12 Predicted Angle, from the “Equilibrium Calculation Subroutine” from LMP.</v>
      </c>
    </row>
    <row r="255" spans="1:8" x14ac:dyDescent="0.25">
      <c r="A255" s="3" t="s">
        <v>6983</v>
      </c>
      <c r="B255" s="3" t="s">
        <v>6984</v>
      </c>
      <c r="C255" s="3" t="s">
        <v>6985</v>
      </c>
      <c r="D255" s="3" t="s">
        <v>1120</v>
      </c>
      <c r="E255" s="3">
        <v>254</v>
      </c>
      <c r="F255" s="3" t="s">
        <v>297</v>
      </c>
      <c r="G255" s="3" t="s">
        <v>4</v>
      </c>
      <c r="H255" s="3" t="str">
        <f t="shared" si="3"/>
        <v>Output ML13 Predicted Angle, from the “Equilibrium Calculation Subroutine” from LMP.</v>
      </c>
    </row>
    <row r="256" spans="1:8" x14ac:dyDescent="0.25">
      <c r="A256" s="3" t="s">
        <v>6983</v>
      </c>
      <c r="B256" s="3" t="s">
        <v>6984</v>
      </c>
      <c r="C256" s="3" t="s">
        <v>6985</v>
      </c>
      <c r="D256" s="3" t="s">
        <v>1120</v>
      </c>
      <c r="E256" s="3">
        <v>255</v>
      </c>
      <c r="F256" s="3" t="s">
        <v>298</v>
      </c>
      <c r="G256" s="3" t="s">
        <v>4</v>
      </c>
      <c r="H256" s="3" t="str">
        <f t="shared" si="3"/>
        <v>Output ML14 Predicted Angle, from the “Equilibrium Calculation Subroutine” from LMP.</v>
      </c>
    </row>
    <row r="257" spans="1:8" x14ac:dyDescent="0.25">
      <c r="A257" s="3" t="s">
        <v>6983</v>
      </c>
      <c r="B257" s="3" t="s">
        <v>6984</v>
      </c>
      <c r="C257" s="3" t="s">
        <v>6985</v>
      </c>
      <c r="D257" s="3" t="s">
        <v>1120</v>
      </c>
      <c r="E257" s="3">
        <v>256</v>
      </c>
      <c r="F257" s="3" t="s">
        <v>299</v>
      </c>
      <c r="G257" s="3" t="s">
        <v>4</v>
      </c>
      <c r="H257" s="3" t="str">
        <f t="shared" si="3"/>
        <v>Output ML15 Predicted Angle, from the “Equilibrium Calculation Subroutine” from LMP.</v>
      </c>
    </row>
    <row r="258" spans="1:8" x14ac:dyDescent="0.25">
      <c r="A258" s="3" t="s">
        <v>6983</v>
      </c>
      <c r="B258" s="3" t="s">
        <v>6984</v>
      </c>
      <c r="C258" s="3" t="s">
        <v>6985</v>
      </c>
      <c r="D258" s="3" t="s">
        <v>1120</v>
      </c>
      <c r="E258" s="3">
        <v>257</v>
      </c>
      <c r="F258" s="3" t="s">
        <v>300</v>
      </c>
      <c r="G258" s="3" t="s">
        <v>4</v>
      </c>
      <c r="H258" s="3" t="str">
        <f t="shared" si="3"/>
        <v>Output ML16 Predicted Angle, from the “Equilibrium Calculation Subroutine” from LMP.</v>
      </c>
    </row>
    <row r="259" spans="1:8" x14ac:dyDescent="0.25">
      <c r="A259" s="3" t="s">
        <v>6983</v>
      </c>
      <c r="B259" s="3" t="s">
        <v>6984</v>
      </c>
      <c r="C259" s="3" t="s">
        <v>6985</v>
      </c>
      <c r="D259" s="3" t="s">
        <v>1120</v>
      </c>
      <c r="E259" s="3">
        <v>258</v>
      </c>
      <c r="F259" s="3" t="s">
        <v>301</v>
      </c>
      <c r="G259" s="3" t="s">
        <v>1102</v>
      </c>
      <c r="H259" s="3" t="str">
        <f t="shared" si="3"/>
        <v>Output Calculation_Status, from the “Equilibrium Calculation Subroutine” from LMP.</v>
      </c>
    </row>
    <row r="260" spans="1:8" x14ac:dyDescent="0.25">
      <c r="A260" s="3" t="s">
        <v>6983</v>
      </c>
      <c r="B260" s="3" t="s">
        <v>6984</v>
      </c>
      <c r="C260" s="3" t="s">
        <v>6985</v>
      </c>
      <c r="D260" s="3" t="s">
        <v>1120</v>
      </c>
      <c r="E260" s="3">
        <v>259</v>
      </c>
      <c r="F260" s="3" t="s">
        <v>302</v>
      </c>
      <c r="G260" s="3" t="s">
        <v>1100</v>
      </c>
      <c r="H260" s="3" t="s">
        <v>1310</v>
      </c>
    </row>
    <row r="261" spans="1:8" x14ac:dyDescent="0.25">
      <c r="A261" s="3" t="s">
        <v>6983</v>
      </c>
      <c r="B261" s="3" t="s">
        <v>6984</v>
      </c>
      <c r="C261" s="3" t="s">
        <v>6985</v>
      </c>
      <c r="D261" s="3" t="s">
        <v>1120</v>
      </c>
      <c r="E261" s="3">
        <v>260</v>
      </c>
      <c r="F261" s="3" t="s">
        <v>303</v>
      </c>
      <c r="G261" s="3" t="s">
        <v>1100</v>
      </c>
      <c r="H261" s="3" t="s">
        <v>1311</v>
      </c>
    </row>
    <row r="262" spans="1:8" x14ac:dyDescent="0.25">
      <c r="A262" s="3" t="s">
        <v>6983</v>
      </c>
      <c r="B262" s="3" t="s">
        <v>6984</v>
      </c>
      <c r="C262" s="3" t="s">
        <v>6985</v>
      </c>
      <c r="D262" s="3" t="s">
        <v>1120</v>
      </c>
      <c r="E262" s="3">
        <v>261</v>
      </c>
      <c r="F262" s="3" t="s">
        <v>304</v>
      </c>
      <c r="G262" s="3" t="s">
        <v>1093</v>
      </c>
      <c r="H262" s="3" t="s">
        <v>1312</v>
      </c>
    </row>
    <row r="263" spans="1:8" x14ac:dyDescent="0.25">
      <c r="A263" s="3" t="s">
        <v>6983</v>
      </c>
      <c r="B263" s="3" t="s">
        <v>6984</v>
      </c>
      <c r="C263" s="3" t="s">
        <v>6985</v>
      </c>
      <c r="D263" s="3" t="s">
        <v>1120</v>
      </c>
      <c r="E263" s="3">
        <v>262</v>
      </c>
      <c r="F263" s="3" t="s">
        <v>305</v>
      </c>
      <c r="G263" s="3" t="s">
        <v>1093</v>
      </c>
      <c r="H263" s="3" t="s">
        <v>1313</v>
      </c>
    </row>
    <row r="264" spans="1:8" x14ac:dyDescent="0.25">
      <c r="A264" s="3" t="s">
        <v>6983</v>
      </c>
      <c r="B264" s="3" t="s">
        <v>6984</v>
      </c>
      <c r="C264" s="3" t="s">
        <v>6985</v>
      </c>
      <c r="D264" s="3" t="s">
        <v>1120</v>
      </c>
      <c r="E264" s="3">
        <v>263</v>
      </c>
      <c r="F264" s="3" t="s">
        <v>306</v>
      </c>
      <c r="G264" s="3" t="s">
        <v>1100</v>
      </c>
      <c r="H264" s="3" t="s">
        <v>1306</v>
      </c>
    </row>
    <row r="265" spans="1:8" x14ac:dyDescent="0.25">
      <c r="A265" s="3" t="s">
        <v>6983</v>
      </c>
      <c r="B265" s="3" t="s">
        <v>6984</v>
      </c>
      <c r="C265" s="3" t="s">
        <v>6985</v>
      </c>
      <c r="D265" s="3" t="s">
        <v>1120</v>
      </c>
      <c r="E265" s="3">
        <v>264</v>
      </c>
      <c r="F265" s="3" t="s">
        <v>307</v>
      </c>
      <c r="G265" s="3" t="s">
        <v>1100</v>
      </c>
      <c r="H265" s="3" t="s">
        <v>1307</v>
      </c>
    </row>
    <row r="266" spans="1:8" x14ac:dyDescent="0.25">
      <c r="A266" s="3" t="s">
        <v>6983</v>
      </c>
      <c r="B266" s="3" t="s">
        <v>6984</v>
      </c>
      <c r="C266" s="3" t="s">
        <v>6985</v>
      </c>
      <c r="D266" s="3" t="s">
        <v>1120</v>
      </c>
      <c r="E266" s="3">
        <v>265</v>
      </c>
      <c r="F266" s="3" t="s">
        <v>308</v>
      </c>
      <c r="G266" s="3" t="s">
        <v>1100</v>
      </c>
      <c r="H266" s="3" t="s">
        <v>1308</v>
      </c>
    </row>
    <row r="267" spans="1:8" x14ac:dyDescent="0.25">
      <c r="A267" s="3" t="s">
        <v>6983</v>
      </c>
      <c r="B267" s="3" t="s">
        <v>6984</v>
      </c>
      <c r="C267" s="3" t="s">
        <v>6985</v>
      </c>
      <c r="D267" s="3" t="s">
        <v>1120</v>
      </c>
      <c r="E267" s="3">
        <v>266</v>
      </c>
      <c r="F267" s="3" t="s">
        <v>309</v>
      </c>
      <c r="G267" s="3" t="s">
        <v>1100</v>
      </c>
      <c r="H267" s="3" t="s">
        <v>1309</v>
      </c>
    </row>
    <row r="268" spans="1:8" x14ac:dyDescent="0.25">
      <c r="A268" s="3" t="s">
        <v>6983</v>
      </c>
      <c r="B268" s="3" t="s">
        <v>6984</v>
      </c>
      <c r="C268" s="3" t="s">
        <v>6985</v>
      </c>
      <c r="D268" s="3" t="s">
        <v>1120</v>
      </c>
      <c r="E268" s="3">
        <v>267</v>
      </c>
      <c r="F268" s="3" t="s">
        <v>310</v>
      </c>
      <c r="G268" s="3" t="s">
        <v>1093</v>
      </c>
      <c r="H268" s="3" t="s">
        <v>1303</v>
      </c>
    </row>
    <row r="269" spans="1:8" x14ac:dyDescent="0.25">
      <c r="A269" s="3" t="s">
        <v>6983</v>
      </c>
      <c r="B269" s="3" t="s">
        <v>6984</v>
      </c>
      <c r="C269" s="3" t="s">
        <v>6985</v>
      </c>
      <c r="D269" s="3" t="s">
        <v>1120</v>
      </c>
      <c r="E269" s="3">
        <v>268</v>
      </c>
      <c r="F269" s="3" t="s">
        <v>311</v>
      </c>
      <c r="G269" s="3" t="s">
        <v>1093</v>
      </c>
      <c r="H269" s="3" t="s">
        <v>1304</v>
      </c>
    </row>
    <row r="270" spans="1:8" x14ac:dyDescent="0.25">
      <c r="A270" s="3" t="s">
        <v>6983</v>
      </c>
      <c r="B270" s="3" t="s">
        <v>6984</v>
      </c>
      <c r="C270" s="3" t="s">
        <v>6985</v>
      </c>
      <c r="D270" s="3" t="s">
        <v>1120</v>
      </c>
      <c r="E270" s="3">
        <v>269</v>
      </c>
      <c r="F270" s="3" t="s">
        <v>312</v>
      </c>
      <c r="G270" s="3" t="s">
        <v>1093</v>
      </c>
      <c r="H270" s="3" t="s">
        <v>1305</v>
      </c>
    </row>
    <row r="271" spans="1:8" x14ac:dyDescent="0.25">
      <c r="A271" s="3" t="s">
        <v>6983</v>
      </c>
      <c r="B271" s="3" t="s">
        <v>6984</v>
      </c>
      <c r="C271" s="3" t="s">
        <v>6985</v>
      </c>
      <c r="D271" s="3" t="s">
        <v>1120</v>
      </c>
      <c r="E271" s="3">
        <v>270</v>
      </c>
      <c r="F271" s="3" t="s">
        <v>313</v>
      </c>
      <c r="G271" s="3" t="s">
        <v>1101</v>
      </c>
      <c r="H271" s="3" t="str">
        <f>_xlfn.CONCAT("Output ",F271, ", from Ballast Tanks and Voids.")</f>
        <v>Output FSt_HI, from Ballast Tanks and Voids.</v>
      </c>
    </row>
    <row r="272" spans="1:8" x14ac:dyDescent="0.25">
      <c r="A272" s="3" t="s">
        <v>6983</v>
      </c>
      <c r="B272" s="3" t="s">
        <v>6984</v>
      </c>
      <c r="C272" s="3" t="s">
        <v>6985</v>
      </c>
      <c r="D272" s="3" t="s">
        <v>1120</v>
      </c>
      <c r="E272" s="3">
        <v>271</v>
      </c>
      <c r="F272" s="3" t="s">
        <v>314</v>
      </c>
      <c r="G272" s="3" t="s">
        <v>1101</v>
      </c>
      <c r="H272" s="3" t="str">
        <f t="shared" ref="H272:H335" si="4">_xlfn.CONCAT("Output ",F272, ", from Ballast Tanks and Voids.")</f>
        <v>Output FSt_LO, from Ballast Tanks and Voids.</v>
      </c>
    </row>
    <row r="273" spans="1:8" x14ac:dyDescent="0.25">
      <c r="A273" s="3" t="s">
        <v>6983</v>
      </c>
      <c r="B273" s="3" t="s">
        <v>6984</v>
      </c>
      <c r="C273" s="3" t="s">
        <v>6985</v>
      </c>
      <c r="D273" s="3" t="s">
        <v>1120</v>
      </c>
      <c r="E273" s="3">
        <v>272</v>
      </c>
      <c r="F273" s="3" t="s">
        <v>315</v>
      </c>
      <c r="G273" s="3" t="s">
        <v>1101</v>
      </c>
      <c r="H273" s="3" t="str">
        <f t="shared" si="4"/>
        <v>Output FSl_HI, from Ballast Tanks and Voids.</v>
      </c>
    </row>
    <row r="274" spans="1:8" x14ac:dyDescent="0.25">
      <c r="A274" s="3" t="s">
        <v>6983</v>
      </c>
      <c r="B274" s="3" t="s">
        <v>6984</v>
      </c>
      <c r="C274" s="3" t="s">
        <v>6985</v>
      </c>
      <c r="D274" s="3" t="s">
        <v>1120</v>
      </c>
      <c r="E274" s="3">
        <v>273</v>
      </c>
      <c r="F274" s="3" t="s">
        <v>316</v>
      </c>
      <c r="G274" s="3" t="s">
        <v>1101</v>
      </c>
      <c r="H274" s="3" t="str">
        <f t="shared" si="4"/>
        <v>Output FSl_LO, from Ballast Tanks and Voids.</v>
      </c>
    </row>
    <row r="275" spans="1:8" x14ac:dyDescent="0.25">
      <c r="A275" s="3" t="s">
        <v>6983</v>
      </c>
      <c r="B275" s="3" t="s">
        <v>6984</v>
      </c>
      <c r="C275" s="3" t="s">
        <v>6985</v>
      </c>
      <c r="D275" s="3" t="s">
        <v>1120</v>
      </c>
      <c r="E275" s="3">
        <v>274</v>
      </c>
      <c r="F275" s="3" t="s">
        <v>317</v>
      </c>
      <c r="G275" s="3" t="s">
        <v>1093</v>
      </c>
      <c r="H275" s="3" t="str">
        <f t="shared" si="4"/>
        <v>Output KG_Corrected, from Ballast Tanks and Voids.</v>
      </c>
    </row>
    <row r="276" spans="1:8" x14ac:dyDescent="0.25">
      <c r="A276" s="3" t="s">
        <v>6983</v>
      </c>
      <c r="B276" s="3" t="s">
        <v>6984</v>
      </c>
      <c r="C276" s="3" t="s">
        <v>6985</v>
      </c>
      <c r="D276" s="3" t="s">
        <v>1120</v>
      </c>
      <c r="E276" s="3">
        <v>275</v>
      </c>
      <c r="F276" s="3" t="s">
        <v>318</v>
      </c>
      <c r="G276" s="3" t="s">
        <v>1093</v>
      </c>
      <c r="H276" s="3" t="str">
        <f t="shared" si="4"/>
        <v>Output Max_KG, from Ballast Tanks and Voids.</v>
      </c>
    </row>
    <row r="277" spans="1:8" x14ac:dyDescent="0.25">
      <c r="A277" s="3" t="s">
        <v>6983</v>
      </c>
      <c r="B277" s="3" t="s">
        <v>6984</v>
      </c>
      <c r="C277" s="3" t="s">
        <v>6985</v>
      </c>
      <c r="D277" s="3" t="s">
        <v>1120</v>
      </c>
      <c r="E277" s="3">
        <v>276</v>
      </c>
      <c r="F277" s="3" t="s">
        <v>319</v>
      </c>
      <c r="G277" s="3" t="s">
        <v>1103</v>
      </c>
      <c r="H277" s="3" t="str">
        <f t="shared" si="4"/>
        <v>Output Non_Exempt_LS_percent, from Ballast Tanks and Voids.</v>
      </c>
    </row>
    <row r="278" spans="1:8" x14ac:dyDescent="0.25">
      <c r="A278" s="3" t="s">
        <v>6983</v>
      </c>
      <c r="B278" s="3" t="s">
        <v>6984</v>
      </c>
      <c r="C278" s="3" t="s">
        <v>6985</v>
      </c>
      <c r="D278" s="3" t="s">
        <v>1120</v>
      </c>
      <c r="E278" s="3">
        <v>277</v>
      </c>
      <c r="F278" s="3" t="s">
        <v>320</v>
      </c>
      <c r="G278" s="3" t="s">
        <v>1104</v>
      </c>
      <c r="H278" s="3" t="str">
        <f t="shared" si="4"/>
        <v>Output MR_Location, from Ballast Tanks and Voids.</v>
      </c>
    </row>
    <row r="279" spans="1:8" x14ac:dyDescent="0.25">
      <c r="A279" s="3" t="s">
        <v>6983</v>
      </c>
      <c r="B279" s="3" t="s">
        <v>6984</v>
      </c>
      <c r="C279" s="3" t="s">
        <v>6985</v>
      </c>
      <c r="D279" s="3" t="s">
        <v>1120</v>
      </c>
      <c r="E279" s="3">
        <v>278</v>
      </c>
      <c r="F279" s="3" t="s">
        <v>321</v>
      </c>
      <c r="G279" s="3" t="s">
        <v>1093</v>
      </c>
      <c r="H279" s="3" t="str">
        <f t="shared" si="4"/>
        <v>Output MR_Long_Offset, from Ballast Tanks and Voids.</v>
      </c>
    </row>
    <row r="280" spans="1:8" x14ac:dyDescent="0.25">
      <c r="A280" s="3" t="s">
        <v>6983</v>
      </c>
      <c r="B280" s="3" t="s">
        <v>6984</v>
      </c>
      <c r="C280" s="3" t="s">
        <v>6985</v>
      </c>
      <c r="D280" s="3" t="s">
        <v>1120</v>
      </c>
      <c r="E280" s="3">
        <v>279</v>
      </c>
      <c r="F280" s="3" t="s">
        <v>322</v>
      </c>
      <c r="G280" s="3" t="s">
        <v>1093</v>
      </c>
      <c r="H280" s="3" t="str">
        <f t="shared" si="4"/>
        <v>Output MR_Transv_Offset, from Ballast Tanks and Voids.</v>
      </c>
    </row>
    <row r="281" spans="1:8" x14ac:dyDescent="0.25">
      <c r="A281" s="3" t="s">
        <v>6983</v>
      </c>
      <c r="B281" s="3" t="s">
        <v>6984</v>
      </c>
      <c r="C281" s="3" t="s">
        <v>6985</v>
      </c>
      <c r="D281" s="3" t="s">
        <v>1120</v>
      </c>
      <c r="E281" s="3">
        <v>280</v>
      </c>
      <c r="F281" s="3" t="s">
        <v>323</v>
      </c>
      <c r="G281" s="3" t="s">
        <v>1100</v>
      </c>
      <c r="H281" s="3" t="str">
        <f t="shared" si="4"/>
        <v>Output Lightship_Changes_Wt_HI, from Ballast Tanks and Voids.</v>
      </c>
    </row>
    <row r="282" spans="1:8" x14ac:dyDescent="0.25">
      <c r="A282" s="3" t="s">
        <v>6983</v>
      </c>
      <c r="B282" s="3" t="s">
        <v>6984</v>
      </c>
      <c r="C282" s="3" t="s">
        <v>6985</v>
      </c>
      <c r="D282" s="3" t="s">
        <v>1120</v>
      </c>
      <c r="E282" s="3">
        <v>281</v>
      </c>
      <c r="F282" s="3" t="s">
        <v>324</v>
      </c>
      <c r="G282" s="3" t="s">
        <v>1100</v>
      </c>
      <c r="H282" s="3" t="str">
        <f t="shared" si="4"/>
        <v>Output Lightship_Changes_Wt_LO, from Ballast Tanks and Voids.</v>
      </c>
    </row>
    <row r="283" spans="1:8" x14ac:dyDescent="0.25">
      <c r="A283" s="3" t="s">
        <v>6983</v>
      </c>
      <c r="B283" s="3" t="s">
        <v>6984</v>
      </c>
      <c r="C283" s="3" t="s">
        <v>6985</v>
      </c>
      <c r="D283" s="3" t="s">
        <v>1120</v>
      </c>
      <c r="E283" s="3">
        <v>282</v>
      </c>
      <c r="F283" s="3" t="s">
        <v>325</v>
      </c>
      <c r="G283" s="3" t="s">
        <v>1093</v>
      </c>
      <c r="H283" s="3" t="str">
        <f t="shared" si="4"/>
        <v>Output Lightship_Changes_LCG, from Ballast Tanks and Voids.</v>
      </c>
    </row>
    <row r="284" spans="1:8" x14ac:dyDescent="0.25">
      <c r="A284" s="3" t="s">
        <v>6983</v>
      </c>
      <c r="B284" s="3" t="s">
        <v>6984</v>
      </c>
      <c r="C284" s="3" t="s">
        <v>6985</v>
      </c>
      <c r="D284" s="3" t="s">
        <v>1120</v>
      </c>
      <c r="E284" s="3">
        <v>283</v>
      </c>
      <c r="F284" s="3" t="s">
        <v>326</v>
      </c>
      <c r="G284" s="3" t="s">
        <v>1093</v>
      </c>
      <c r="H284" s="3" t="str">
        <f t="shared" si="4"/>
        <v>Output Lightship_Changes_TCG, from Ballast Tanks and Voids.</v>
      </c>
    </row>
    <row r="285" spans="1:8" x14ac:dyDescent="0.25">
      <c r="A285" s="3" t="s">
        <v>6983</v>
      </c>
      <c r="B285" s="3" t="s">
        <v>6984</v>
      </c>
      <c r="C285" s="3" t="s">
        <v>6985</v>
      </c>
      <c r="D285" s="3" t="s">
        <v>1120</v>
      </c>
      <c r="E285" s="3">
        <v>284</v>
      </c>
      <c r="F285" s="3" t="s">
        <v>327</v>
      </c>
      <c r="G285" s="3" t="s">
        <v>1093</v>
      </c>
      <c r="H285" s="3" t="str">
        <f t="shared" si="4"/>
        <v>Output Lightship_Changes_VCG, from Ballast Tanks and Voids.</v>
      </c>
    </row>
    <row r="286" spans="1:8" x14ac:dyDescent="0.25">
      <c r="A286" s="3" t="s">
        <v>6983</v>
      </c>
      <c r="B286" s="3" t="s">
        <v>6984</v>
      </c>
      <c r="C286" s="3" t="s">
        <v>6985</v>
      </c>
      <c r="D286" s="3" t="s">
        <v>1120</v>
      </c>
      <c r="E286" s="3">
        <v>285</v>
      </c>
      <c r="F286" s="3" t="s">
        <v>328</v>
      </c>
      <c r="G286" s="3" t="s">
        <v>1100</v>
      </c>
      <c r="H286" s="3" t="str">
        <f t="shared" si="4"/>
        <v>Output Ballast_Tks_GP_Ttl_Wt_HI, from Ballast Tanks and Voids.</v>
      </c>
    </row>
    <row r="287" spans="1:8" x14ac:dyDescent="0.25">
      <c r="A287" s="3" t="s">
        <v>6983</v>
      </c>
      <c r="B287" s="3" t="s">
        <v>6984</v>
      </c>
      <c r="C287" s="3" t="s">
        <v>6985</v>
      </c>
      <c r="D287" s="3" t="s">
        <v>1120</v>
      </c>
      <c r="E287" s="3">
        <v>286</v>
      </c>
      <c r="F287" s="3" t="s">
        <v>329</v>
      </c>
      <c r="G287" s="3" t="s">
        <v>1100</v>
      </c>
      <c r="H287" s="3" t="str">
        <f t="shared" si="4"/>
        <v>Output Ballast_Tks_GP_Ttl_Wt_LO, from Ballast Tanks and Voids.</v>
      </c>
    </row>
    <row r="288" spans="1:8" x14ac:dyDescent="0.25">
      <c r="A288" s="3" t="s">
        <v>6983</v>
      </c>
      <c r="B288" s="3" t="s">
        <v>6984</v>
      </c>
      <c r="C288" s="3" t="s">
        <v>6985</v>
      </c>
      <c r="D288" s="3" t="s">
        <v>1120</v>
      </c>
      <c r="E288" s="3">
        <v>287</v>
      </c>
      <c r="F288" s="3" t="s">
        <v>330</v>
      </c>
      <c r="G288" s="3" t="s">
        <v>1093</v>
      </c>
      <c r="H288" s="3" t="str">
        <f t="shared" si="4"/>
        <v>Output Ballast_Tks_GP_Ttl_LCG, from Ballast Tanks and Voids.</v>
      </c>
    </row>
    <row r="289" spans="1:8" x14ac:dyDescent="0.25">
      <c r="A289" s="3" t="s">
        <v>6983</v>
      </c>
      <c r="B289" s="3" t="s">
        <v>6984</v>
      </c>
      <c r="C289" s="3" t="s">
        <v>6985</v>
      </c>
      <c r="D289" s="3" t="s">
        <v>1120</v>
      </c>
      <c r="E289" s="3">
        <v>288</v>
      </c>
      <c r="F289" s="3" t="s">
        <v>331</v>
      </c>
      <c r="G289" s="3" t="s">
        <v>1093</v>
      </c>
      <c r="H289" s="3" t="str">
        <f t="shared" si="4"/>
        <v>Output Ballast_Tks_GP_Ttl_TCG, from Ballast Tanks and Voids.</v>
      </c>
    </row>
    <row r="290" spans="1:8" x14ac:dyDescent="0.25">
      <c r="A290" s="3" t="s">
        <v>6983</v>
      </c>
      <c r="B290" s="3" t="s">
        <v>6984</v>
      </c>
      <c r="C290" s="3" t="s">
        <v>6985</v>
      </c>
      <c r="D290" s="3" t="s">
        <v>1120</v>
      </c>
      <c r="E290" s="3">
        <v>289</v>
      </c>
      <c r="F290" s="3" t="s">
        <v>332</v>
      </c>
      <c r="G290" s="3" t="s">
        <v>1093</v>
      </c>
      <c r="H290" s="3" t="str">
        <f t="shared" si="4"/>
        <v>Output Ballast_Tks_GP_Ttl_VCG, from Ballast Tanks and Voids.</v>
      </c>
    </row>
    <row r="291" spans="1:8" x14ac:dyDescent="0.25">
      <c r="A291" s="3" t="s">
        <v>6983</v>
      </c>
      <c r="B291" s="3" t="s">
        <v>6984</v>
      </c>
      <c r="C291" s="3" t="s">
        <v>6985</v>
      </c>
      <c r="D291" s="3" t="s">
        <v>1120</v>
      </c>
      <c r="E291" s="3">
        <v>290</v>
      </c>
      <c r="F291" s="3" t="s">
        <v>333</v>
      </c>
      <c r="G291" s="3" t="s">
        <v>1101</v>
      </c>
      <c r="H291" s="3" t="str">
        <f t="shared" si="4"/>
        <v>Output Ballast_Tks_GP_Ttl_FSt_HI, from Ballast Tanks and Voids.</v>
      </c>
    </row>
    <row r="292" spans="1:8" x14ac:dyDescent="0.25">
      <c r="A292" s="3" t="s">
        <v>6983</v>
      </c>
      <c r="B292" s="3" t="s">
        <v>6984</v>
      </c>
      <c r="C292" s="3" t="s">
        <v>6985</v>
      </c>
      <c r="D292" s="3" t="s">
        <v>1120</v>
      </c>
      <c r="E292" s="3">
        <v>291</v>
      </c>
      <c r="F292" s="3" t="s">
        <v>334</v>
      </c>
      <c r="G292" s="3" t="s">
        <v>1101</v>
      </c>
      <c r="H292" s="3" t="str">
        <f t="shared" si="4"/>
        <v>Output Ballast_Tks_GP_Ttl_FSt_LO, from Ballast Tanks and Voids.</v>
      </c>
    </row>
    <row r="293" spans="1:8" x14ac:dyDescent="0.25">
      <c r="A293" s="3" t="s">
        <v>6983</v>
      </c>
      <c r="B293" s="3" t="s">
        <v>6984</v>
      </c>
      <c r="C293" s="3" t="s">
        <v>6985</v>
      </c>
      <c r="D293" s="3" t="s">
        <v>1120</v>
      </c>
      <c r="E293" s="3">
        <v>292</v>
      </c>
      <c r="F293" s="3" t="s">
        <v>335</v>
      </c>
      <c r="G293" s="3" t="s">
        <v>1101</v>
      </c>
      <c r="H293" s="3" t="str">
        <f t="shared" si="4"/>
        <v>Output Ballast_Tks_GP_Ttl_FSl_HI, from Ballast Tanks and Voids.</v>
      </c>
    </row>
    <row r="294" spans="1:8" x14ac:dyDescent="0.25">
      <c r="A294" s="3" t="s">
        <v>6983</v>
      </c>
      <c r="B294" s="3" t="s">
        <v>6984</v>
      </c>
      <c r="C294" s="3" t="s">
        <v>6985</v>
      </c>
      <c r="D294" s="3" t="s">
        <v>1120</v>
      </c>
      <c r="E294" s="3">
        <v>293</v>
      </c>
      <c r="F294" s="3" t="s">
        <v>336</v>
      </c>
      <c r="G294" s="3" t="s">
        <v>1101</v>
      </c>
      <c r="H294" s="3" t="str">
        <f t="shared" si="4"/>
        <v>Output Ballast_Tks_GP_Ttl_FSl_LO, from Ballast Tanks and Voids.</v>
      </c>
    </row>
    <row r="295" spans="1:8" x14ac:dyDescent="0.25">
      <c r="A295" s="3" t="s">
        <v>6983</v>
      </c>
      <c r="B295" s="3" t="s">
        <v>6984</v>
      </c>
      <c r="C295" s="3" t="s">
        <v>6985</v>
      </c>
      <c r="D295" s="3" t="s">
        <v>1120</v>
      </c>
      <c r="E295" s="3">
        <v>294</v>
      </c>
      <c r="F295" s="3" t="s">
        <v>337</v>
      </c>
      <c r="G295" s="3" t="s">
        <v>1100</v>
      </c>
      <c r="H295" s="3" t="str">
        <f t="shared" si="4"/>
        <v>Output Void_Tks_GP_Total_Wt_HI, from Ballast Tanks and Voids.</v>
      </c>
    </row>
    <row r="296" spans="1:8" x14ac:dyDescent="0.25">
      <c r="A296" s="3" t="s">
        <v>6983</v>
      </c>
      <c r="B296" s="3" t="s">
        <v>6984</v>
      </c>
      <c r="C296" s="3" t="s">
        <v>6985</v>
      </c>
      <c r="D296" s="3" t="s">
        <v>1120</v>
      </c>
      <c r="E296" s="3">
        <v>295</v>
      </c>
      <c r="F296" s="3" t="s">
        <v>338</v>
      </c>
      <c r="G296" s="3" t="s">
        <v>1100</v>
      </c>
      <c r="H296" s="3" t="str">
        <f t="shared" si="4"/>
        <v>Output Void_Tks_GP_Total_Wt_LO, from Ballast Tanks and Voids.</v>
      </c>
    </row>
    <row r="297" spans="1:8" x14ac:dyDescent="0.25">
      <c r="A297" s="3" t="s">
        <v>6983</v>
      </c>
      <c r="B297" s="3" t="s">
        <v>6984</v>
      </c>
      <c r="C297" s="3" t="s">
        <v>6985</v>
      </c>
      <c r="D297" s="3" t="s">
        <v>1120</v>
      </c>
      <c r="E297" s="3">
        <v>296</v>
      </c>
      <c r="F297" s="3" t="s">
        <v>339</v>
      </c>
      <c r="G297" s="3" t="s">
        <v>1093</v>
      </c>
      <c r="H297" s="3" t="str">
        <f t="shared" si="4"/>
        <v>Output Void_Tks_GP_Total_LCG, from Ballast Tanks and Voids.</v>
      </c>
    </row>
    <row r="298" spans="1:8" x14ac:dyDescent="0.25">
      <c r="A298" s="3" t="s">
        <v>6983</v>
      </c>
      <c r="B298" s="3" t="s">
        <v>6984</v>
      </c>
      <c r="C298" s="3" t="s">
        <v>6985</v>
      </c>
      <c r="D298" s="3" t="s">
        <v>1120</v>
      </c>
      <c r="E298" s="3">
        <v>297</v>
      </c>
      <c r="F298" s="3" t="s">
        <v>340</v>
      </c>
      <c r="G298" s="3" t="s">
        <v>1093</v>
      </c>
      <c r="H298" s="3" t="str">
        <f t="shared" si="4"/>
        <v>Output Void_Tks_GP_Total_TCG, from Ballast Tanks and Voids.</v>
      </c>
    </row>
    <row r="299" spans="1:8" x14ac:dyDescent="0.25">
      <c r="A299" s="3" t="s">
        <v>6983</v>
      </c>
      <c r="B299" s="3" t="s">
        <v>6984</v>
      </c>
      <c r="C299" s="3" t="s">
        <v>6985</v>
      </c>
      <c r="D299" s="3" t="s">
        <v>1120</v>
      </c>
      <c r="E299" s="3">
        <v>298</v>
      </c>
      <c r="F299" s="3" t="s">
        <v>341</v>
      </c>
      <c r="G299" s="3" t="s">
        <v>1093</v>
      </c>
      <c r="H299" s="3" t="str">
        <f t="shared" si="4"/>
        <v>Output Void_Tks_GP_Total_VCG, from Ballast Tanks and Voids.</v>
      </c>
    </row>
    <row r="300" spans="1:8" x14ac:dyDescent="0.25">
      <c r="A300" s="3" t="s">
        <v>6983</v>
      </c>
      <c r="B300" s="3" t="s">
        <v>6984</v>
      </c>
      <c r="C300" s="3" t="s">
        <v>6985</v>
      </c>
      <c r="D300" s="3" t="s">
        <v>1120</v>
      </c>
      <c r="E300" s="3">
        <v>299</v>
      </c>
      <c r="F300" s="3" t="s">
        <v>342</v>
      </c>
      <c r="G300" s="3" t="s">
        <v>1101</v>
      </c>
      <c r="H300" s="3" t="str">
        <f t="shared" si="4"/>
        <v>Output Void_Tks_GP_Total_FSt_HI, from Ballast Tanks and Voids.</v>
      </c>
    </row>
    <row r="301" spans="1:8" x14ac:dyDescent="0.25">
      <c r="A301" s="3" t="s">
        <v>6983</v>
      </c>
      <c r="B301" s="3" t="s">
        <v>6984</v>
      </c>
      <c r="C301" s="3" t="s">
        <v>6985</v>
      </c>
      <c r="D301" s="3" t="s">
        <v>1120</v>
      </c>
      <c r="E301" s="3">
        <v>300</v>
      </c>
      <c r="F301" s="3" t="s">
        <v>343</v>
      </c>
      <c r="G301" s="3" t="s">
        <v>1101</v>
      </c>
      <c r="H301" s="3" t="str">
        <f t="shared" si="4"/>
        <v>Output Void_Tks_GP_Total_FSt_LO, from Ballast Tanks and Voids.</v>
      </c>
    </row>
    <row r="302" spans="1:8" x14ac:dyDescent="0.25">
      <c r="A302" s="3" t="s">
        <v>6983</v>
      </c>
      <c r="B302" s="3" t="s">
        <v>6984</v>
      </c>
      <c r="C302" s="3" t="s">
        <v>6985</v>
      </c>
      <c r="D302" s="3" t="s">
        <v>1120</v>
      </c>
      <c r="E302" s="3">
        <v>301</v>
      </c>
      <c r="F302" s="3" t="s">
        <v>344</v>
      </c>
      <c r="G302" s="3" t="s">
        <v>1101</v>
      </c>
      <c r="H302" s="3" t="str">
        <f t="shared" si="4"/>
        <v>Output Void_Tks_GP_Total_FSl_HI, from Ballast Tanks and Voids.</v>
      </c>
    </row>
    <row r="303" spans="1:8" x14ac:dyDescent="0.25">
      <c r="A303" s="3" t="s">
        <v>6983</v>
      </c>
      <c r="B303" s="3" t="s">
        <v>6984</v>
      </c>
      <c r="C303" s="3" t="s">
        <v>6985</v>
      </c>
      <c r="D303" s="3" t="s">
        <v>1120</v>
      </c>
      <c r="E303" s="3">
        <v>302</v>
      </c>
      <c r="F303" s="3" t="s">
        <v>345</v>
      </c>
      <c r="G303" s="3" t="s">
        <v>1101</v>
      </c>
      <c r="H303" s="3" t="str">
        <f t="shared" si="4"/>
        <v>Output Void_Tks_GP_Total_FSl_LO, from Ballast Tanks and Voids.</v>
      </c>
    </row>
    <row r="304" spans="1:8" x14ac:dyDescent="0.25">
      <c r="A304" s="3" t="s">
        <v>6983</v>
      </c>
      <c r="B304" s="3" t="s">
        <v>6984</v>
      </c>
      <c r="C304" s="3" t="s">
        <v>6985</v>
      </c>
      <c r="D304" s="3" t="s">
        <v>1120</v>
      </c>
      <c r="E304" s="3">
        <v>303</v>
      </c>
      <c r="F304" s="3" t="s">
        <v>346</v>
      </c>
      <c r="G304" s="3" t="s">
        <v>1100</v>
      </c>
      <c r="H304" s="3" t="str">
        <f t="shared" si="4"/>
        <v>Output Hull_Sto_Tks_GP_Ttl_HI, from Ballast Tanks and Voids.</v>
      </c>
    </row>
    <row r="305" spans="1:8" x14ac:dyDescent="0.25">
      <c r="A305" s="3" t="s">
        <v>6983</v>
      </c>
      <c r="B305" s="3" t="s">
        <v>6984</v>
      </c>
      <c r="C305" s="3" t="s">
        <v>6985</v>
      </c>
      <c r="D305" s="3" t="s">
        <v>1120</v>
      </c>
      <c r="E305" s="3">
        <v>304</v>
      </c>
      <c r="F305" s="3" t="s">
        <v>347</v>
      </c>
      <c r="G305" s="3" t="s">
        <v>1100</v>
      </c>
      <c r="H305" s="3" t="str">
        <f t="shared" si="4"/>
        <v>Output Hull_Sto_Tks_GP_Ttl_LO, from Ballast Tanks and Voids.</v>
      </c>
    </row>
    <row r="306" spans="1:8" x14ac:dyDescent="0.25">
      <c r="A306" s="3" t="s">
        <v>6983</v>
      </c>
      <c r="B306" s="3" t="s">
        <v>6984</v>
      </c>
      <c r="C306" s="3" t="s">
        <v>6985</v>
      </c>
      <c r="D306" s="3" t="s">
        <v>1120</v>
      </c>
      <c r="E306" s="3">
        <v>305</v>
      </c>
      <c r="F306" s="3" t="s">
        <v>348</v>
      </c>
      <c r="G306" s="3" t="s">
        <v>1093</v>
      </c>
      <c r="H306" s="3" t="str">
        <f t="shared" si="4"/>
        <v>Output Hull_Sto_Tks_GP_Ttl_LCG, from Ballast Tanks and Voids.</v>
      </c>
    </row>
    <row r="307" spans="1:8" x14ac:dyDescent="0.25">
      <c r="A307" s="3" t="s">
        <v>6983</v>
      </c>
      <c r="B307" s="3" t="s">
        <v>6984</v>
      </c>
      <c r="C307" s="3" t="s">
        <v>6985</v>
      </c>
      <c r="D307" s="3" t="s">
        <v>1120</v>
      </c>
      <c r="E307" s="3">
        <v>306</v>
      </c>
      <c r="F307" s="3" t="s">
        <v>349</v>
      </c>
      <c r="G307" s="3" t="s">
        <v>1093</v>
      </c>
      <c r="H307" s="3" t="str">
        <f t="shared" si="4"/>
        <v>Output Hull_Sto_Tks_GP_Ttl_TCG, from Ballast Tanks and Voids.</v>
      </c>
    </row>
    <row r="308" spans="1:8" x14ac:dyDescent="0.25">
      <c r="A308" s="3" t="s">
        <v>6983</v>
      </c>
      <c r="B308" s="3" t="s">
        <v>6984</v>
      </c>
      <c r="C308" s="3" t="s">
        <v>6985</v>
      </c>
      <c r="D308" s="3" t="s">
        <v>1120</v>
      </c>
      <c r="E308" s="3">
        <v>307</v>
      </c>
      <c r="F308" s="3" t="s">
        <v>350</v>
      </c>
      <c r="G308" s="3" t="s">
        <v>1093</v>
      </c>
      <c r="H308" s="3" t="str">
        <f t="shared" si="4"/>
        <v>Output Hull_Sto_Tks_GP_Ttl_VCG, from Ballast Tanks and Voids.</v>
      </c>
    </row>
    <row r="309" spans="1:8" x14ac:dyDescent="0.25">
      <c r="A309" s="3" t="s">
        <v>6983</v>
      </c>
      <c r="B309" s="3" t="s">
        <v>6984</v>
      </c>
      <c r="C309" s="3" t="s">
        <v>6985</v>
      </c>
      <c r="D309" s="5" t="s">
        <v>1138</v>
      </c>
      <c r="E309" s="5">
        <v>308</v>
      </c>
      <c r="F309" s="5" t="s">
        <v>351</v>
      </c>
      <c r="G309" s="3" t="s">
        <v>1101</v>
      </c>
      <c r="H309" s="3" t="str">
        <f t="shared" si="4"/>
        <v>Output Hull_Sto_Tks_GP_Ttl_FSt_HI, from Ballast Tanks and Voids.</v>
      </c>
    </row>
    <row r="310" spans="1:8" x14ac:dyDescent="0.25">
      <c r="A310" s="3" t="s">
        <v>6983</v>
      </c>
      <c r="B310" s="3" t="s">
        <v>6984</v>
      </c>
      <c r="C310" s="3" t="s">
        <v>6985</v>
      </c>
      <c r="D310" s="3" t="s">
        <v>1120</v>
      </c>
      <c r="E310" s="3">
        <v>309</v>
      </c>
      <c r="F310" s="3" t="s">
        <v>352</v>
      </c>
      <c r="G310" s="3" t="s">
        <v>1101</v>
      </c>
      <c r="H310" s="3" t="str">
        <f t="shared" si="4"/>
        <v>Output Hull_Sto_Tks_GP_Ttl_FSt_LO, from Ballast Tanks and Voids.</v>
      </c>
    </row>
    <row r="311" spans="1:8" x14ac:dyDescent="0.25">
      <c r="A311" s="3" t="s">
        <v>6983</v>
      </c>
      <c r="B311" s="3" t="s">
        <v>6984</v>
      </c>
      <c r="C311" s="3" t="s">
        <v>6985</v>
      </c>
      <c r="D311" s="3" t="s">
        <v>1120</v>
      </c>
      <c r="E311" s="3">
        <v>310</v>
      </c>
      <c r="F311" s="3" t="s">
        <v>353</v>
      </c>
      <c r="G311" s="3" t="s">
        <v>1101</v>
      </c>
      <c r="H311" s="3" t="str">
        <f t="shared" si="4"/>
        <v>Output Hull_Sto_Tks_GP_Ttl_FSI_HI, from Ballast Tanks and Voids.</v>
      </c>
    </row>
    <row r="312" spans="1:8" x14ac:dyDescent="0.25">
      <c r="A312" s="3" t="s">
        <v>6983</v>
      </c>
      <c r="B312" s="3" t="s">
        <v>6984</v>
      </c>
      <c r="C312" s="3" t="s">
        <v>6985</v>
      </c>
      <c r="D312" s="3" t="s">
        <v>1120</v>
      </c>
      <c r="E312" s="3">
        <v>311</v>
      </c>
      <c r="F312" s="3" t="s">
        <v>354</v>
      </c>
      <c r="G312" s="3" t="s">
        <v>1101</v>
      </c>
      <c r="H312" s="3" t="str">
        <f t="shared" si="4"/>
        <v>Output Hull_Sto_Tks_GP_Ttl_FSI_LO, from Ballast Tanks and Voids.</v>
      </c>
    </row>
    <row r="313" spans="1:8" x14ac:dyDescent="0.25">
      <c r="A313" s="3" t="s">
        <v>6983</v>
      </c>
      <c r="B313" s="3" t="s">
        <v>6984</v>
      </c>
      <c r="C313" s="3" t="s">
        <v>6985</v>
      </c>
      <c r="D313" s="3" t="s">
        <v>1120</v>
      </c>
      <c r="E313" s="3">
        <v>312</v>
      </c>
      <c r="F313" s="3" t="s">
        <v>355</v>
      </c>
      <c r="G313" s="3" t="s">
        <v>1100</v>
      </c>
      <c r="H313" s="3" t="str">
        <f t="shared" si="4"/>
        <v>Output Topside_Tks_GP_Total_Wt_HI, from Ballast Tanks and Voids.</v>
      </c>
    </row>
    <row r="314" spans="1:8" x14ac:dyDescent="0.25">
      <c r="A314" s="3" t="s">
        <v>6983</v>
      </c>
      <c r="B314" s="3" t="s">
        <v>6984</v>
      </c>
      <c r="C314" s="3" t="s">
        <v>6985</v>
      </c>
      <c r="D314" s="3" t="s">
        <v>1120</v>
      </c>
      <c r="E314" s="3">
        <v>313</v>
      </c>
      <c r="F314" s="3" t="s">
        <v>356</v>
      </c>
      <c r="G314" s="3" t="s">
        <v>1100</v>
      </c>
      <c r="H314" s="3" t="str">
        <f t="shared" si="4"/>
        <v>Output Topside_Tks_GP_Total_Wt_LO, from Ballast Tanks and Voids.</v>
      </c>
    </row>
    <row r="315" spans="1:8" x14ac:dyDescent="0.25">
      <c r="A315" s="3" t="s">
        <v>6983</v>
      </c>
      <c r="B315" s="3" t="s">
        <v>6984</v>
      </c>
      <c r="C315" s="3" t="s">
        <v>6985</v>
      </c>
      <c r="D315" s="3" t="s">
        <v>1120</v>
      </c>
      <c r="E315" s="3">
        <v>314</v>
      </c>
      <c r="F315" s="3" t="s">
        <v>357</v>
      </c>
      <c r="G315" s="3" t="s">
        <v>1093</v>
      </c>
      <c r="H315" s="3" t="str">
        <f t="shared" si="4"/>
        <v>Output Topside_Tks_GP_Total_LCG, from Ballast Tanks and Voids.</v>
      </c>
    </row>
    <row r="316" spans="1:8" x14ac:dyDescent="0.25">
      <c r="A316" s="3" t="s">
        <v>6983</v>
      </c>
      <c r="B316" s="3" t="s">
        <v>6984</v>
      </c>
      <c r="C316" s="3" t="s">
        <v>6985</v>
      </c>
      <c r="D316" s="3" t="s">
        <v>1120</v>
      </c>
      <c r="E316" s="3">
        <v>315</v>
      </c>
      <c r="F316" s="3" t="s">
        <v>358</v>
      </c>
      <c r="G316" s="3" t="s">
        <v>1093</v>
      </c>
      <c r="H316" s="3" t="str">
        <f t="shared" si="4"/>
        <v>Output Topside_Tks_GP_Total_TCG, from Ballast Tanks and Voids.</v>
      </c>
    </row>
    <row r="317" spans="1:8" x14ac:dyDescent="0.25">
      <c r="A317" s="3" t="s">
        <v>6983</v>
      </c>
      <c r="B317" s="3" t="s">
        <v>6984</v>
      </c>
      <c r="C317" s="3" t="s">
        <v>6985</v>
      </c>
      <c r="D317" s="3" t="s">
        <v>1120</v>
      </c>
      <c r="E317" s="3">
        <v>316</v>
      </c>
      <c r="F317" s="3" t="s">
        <v>359</v>
      </c>
      <c r="G317" s="3" t="s">
        <v>1093</v>
      </c>
      <c r="H317" s="3" t="str">
        <f t="shared" si="4"/>
        <v>Output Topside_Tks_GP_Total_VCG, from Ballast Tanks and Voids.</v>
      </c>
    </row>
    <row r="318" spans="1:8" x14ac:dyDescent="0.25">
      <c r="A318" s="3" t="s">
        <v>6983</v>
      </c>
      <c r="B318" s="3" t="s">
        <v>6984</v>
      </c>
      <c r="C318" s="3" t="s">
        <v>6985</v>
      </c>
      <c r="D318" s="3" t="s">
        <v>1120</v>
      </c>
      <c r="E318" s="3">
        <v>317</v>
      </c>
      <c r="F318" s="3" t="s">
        <v>360</v>
      </c>
      <c r="G318" s="3" t="s">
        <v>1100</v>
      </c>
      <c r="H318" s="3" t="str">
        <f t="shared" si="4"/>
        <v>Output Live_Loads_GP_Total_Wt_HI, from Ballast Tanks and Voids.</v>
      </c>
    </row>
    <row r="319" spans="1:8" x14ac:dyDescent="0.25">
      <c r="A319" s="3" t="s">
        <v>6983</v>
      </c>
      <c r="B319" s="3" t="s">
        <v>6984</v>
      </c>
      <c r="C319" s="3" t="s">
        <v>6985</v>
      </c>
      <c r="D319" s="3" t="s">
        <v>1120</v>
      </c>
      <c r="E319" s="3">
        <v>318</v>
      </c>
      <c r="F319" s="3" t="s">
        <v>361</v>
      </c>
      <c r="G319" s="3" t="s">
        <v>1100</v>
      </c>
      <c r="H319" s="3" t="str">
        <f t="shared" si="4"/>
        <v>Output Live_Loads_GP_Total_Wt_LO, from Ballast Tanks and Voids.</v>
      </c>
    </row>
    <row r="320" spans="1:8" x14ac:dyDescent="0.25">
      <c r="A320" s="3" t="s">
        <v>6983</v>
      </c>
      <c r="B320" s="3" t="s">
        <v>6984</v>
      </c>
      <c r="C320" s="3" t="s">
        <v>6985</v>
      </c>
      <c r="D320" s="3" t="s">
        <v>1120</v>
      </c>
      <c r="E320" s="3">
        <v>319</v>
      </c>
      <c r="F320" s="3" t="s">
        <v>362</v>
      </c>
      <c r="G320" s="3" t="s">
        <v>1093</v>
      </c>
      <c r="H320" s="3" t="str">
        <f t="shared" si="4"/>
        <v>Output Live_Loads_GP_Total_LCG, from Ballast Tanks and Voids.</v>
      </c>
    </row>
    <row r="321" spans="1:8" x14ac:dyDescent="0.25">
      <c r="A321" s="3" t="s">
        <v>6983</v>
      </c>
      <c r="B321" s="3" t="s">
        <v>6984</v>
      </c>
      <c r="C321" s="3" t="s">
        <v>6985</v>
      </c>
      <c r="D321" s="3" t="s">
        <v>1120</v>
      </c>
      <c r="E321" s="3">
        <v>320</v>
      </c>
      <c r="F321" s="3" t="s">
        <v>363</v>
      </c>
      <c r="G321" s="3" t="s">
        <v>1093</v>
      </c>
      <c r="H321" s="3" t="str">
        <f t="shared" si="4"/>
        <v>Output Live_Loads_GP_Total_TCG, from Ballast Tanks and Voids.</v>
      </c>
    </row>
    <row r="322" spans="1:8" x14ac:dyDescent="0.25">
      <c r="A322" s="3" t="s">
        <v>6983</v>
      </c>
      <c r="B322" s="3" t="s">
        <v>6984</v>
      </c>
      <c r="C322" s="3" t="s">
        <v>6985</v>
      </c>
      <c r="D322" s="3" t="s">
        <v>1120</v>
      </c>
      <c r="E322" s="3">
        <v>321</v>
      </c>
      <c r="F322" s="3" t="s">
        <v>364</v>
      </c>
      <c r="G322" s="3" t="s">
        <v>1093</v>
      </c>
      <c r="H322" s="3" t="str">
        <f t="shared" si="4"/>
        <v>Output Live_Loads_GP_Total_VCG, from Ballast Tanks and Voids.</v>
      </c>
    </row>
    <row r="323" spans="1:8" x14ac:dyDescent="0.25">
      <c r="A323" s="3" t="s">
        <v>6983</v>
      </c>
      <c r="B323" s="3" t="s">
        <v>6984</v>
      </c>
      <c r="C323" s="3" t="s">
        <v>6985</v>
      </c>
      <c r="D323" s="3" t="s">
        <v>1120</v>
      </c>
      <c r="E323" s="3">
        <v>322</v>
      </c>
      <c r="F323" s="3" t="s">
        <v>365</v>
      </c>
      <c r="G323" s="3" t="s">
        <v>1100</v>
      </c>
      <c r="H323" s="3" t="str">
        <f t="shared" si="4"/>
        <v>Output Riser_Brdge_GP_Total_Wt_HI, from Ballast Tanks and Voids.</v>
      </c>
    </row>
    <row r="324" spans="1:8" x14ac:dyDescent="0.25">
      <c r="A324" s="3" t="s">
        <v>6983</v>
      </c>
      <c r="B324" s="3" t="s">
        <v>6984</v>
      </c>
      <c r="C324" s="3" t="s">
        <v>6985</v>
      </c>
      <c r="D324" s="3" t="s">
        <v>1120</v>
      </c>
      <c r="E324" s="3">
        <v>323</v>
      </c>
      <c r="F324" s="3" t="s">
        <v>366</v>
      </c>
      <c r="G324" s="3" t="s">
        <v>1100</v>
      </c>
      <c r="H324" s="3" t="str">
        <f t="shared" si="4"/>
        <v>Output Riser_Brdge_GP_Total_Wt_LO, from Ballast Tanks and Voids.</v>
      </c>
    </row>
    <row r="325" spans="1:8" x14ac:dyDescent="0.25">
      <c r="A325" s="3" t="s">
        <v>6983</v>
      </c>
      <c r="B325" s="3" t="s">
        <v>6984</v>
      </c>
      <c r="C325" s="3" t="s">
        <v>6985</v>
      </c>
      <c r="D325" s="3" t="s">
        <v>1120</v>
      </c>
      <c r="E325" s="3">
        <v>324</v>
      </c>
      <c r="F325" s="3" t="s">
        <v>367</v>
      </c>
      <c r="G325" s="3" t="s">
        <v>1093</v>
      </c>
      <c r="H325" s="3" t="str">
        <f t="shared" si="4"/>
        <v>Output Riser_Bridge_GP_Total_LCG, from Ballast Tanks and Voids.</v>
      </c>
    </row>
    <row r="326" spans="1:8" x14ac:dyDescent="0.25">
      <c r="A326" s="3" t="s">
        <v>6983</v>
      </c>
      <c r="B326" s="3" t="s">
        <v>6984</v>
      </c>
      <c r="C326" s="3" t="s">
        <v>6985</v>
      </c>
      <c r="D326" s="3" t="s">
        <v>1120</v>
      </c>
      <c r="E326" s="3">
        <v>325</v>
      </c>
      <c r="F326" s="3" t="s">
        <v>368</v>
      </c>
      <c r="G326" s="3" t="s">
        <v>1093</v>
      </c>
      <c r="H326" s="3" t="str">
        <f t="shared" si="4"/>
        <v>Output Riser_Bridge_GP_Total_TCG, from Ballast Tanks and Voids.</v>
      </c>
    </row>
    <row r="327" spans="1:8" x14ac:dyDescent="0.25">
      <c r="A327" s="3" t="s">
        <v>6983</v>
      </c>
      <c r="B327" s="3" t="s">
        <v>6984</v>
      </c>
      <c r="C327" s="3" t="s">
        <v>6985</v>
      </c>
      <c r="D327" s="3" t="s">
        <v>1120</v>
      </c>
      <c r="E327" s="3">
        <v>326</v>
      </c>
      <c r="F327" s="3" t="s">
        <v>369</v>
      </c>
      <c r="G327" s="3" t="s">
        <v>1093</v>
      </c>
      <c r="H327" s="3" t="str">
        <f t="shared" si="4"/>
        <v>Output Riser_Bridge_GP_Total_VCG, from Ballast Tanks and Voids.</v>
      </c>
    </row>
    <row r="328" spans="1:8" x14ac:dyDescent="0.25">
      <c r="A328" s="3" t="s">
        <v>6983</v>
      </c>
      <c r="B328" s="3" t="s">
        <v>6984</v>
      </c>
      <c r="C328" s="3" t="s">
        <v>6985</v>
      </c>
      <c r="D328" s="3" t="s">
        <v>1120</v>
      </c>
      <c r="E328" s="3">
        <v>327</v>
      </c>
      <c r="F328" s="3" t="s">
        <v>370</v>
      </c>
      <c r="G328" s="3" t="s">
        <v>1100</v>
      </c>
      <c r="H328" s="3" t="str">
        <f t="shared" si="4"/>
        <v>Output Chains_GP_Total_Wt_HI, from Ballast Tanks and Voids.</v>
      </c>
    </row>
    <row r="329" spans="1:8" x14ac:dyDescent="0.25">
      <c r="A329" s="3" t="s">
        <v>6983</v>
      </c>
      <c r="B329" s="3" t="s">
        <v>6984</v>
      </c>
      <c r="C329" s="3" t="s">
        <v>6985</v>
      </c>
      <c r="D329" s="3" t="s">
        <v>1120</v>
      </c>
      <c r="E329" s="3">
        <v>328</v>
      </c>
      <c r="F329" s="3" t="s">
        <v>371</v>
      </c>
      <c r="G329" s="3" t="s">
        <v>1100</v>
      </c>
      <c r="H329" s="3" t="str">
        <f t="shared" si="4"/>
        <v>Output Chains_GP_Total_Wt_LO, from Ballast Tanks and Voids.</v>
      </c>
    </row>
    <row r="330" spans="1:8" x14ac:dyDescent="0.25">
      <c r="A330" s="3" t="s">
        <v>6983</v>
      </c>
      <c r="B330" s="3" t="s">
        <v>6984</v>
      </c>
      <c r="C330" s="3" t="s">
        <v>6985</v>
      </c>
      <c r="D330" s="3" t="s">
        <v>1120</v>
      </c>
      <c r="E330" s="3">
        <v>329</v>
      </c>
      <c r="F330" s="3" t="s">
        <v>372</v>
      </c>
      <c r="G330" s="3" t="s">
        <v>1093</v>
      </c>
      <c r="H330" s="3" t="str">
        <f t="shared" si="4"/>
        <v>Output Chains_GP_Total_LCG, from Ballast Tanks and Voids.</v>
      </c>
    </row>
    <row r="331" spans="1:8" x14ac:dyDescent="0.25">
      <c r="A331" s="3" t="s">
        <v>6983</v>
      </c>
      <c r="B331" s="3" t="s">
        <v>6984</v>
      </c>
      <c r="C331" s="3" t="s">
        <v>6985</v>
      </c>
      <c r="D331" s="3" t="s">
        <v>1120</v>
      </c>
      <c r="E331" s="3">
        <v>330</v>
      </c>
      <c r="F331" s="3" t="s">
        <v>373</v>
      </c>
      <c r="G331" s="3" t="s">
        <v>1093</v>
      </c>
      <c r="H331" s="3" t="str">
        <f t="shared" si="4"/>
        <v>Output Chains_GP_Total_TCG, from Ballast Tanks and Voids.</v>
      </c>
    </row>
    <row r="332" spans="1:8" x14ac:dyDescent="0.25">
      <c r="A332" s="3" t="s">
        <v>6983</v>
      </c>
      <c r="B332" s="3" t="s">
        <v>6984</v>
      </c>
      <c r="C332" s="3" t="s">
        <v>6985</v>
      </c>
      <c r="D332" s="3" t="s">
        <v>1120</v>
      </c>
      <c r="E332" s="3">
        <v>331</v>
      </c>
      <c r="F332" s="3" t="s">
        <v>374</v>
      </c>
      <c r="G332" s="3" t="s">
        <v>1093</v>
      </c>
      <c r="H332" s="3" t="str">
        <f t="shared" si="4"/>
        <v>Output Chains_GP_Total_VCG, from Ballast Tanks and Voids.</v>
      </c>
    </row>
    <row r="333" spans="1:8" x14ac:dyDescent="0.25">
      <c r="A333" s="3" t="s">
        <v>6983</v>
      </c>
      <c r="B333" s="3" t="s">
        <v>6984</v>
      </c>
      <c r="C333" s="3" t="s">
        <v>6985</v>
      </c>
      <c r="D333" s="3" t="s">
        <v>1120</v>
      </c>
      <c r="E333" s="3">
        <v>332</v>
      </c>
      <c r="F333" s="3" t="s">
        <v>375</v>
      </c>
      <c r="G333" s="3" t="s">
        <v>1100</v>
      </c>
      <c r="H333" s="3" t="str">
        <f t="shared" si="4"/>
        <v>Output Deck_Survey_GP_Total_Wt_HI, from Ballast Tanks and Voids.</v>
      </c>
    </row>
    <row r="334" spans="1:8" x14ac:dyDescent="0.25">
      <c r="A334" s="3" t="s">
        <v>6983</v>
      </c>
      <c r="B334" s="3" t="s">
        <v>6984</v>
      </c>
      <c r="C334" s="3" t="s">
        <v>6985</v>
      </c>
      <c r="D334" s="3" t="s">
        <v>1120</v>
      </c>
      <c r="E334" s="3">
        <v>333</v>
      </c>
      <c r="F334" s="3" t="s">
        <v>376</v>
      </c>
      <c r="G334" s="3" t="s">
        <v>1100</v>
      </c>
      <c r="H334" s="3" t="str">
        <f t="shared" si="4"/>
        <v>Output Deck_Survey_GP_Total_Wt_LO, from Ballast Tanks and Voids.</v>
      </c>
    </row>
    <row r="335" spans="1:8" x14ac:dyDescent="0.25">
      <c r="A335" s="3" t="s">
        <v>6983</v>
      </c>
      <c r="B335" s="3" t="s">
        <v>6984</v>
      </c>
      <c r="C335" s="3" t="s">
        <v>6985</v>
      </c>
      <c r="D335" s="3" t="s">
        <v>1120</v>
      </c>
      <c r="E335" s="3">
        <v>334</v>
      </c>
      <c r="F335" s="3" t="s">
        <v>377</v>
      </c>
      <c r="G335" s="3" t="s">
        <v>1093</v>
      </c>
      <c r="H335" s="3" t="str">
        <f t="shared" si="4"/>
        <v>Output Deck_Survey_GP_Total_LCG, from Ballast Tanks and Voids.</v>
      </c>
    </row>
    <row r="336" spans="1:8" x14ac:dyDescent="0.25">
      <c r="A336" s="3" t="s">
        <v>6983</v>
      </c>
      <c r="B336" s="3" t="s">
        <v>6984</v>
      </c>
      <c r="C336" s="3" t="s">
        <v>6985</v>
      </c>
      <c r="D336" s="3" t="s">
        <v>1120</v>
      </c>
      <c r="E336" s="3">
        <v>335</v>
      </c>
      <c r="F336" s="3" t="s">
        <v>378</v>
      </c>
      <c r="G336" s="3" t="s">
        <v>1093</v>
      </c>
      <c r="H336" s="3" t="str">
        <f t="shared" ref="H336:H368" si="5">_xlfn.CONCAT("Output ",F336, ", from Ballast Tanks and Voids.")</f>
        <v>Output Deck_Survey_GP_Total_TCG, from Ballast Tanks and Voids.</v>
      </c>
    </row>
    <row r="337" spans="1:8" x14ac:dyDescent="0.25">
      <c r="A337" s="3" t="s">
        <v>6983</v>
      </c>
      <c r="B337" s="3" t="s">
        <v>6984</v>
      </c>
      <c r="C337" s="3" t="s">
        <v>6985</v>
      </c>
      <c r="D337" s="3" t="s">
        <v>1120</v>
      </c>
      <c r="E337" s="3">
        <v>336</v>
      </c>
      <c r="F337" s="3" t="s">
        <v>379</v>
      </c>
      <c r="G337" s="3" t="s">
        <v>1093</v>
      </c>
      <c r="H337" s="3" t="str">
        <f t="shared" si="5"/>
        <v>Output Deck_Survey_GP_Total_VCG, from Ballast Tanks and Voids.</v>
      </c>
    </row>
    <row r="338" spans="1:8" x14ac:dyDescent="0.25">
      <c r="A338" s="3" t="s">
        <v>6983</v>
      </c>
      <c r="B338" s="3" t="s">
        <v>6984</v>
      </c>
      <c r="C338" s="3" t="s">
        <v>6985</v>
      </c>
      <c r="D338" s="3" t="s">
        <v>1120</v>
      </c>
      <c r="E338" s="3">
        <v>337</v>
      </c>
      <c r="F338" s="3" t="s">
        <v>380</v>
      </c>
      <c r="G338" s="3" t="s">
        <v>1100</v>
      </c>
      <c r="H338" s="3" t="str">
        <f t="shared" si="5"/>
        <v>Output Umbilicals_GP_Total_Wt_HI, from Ballast Tanks and Voids.</v>
      </c>
    </row>
    <row r="339" spans="1:8" x14ac:dyDescent="0.25">
      <c r="A339" s="3" t="s">
        <v>6983</v>
      </c>
      <c r="B339" s="3" t="s">
        <v>6984</v>
      </c>
      <c r="C339" s="3" t="s">
        <v>6985</v>
      </c>
      <c r="D339" s="3" t="s">
        <v>1120</v>
      </c>
      <c r="E339" s="3">
        <v>338</v>
      </c>
      <c r="F339" s="3" t="s">
        <v>381</v>
      </c>
      <c r="G339" s="3" t="s">
        <v>1100</v>
      </c>
      <c r="H339" s="3" t="str">
        <f t="shared" si="5"/>
        <v>Output Umbilicals_GP_Total_Wt_LO, from Ballast Tanks and Voids.</v>
      </c>
    </row>
    <row r="340" spans="1:8" x14ac:dyDescent="0.25">
      <c r="A340" s="3" t="s">
        <v>6983</v>
      </c>
      <c r="B340" s="3" t="s">
        <v>6984</v>
      </c>
      <c r="C340" s="3" t="s">
        <v>6985</v>
      </c>
      <c r="D340" s="3" t="s">
        <v>1120</v>
      </c>
      <c r="E340" s="3">
        <v>339</v>
      </c>
      <c r="F340" s="3" t="s">
        <v>382</v>
      </c>
      <c r="G340" s="3" t="s">
        <v>1093</v>
      </c>
      <c r="H340" s="3" t="str">
        <f t="shared" si="5"/>
        <v>Output Umbilicals_GP_Total_LCG, from Ballast Tanks and Voids.</v>
      </c>
    </row>
    <row r="341" spans="1:8" x14ac:dyDescent="0.25">
      <c r="A341" s="3" t="s">
        <v>6983</v>
      </c>
      <c r="B341" s="3" t="s">
        <v>6984</v>
      </c>
      <c r="C341" s="3" t="s">
        <v>6985</v>
      </c>
      <c r="D341" s="3" t="s">
        <v>1120</v>
      </c>
      <c r="E341" s="3">
        <v>340</v>
      </c>
      <c r="F341" s="3" t="s">
        <v>383</v>
      </c>
      <c r="G341" s="3" t="s">
        <v>1093</v>
      </c>
      <c r="H341" s="3" t="str">
        <f t="shared" si="5"/>
        <v>Output Umbilicals_GP_Total_TCG, from Ballast Tanks and Voids.</v>
      </c>
    </row>
    <row r="342" spans="1:8" x14ac:dyDescent="0.25">
      <c r="A342" s="3" t="s">
        <v>6983</v>
      </c>
      <c r="B342" s="3" t="s">
        <v>6984</v>
      </c>
      <c r="C342" s="3" t="s">
        <v>6985</v>
      </c>
      <c r="D342" s="3" t="s">
        <v>1120</v>
      </c>
      <c r="E342" s="3">
        <v>341</v>
      </c>
      <c r="F342" s="3" t="s">
        <v>384</v>
      </c>
      <c r="G342" s="3" t="s">
        <v>1093</v>
      </c>
      <c r="H342" s="3" t="str">
        <f t="shared" si="5"/>
        <v>Output Umbilicals_GP_Total_VCG, from Ballast Tanks and Voids.</v>
      </c>
    </row>
    <row r="343" spans="1:8" x14ac:dyDescent="0.25">
      <c r="A343" s="3" t="s">
        <v>6983</v>
      </c>
      <c r="B343" s="3" t="s">
        <v>6984</v>
      </c>
      <c r="C343" s="3" t="s">
        <v>6985</v>
      </c>
      <c r="D343" s="3" t="s">
        <v>1120</v>
      </c>
      <c r="E343" s="3">
        <v>342</v>
      </c>
      <c r="F343" s="3" t="s">
        <v>385</v>
      </c>
      <c r="G343" s="3" t="s">
        <v>1100</v>
      </c>
      <c r="H343" s="3" t="str">
        <f t="shared" si="5"/>
        <v>Output Stingers_GP_Total_Wt_HI, from Ballast Tanks and Voids.</v>
      </c>
    </row>
    <row r="344" spans="1:8" x14ac:dyDescent="0.25">
      <c r="A344" s="3" t="s">
        <v>6983</v>
      </c>
      <c r="B344" s="3" t="s">
        <v>6984</v>
      </c>
      <c r="C344" s="3" t="s">
        <v>6985</v>
      </c>
      <c r="D344" s="3" t="s">
        <v>1120</v>
      </c>
      <c r="E344" s="3">
        <v>343</v>
      </c>
      <c r="F344" s="3" t="s">
        <v>386</v>
      </c>
      <c r="G344" s="3" t="s">
        <v>1100</v>
      </c>
      <c r="H344" s="3" t="str">
        <f t="shared" si="5"/>
        <v>Output Stingers_GP_Total_Wt_LO, from Ballast Tanks and Voids.</v>
      </c>
    </row>
    <row r="345" spans="1:8" x14ac:dyDescent="0.25">
      <c r="A345" s="3" t="s">
        <v>6983</v>
      </c>
      <c r="B345" s="3" t="s">
        <v>6984</v>
      </c>
      <c r="C345" s="3" t="s">
        <v>6985</v>
      </c>
      <c r="D345" s="3" t="s">
        <v>1120</v>
      </c>
      <c r="E345" s="3">
        <v>344</v>
      </c>
      <c r="F345" s="3" t="s">
        <v>387</v>
      </c>
      <c r="G345" s="3" t="s">
        <v>1093</v>
      </c>
      <c r="H345" s="3" t="str">
        <f t="shared" si="5"/>
        <v>Output Stingers_GP_Total_LCG, from Ballast Tanks and Voids.</v>
      </c>
    </row>
    <row r="346" spans="1:8" x14ac:dyDescent="0.25">
      <c r="A346" s="3" t="s">
        <v>6983</v>
      </c>
      <c r="B346" s="3" t="s">
        <v>6984</v>
      </c>
      <c r="C346" s="3" t="s">
        <v>6985</v>
      </c>
      <c r="D346" s="3" t="s">
        <v>1120</v>
      </c>
      <c r="E346" s="3">
        <v>345</v>
      </c>
      <c r="F346" s="3" t="s">
        <v>388</v>
      </c>
      <c r="G346" s="3" t="s">
        <v>1093</v>
      </c>
      <c r="H346" s="3" t="str">
        <f t="shared" si="5"/>
        <v>Output Stingers_GP_Total_TCG, from Ballast Tanks and Voids.</v>
      </c>
    </row>
    <row r="347" spans="1:8" x14ac:dyDescent="0.25">
      <c r="A347" s="3" t="s">
        <v>6983</v>
      </c>
      <c r="B347" s="3" t="s">
        <v>6984</v>
      </c>
      <c r="C347" s="3" t="s">
        <v>6985</v>
      </c>
      <c r="D347" s="3" t="s">
        <v>1120</v>
      </c>
      <c r="E347" s="3">
        <v>346</v>
      </c>
      <c r="F347" s="3" t="s">
        <v>389</v>
      </c>
      <c r="G347" s="3" t="s">
        <v>1093</v>
      </c>
      <c r="H347" s="3" t="str">
        <f t="shared" si="5"/>
        <v>Output Stingers_GP_Total_VCG, from Ballast Tanks and Voids.</v>
      </c>
    </row>
    <row r="348" spans="1:8" x14ac:dyDescent="0.25">
      <c r="A348" s="3" t="s">
        <v>6983</v>
      </c>
      <c r="B348" s="3" t="s">
        <v>6984</v>
      </c>
      <c r="C348" s="3" t="s">
        <v>6985</v>
      </c>
      <c r="D348" s="3" t="s">
        <v>1120</v>
      </c>
      <c r="E348" s="3">
        <v>347</v>
      </c>
      <c r="F348" s="3" t="s">
        <v>390</v>
      </c>
      <c r="G348" s="3" t="s">
        <v>1100</v>
      </c>
      <c r="H348" s="3" t="str">
        <f t="shared" si="5"/>
        <v>Output Risers_GP_Total_Wt_HI, from Ballast Tanks and Voids.</v>
      </c>
    </row>
    <row r="349" spans="1:8" x14ac:dyDescent="0.25">
      <c r="A349" s="3" t="s">
        <v>6983</v>
      </c>
      <c r="B349" s="3" t="s">
        <v>6984</v>
      </c>
      <c r="C349" s="3" t="s">
        <v>6985</v>
      </c>
      <c r="D349" s="3" t="s">
        <v>1120</v>
      </c>
      <c r="E349" s="3">
        <v>348</v>
      </c>
      <c r="F349" s="3" t="s">
        <v>391</v>
      </c>
      <c r="G349" s="3" t="s">
        <v>1100</v>
      </c>
      <c r="H349" s="3" t="str">
        <f t="shared" si="5"/>
        <v>Output Risers_GP_Total_Wt_LO, from Ballast Tanks and Voids.</v>
      </c>
    </row>
    <row r="350" spans="1:8" x14ac:dyDescent="0.25">
      <c r="A350" s="3" t="s">
        <v>6983</v>
      </c>
      <c r="B350" s="3" t="s">
        <v>6984</v>
      </c>
      <c r="C350" s="3" t="s">
        <v>6985</v>
      </c>
      <c r="D350" s="3" t="s">
        <v>1120</v>
      </c>
      <c r="E350" s="3">
        <v>349</v>
      </c>
      <c r="F350" s="3" t="s">
        <v>392</v>
      </c>
      <c r="G350" s="3" t="s">
        <v>1093</v>
      </c>
      <c r="H350" s="3" t="str">
        <f t="shared" si="5"/>
        <v>Output Risers_GP_Total_LCG, from Ballast Tanks and Voids.</v>
      </c>
    </row>
    <row r="351" spans="1:8" x14ac:dyDescent="0.25">
      <c r="A351" s="3" t="s">
        <v>6983</v>
      </c>
      <c r="B351" s="3" t="s">
        <v>6984</v>
      </c>
      <c r="C351" s="3" t="s">
        <v>6985</v>
      </c>
      <c r="D351" s="3" t="s">
        <v>1120</v>
      </c>
      <c r="E351" s="3">
        <v>350</v>
      </c>
      <c r="F351" s="3" t="s">
        <v>393</v>
      </c>
      <c r="G351" s="3" t="s">
        <v>1093</v>
      </c>
      <c r="H351" s="3" t="str">
        <f t="shared" si="5"/>
        <v>Output Risers_GP_Total_TCG, from Ballast Tanks and Voids.</v>
      </c>
    </row>
    <row r="352" spans="1:8" x14ac:dyDescent="0.25">
      <c r="A352" s="3" t="s">
        <v>6983</v>
      </c>
      <c r="B352" s="3" t="s">
        <v>6984</v>
      </c>
      <c r="C352" s="3" t="s">
        <v>6985</v>
      </c>
      <c r="D352" s="3" t="s">
        <v>1120</v>
      </c>
      <c r="E352" s="3">
        <v>351</v>
      </c>
      <c r="F352" s="3" t="s">
        <v>394</v>
      </c>
      <c r="G352" s="3" t="s">
        <v>1093</v>
      </c>
      <c r="H352" s="3" t="str">
        <f t="shared" si="5"/>
        <v>Output Risers_GP_Total_VCG, from Ballast Tanks and Voids.</v>
      </c>
    </row>
    <row r="353" spans="1:8" x14ac:dyDescent="0.25">
      <c r="A353" s="3" t="s">
        <v>6983</v>
      </c>
      <c r="B353" s="3" t="s">
        <v>6984</v>
      </c>
      <c r="C353" s="3" t="s">
        <v>6985</v>
      </c>
      <c r="D353" s="3" t="s">
        <v>1120</v>
      </c>
      <c r="E353" s="3">
        <v>352</v>
      </c>
      <c r="F353" s="3" t="s">
        <v>395</v>
      </c>
      <c r="G353" s="3" t="s">
        <v>1100</v>
      </c>
      <c r="H353" s="3" t="str">
        <f t="shared" si="5"/>
        <v>Output ML_GP_Total_Wt_HI, from Ballast Tanks and Voids.</v>
      </c>
    </row>
    <row r="354" spans="1:8" x14ac:dyDescent="0.25">
      <c r="A354" s="3" t="s">
        <v>6983</v>
      </c>
      <c r="B354" s="3" t="s">
        <v>6984</v>
      </c>
      <c r="C354" s="3" t="s">
        <v>6985</v>
      </c>
      <c r="D354" s="3" t="s">
        <v>1120</v>
      </c>
      <c r="E354" s="3">
        <v>353</v>
      </c>
      <c r="F354" s="3" t="s">
        <v>396</v>
      </c>
      <c r="G354" s="3" t="s">
        <v>1100</v>
      </c>
      <c r="H354" s="3" t="str">
        <f t="shared" si="5"/>
        <v>Output ML_GP_Total_Wt_LO, from Ballast Tanks and Voids.</v>
      </c>
    </row>
    <row r="355" spans="1:8" x14ac:dyDescent="0.25">
      <c r="A355" s="3" t="s">
        <v>6983</v>
      </c>
      <c r="B355" s="3" t="s">
        <v>6984</v>
      </c>
      <c r="C355" s="3" t="s">
        <v>6985</v>
      </c>
      <c r="D355" s="3" t="s">
        <v>1120</v>
      </c>
      <c r="E355" s="3">
        <v>354</v>
      </c>
      <c r="F355" s="3" t="s">
        <v>397</v>
      </c>
      <c r="G355" s="3" t="s">
        <v>1093</v>
      </c>
      <c r="H355" s="3" t="str">
        <f t="shared" si="5"/>
        <v>Output ML_GP_Total_LCG, from Ballast Tanks and Voids.</v>
      </c>
    </row>
    <row r="356" spans="1:8" x14ac:dyDescent="0.25">
      <c r="A356" s="3" t="s">
        <v>6983</v>
      </c>
      <c r="B356" s="3" t="s">
        <v>6984</v>
      </c>
      <c r="C356" s="3" t="s">
        <v>6985</v>
      </c>
      <c r="D356" s="3" t="s">
        <v>1120</v>
      </c>
      <c r="E356" s="3">
        <v>355</v>
      </c>
      <c r="F356" s="3" t="s">
        <v>398</v>
      </c>
      <c r="G356" s="3" t="s">
        <v>1093</v>
      </c>
      <c r="H356" s="3" t="str">
        <f t="shared" si="5"/>
        <v>Output ML_GP_Total_TCG, from Ballast Tanks and Voids.</v>
      </c>
    </row>
    <row r="357" spans="1:8" x14ac:dyDescent="0.25">
      <c r="A357" s="3" t="s">
        <v>6983</v>
      </c>
      <c r="B357" s="3" t="s">
        <v>6984</v>
      </c>
      <c r="C357" s="3" t="s">
        <v>6985</v>
      </c>
      <c r="D357" s="3" t="s">
        <v>1120</v>
      </c>
      <c r="E357" s="3">
        <v>356</v>
      </c>
      <c r="F357" s="3" t="s">
        <v>399</v>
      </c>
      <c r="G357" s="3" t="s">
        <v>1093</v>
      </c>
      <c r="H357" s="3" t="str">
        <f t="shared" si="5"/>
        <v>Output ML_GP_Total_VCG, from Ballast Tanks and Voids.</v>
      </c>
    </row>
    <row r="358" spans="1:8" x14ac:dyDescent="0.25">
      <c r="A358" s="3" t="s">
        <v>6983</v>
      </c>
      <c r="B358" s="3" t="s">
        <v>6984</v>
      </c>
      <c r="C358" s="3" t="s">
        <v>6985</v>
      </c>
      <c r="D358" s="3" t="s">
        <v>1120</v>
      </c>
      <c r="E358" s="3">
        <v>357</v>
      </c>
      <c r="F358" s="3" t="s">
        <v>400</v>
      </c>
      <c r="G358" s="3" t="s">
        <v>1100</v>
      </c>
      <c r="H358" s="3" t="str">
        <f t="shared" si="5"/>
        <v>Output Misc_Wts_GP_Total_Wt_HI, from Ballast Tanks and Voids.</v>
      </c>
    </row>
    <row r="359" spans="1:8" x14ac:dyDescent="0.25">
      <c r="A359" s="3" t="s">
        <v>6983</v>
      </c>
      <c r="B359" s="3" t="s">
        <v>6984</v>
      </c>
      <c r="C359" s="3" t="s">
        <v>6985</v>
      </c>
      <c r="D359" s="3" t="s">
        <v>1120</v>
      </c>
      <c r="E359" s="3">
        <v>358</v>
      </c>
      <c r="F359" s="3" t="s">
        <v>401</v>
      </c>
      <c r="G359" s="3" t="s">
        <v>1100</v>
      </c>
      <c r="H359" s="3" t="str">
        <f t="shared" si="5"/>
        <v>Output Misc_Wts_GP_Total_Wt_LO, from Ballast Tanks and Voids.</v>
      </c>
    </row>
    <row r="360" spans="1:8" x14ac:dyDescent="0.25">
      <c r="A360" s="3" t="s">
        <v>6983</v>
      </c>
      <c r="B360" s="3" t="s">
        <v>6984</v>
      </c>
      <c r="C360" s="3" t="s">
        <v>6985</v>
      </c>
      <c r="D360" s="3" t="s">
        <v>1120</v>
      </c>
      <c r="E360" s="3">
        <v>359</v>
      </c>
      <c r="F360" s="3" t="s">
        <v>402</v>
      </c>
      <c r="G360" s="3" t="s">
        <v>1093</v>
      </c>
      <c r="H360" s="3" t="str">
        <f t="shared" si="5"/>
        <v>Output Misc_Wts_GP_Total_LCG, from Ballast Tanks and Voids.</v>
      </c>
    </row>
    <row r="361" spans="1:8" x14ac:dyDescent="0.25">
      <c r="A361" s="3" t="s">
        <v>6983</v>
      </c>
      <c r="B361" s="3" t="s">
        <v>6984</v>
      </c>
      <c r="C361" s="3" t="s">
        <v>6985</v>
      </c>
      <c r="D361" s="3" t="s">
        <v>1120</v>
      </c>
      <c r="E361" s="3">
        <v>360</v>
      </c>
      <c r="F361" s="3" t="s">
        <v>403</v>
      </c>
      <c r="G361" s="3" t="s">
        <v>1093</v>
      </c>
      <c r="H361" s="3" t="str">
        <f t="shared" si="5"/>
        <v>Output Misc_Wts_GP_Total_TCG, from Ballast Tanks and Voids.</v>
      </c>
    </row>
    <row r="362" spans="1:8" x14ac:dyDescent="0.25">
      <c r="A362" s="3" t="s">
        <v>6983</v>
      </c>
      <c r="B362" s="3" t="s">
        <v>6984</v>
      </c>
      <c r="C362" s="3" t="s">
        <v>6985</v>
      </c>
      <c r="D362" s="3" t="s">
        <v>1120</v>
      </c>
      <c r="E362" s="3">
        <v>361</v>
      </c>
      <c r="F362" s="3" t="s">
        <v>404</v>
      </c>
      <c r="G362" s="3" t="s">
        <v>1093</v>
      </c>
      <c r="H362" s="3" t="str">
        <f t="shared" si="5"/>
        <v>Output Misc_Wts_GP_Total_VCG, from Ballast Tanks and Voids.</v>
      </c>
    </row>
    <row r="363" spans="1:8" x14ac:dyDescent="0.25">
      <c r="A363" s="3" t="s">
        <v>6983</v>
      </c>
      <c r="B363" s="3" t="s">
        <v>6984</v>
      </c>
      <c r="C363" s="3" t="s">
        <v>6985</v>
      </c>
      <c r="D363" s="3" t="s">
        <v>1120</v>
      </c>
      <c r="E363" s="3">
        <v>362</v>
      </c>
      <c r="F363" s="3" t="s">
        <v>405</v>
      </c>
      <c r="G363" s="3" t="s">
        <v>1100</v>
      </c>
      <c r="H363" s="3" t="str">
        <f t="shared" si="5"/>
        <v>Output Spaces_GP_Total_Wt_HI, from Ballast Tanks and Voids.</v>
      </c>
    </row>
    <row r="364" spans="1:8" x14ac:dyDescent="0.25">
      <c r="A364" s="3" t="s">
        <v>6983</v>
      </c>
      <c r="B364" s="3" t="s">
        <v>6984</v>
      </c>
      <c r="C364" s="3" t="s">
        <v>6985</v>
      </c>
      <c r="D364" s="3" t="s">
        <v>1120</v>
      </c>
      <c r="E364" s="3">
        <v>363</v>
      </c>
      <c r="F364" s="3" t="s">
        <v>406</v>
      </c>
      <c r="G364" s="3" t="s">
        <v>1100</v>
      </c>
      <c r="H364" s="3" t="str">
        <f t="shared" si="5"/>
        <v>Output Spaces_GP_Total_Wt_LO, from Ballast Tanks and Voids.</v>
      </c>
    </row>
    <row r="365" spans="1:8" x14ac:dyDescent="0.25">
      <c r="A365" s="3" t="s">
        <v>6983</v>
      </c>
      <c r="B365" s="3" t="s">
        <v>6984</v>
      </c>
      <c r="C365" s="3" t="s">
        <v>6985</v>
      </c>
      <c r="D365" s="3" t="s">
        <v>1120</v>
      </c>
      <c r="E365" s="3">
        <v>364</v>
      </c>
      <c r="F365" s="3" t="s">
        <v>407</v>
      </c>
      <c r="G365" s="3" t="s">
        <v>1093</v>
      </c>
      <c r="H365" s="3" t="str">
        <f t="shared" si="5"/>
        <v>Output Spaces_GP_Total_LCG, from Ballast Tanks and Voids.</v>
      </c>
    </row>
    <row r="366" spans="1:8" x14ac:dyDescent="0.25">
      <c r="A366" s="3" t="s">
        <v>6983</v>
      </c>
      <c r="B366" s="3" t="s">
        <v>6984</v>
      </c>
      <c r="C366" s="3" t="s">
        <v>6985</v>
      </c>
      <c r="D366" s="3" t="s">
        <v>1120</v>
      </c>
      <c r="E366" s="3">
        <v>365</v>
      </c>
      <c r="F366" s="3" t="s">
        <v>408</v>
      </c>
      <c r="G366" s="3" t="s">
        <v>1093</v>
      </c>
      <c r="H366" s="3" t="str">
        <f t="shared" si="5"/>
        <v>Output Spaces_GP_Total_TCG, from Ballast Tanks and Voids.</v>
      </c>
    </row>
    <row r="367" spans="1:8" x14ac:dyDescent="0.25">
      <c r="A367" s="3" t="s">
        <v>6983</v>
      </c>
      <c r="B367" s="3" t="s">
        <v>6984</v>
      </c>
      <c r="C367" s="3" t="s">
        <v>6985</v>
      </c>
      <c r="D367" s="3" t="s">
        <v>1120</v>
      </c>
      <c r="E367" s="3">
        <v>366</v>
      </c>
      <c r="F367" s="3" t="s">
        <v>409</v>
      </c>
      <c r="G367" s="3" t="s">
        <v>1093</v>
      </c>
      <c r="H367" s="3" t="str">
        <f t="shared" si="5"/>
        <v>Output Spaces_GP_Total_VCG, from Ballast Tanks and Voids.</v>
      </c>
    </row>
    <row r="368" spans="1:8" x14ac:dyDescent="0.25">
      <c r="A368" s="3" t="s">
        <v>6983</v>
      </c>
      <c r="B368" s="3" t="s">
        <v>6984</v>
      </c>
      <c r="C368" s="3" t="s">
        <v>6985</v>
      </c>
      <c r="D368" s="3" t="s">
        <v>1120</v>
      </c>
      <c r="E368" s="3">
        <v>367</v>
      </c>
      <c r="F368" s="3" t="s">
        <v>410</v>
      </c>
      <c r="G368" s="3" t="s">
        <v>1104</v>
      </c>
      <c r="H368" s="3" t="str">
        <f t="shared" si="5"/>
        <v>Output Last_Updated, from Ballast Tanks and Voids.</v>
      </c>
    </row>
    <row r="369" spans="1:8" x14ac:dyDescent="0.25">
      <c r="A369" s="3" t="s">
        <v>6983</v>
      </c>
      <c r="B369" s="3" t="s">
        <v>6984</v>
      </c>
      <c r="C369" s="3" t="s">
        <v>6985</v>
      </c>
      <c r="D369" s="3" t="s">
        <v>1121</v>
      </c>
      <c r="E369" s="3">
        <v>368</v>
      </c>
      <c r="F369" s="3" t="s">
        <v>411</v>
      </c>
      <c r="G369" s="3" t="s">
        <v>1100</v>
      </c>
      <c r="H369" s="3" t="str">
        <f>_xlfn.CONCAT("Output ",F369, ", computed by LMP MAS software.")</f>
        <v>Output ML 1 Tension Fr Position, computed by LMP MAS software.</v>
      </c>
    </row>
    <row r="370" spans="1:8" x14ac:dyDescent="0.25">
      <c r="A370" s="3" t="s">
        <v>6983</v>
      </c>
      <c r="B370" s="3" t="s">
        <v>6984</v>
      </c>
      <c r="C370" s="3" t="s">
        <v>6985</v>
      </c>
      <c r="D370" s="3" t="s">
        <v>1121</v>
      </c>
      <c r="E370" s="3">
        <v>369</v>
      </c>
      <c r="F370" s="3" t="s">
        <v>412</v>
      </c>
      <c r="G370" s="3" t="s">
        <v>1100</v>
      </c>
      <c r="H370" s="3" t="str">
        <f t="shared" ref="H370:H433" si="6">_xlfn.CONCAT("Output ",F370, ", computed by LMP MAS software.")</f>
        <v>Output ML 2 Tension Fr Position, computed by LMP MAS software.</v>
      </c>
    </row>
    <row r="371" spans="1:8" x14ac:dyDescent="0.25">
      <c r="A371" s="3" t="s">
        <v>6983</v>
      </c>
      <c r="B371" s="3" t="s">
        <v>6984</v>
      </c>
      <c r="C371" s="3" t="s">
        <v>6985</v>
      </c>
      <c r="D371" s="3" t="s">
        <v>1121</v>
      </c>
      <c r="E371" s="3">
        <v>370</v>
      </c>
      <c r="F371" s="3" t="s">
        <v>413</v>
      </c>
      <c r="G371" s="3" t="s">
        <v>1100</v>
      </c>
      <c r="H371" s="3" t="str">
        <f t="shared" si="6"/>
        <v>Output ML 3 Tension Fr Position, computed by LMP MAS software.</v>
      </c>
    </row>
    <row r="372" spans="1:8" x14ac:dyDescent="0.25">
      <c r="A372" s="3" t="s">
        <v>6983</v>
      </c>
      <c r="B372" s="3" t="s">
        <v>6984</v>
      </c>
      <c r="C372" s="3" t="s">
        <v>6985</v>
      </c>
      <c r="D372" s="3" t="s">
        <v>1121</v>
      </c>
      <c r="E372" s="3">
        <v>371</v>
      </c>
      <c r="F372" s="3" t="s">
        <v>414</v>
      </c>
      <c r="G372" s="3" t="s">
        <v>1100</v>
      </c>
      <c r="H372" s="3" t="str">
        <f t="shared" si="6"/>
        <v>Output ML 4 Tension Fr Position, computed by LMP MAS software.</v>
      </c>
    </row>
    <row r="373" spans="1:8" x14ac:dyDescent="0.25">
      <c r="A373" s="3" t="s">
        <v>6983</v>
      </c>
      <c r="B373" s="3" t="s">
        <v>6984</v>
      </c>
      <c r="C373" s="3" t="s">
        <v>6985</v>
      </c>
      <c r="D373" s="3" t="s">
        <v>1121</v>
      </c>
      <c r="E373" s="3">
        <v>372</v>
      </c>
      <c r="F373" s="3" t="s">
        <v>415</v>
      </c>
      <c r="G373" s="3" t="s">
        <v>1100</v>
      </c>
      <c r="H373" s="3" t="str">
        <f t="shared" si="6"/>
        <v>Output ML 5 Tension Fr Position, computed by LMP MAS software.</v>
      </c>
    </row>
    <row r="374" spans="1:8" x14ac:dyDescent="0.25">
      <c r="A374" s="3" t="s">
        <v>6983</v>
      </c>
      <c r="B374" s="3" t="s">
        <v>6984</v>
      </c>
      <c r="C374" s="3" t="s">
        <v>6985</v>
      </c>
      <c r="D374" s="3" t="s">
        <v>1121</v>
      </c>
      <c r="E374" s="3">
        <v>373</v>
      </c>
      <c r="F374" s="3" t="s">
        <v>416</v>
      </c>
      <c r="G374" s="3" t="s">
        <v>1100</v>
      </c>
      <c r="H374" s="3" t="str">
        <f t="shared" si="6"/>
        <v>Output ML 6 Tension Fr Position, computed by LMP MAS software.</v>
      </c>
    </row>
    <row r="375" spans="1:8" x14ac:dyDescent="0.25">
      <c r="A375" s="3" t="s">
        <v>6983</v>
      </c>
      <c r="B375" s="3" t="s">
        <v>6984</v>
      </c>
      <c r="C375" s="3" t="s">
        <v>6985</v>
      </c>
      <c r="D375" s="3" t="s">
        <v>1121</v>
      </c>
      <c r="E375" s="3">
        <v>374</v>
      </c>
      <c r="F375" s="3" t="s">
        <v>417</v>
      </c>
      <c r="G375" s="3" t="s">
        <v>1100</v>
      </c>
      <c r="H375" s="3" t="str">
        <f t="shared" si="6"/>
        <v>Output ML 7 Tension Fr Position, computed by LMP MAS software.</v>
      </c>
    </row>
    <row r="376" spans="1:8" x14ac:dyDescent="0.25">
      <c r="A376" s="3" t="s">
        <v>6983</v>
      </c>
      <c r="B376" s="3" t="s">
        <v>6984</v>
      </c>
      <c r="C376" s="3" t="s">
        <v>6985</v>
      </c>
      <c r="D376" s="3" t="s">
        <v>1121</v>
      </c>
      <c r="E376" s="3">
        <v>375</v>
      </c>
      <c r="F376" s="3" t="s">
        <v>418</v>
      </c>
      <c r="G376" s="3" t="s">
        <v>1100</v>
      </c>
      <c r="H376" s="3" t="str">
        <f t="shared" si="6"/>
        <v>Output ML 8 Tension Fr Position, computed by LMP MAS software.</v>
      </c>
    </row>
    <row r="377" spans="1:8" x14ac:dyDescent="0.25">
      <c r="A377" s="3" t="s">
        <v>6983</v>
      </c>
      <c r="B377" s="3" t="s">
        <v>6984</v>
      </c>
      <c r="C377" s="3" t="s">
        <v>6985</v>
      </c>
      <c r="D377" s="3" t="s">
        <v>1121</v>
      </c>
      <c r="E377" s="3">
        <v>376</v>
      </c>
      <c r="F377" s="3" t="s">
        <v>419</v>
      </c>
      <c r="G377" s="3" t="s">
        <v>1100</v>
      </c>
      <c r="H377" s="3" t="str">
        <f t="shared" si="6"/>
        <v>Output ML 9 Tension Fr Position, computed by LMP MAS software.</v>
      </c>
    </row>
    <row r="378" spans="1:8" x14ac:dyDescent="0.25">
      <c r="A378" s="3" t="s">
        <v>6983</v>
      </c>
      <c r="B378" s="3" t="s">
        <v>6984</v>
      </c>
      <c r="C378" s="3" t="s">
        <v>6985</v>
      </c>
      <c r="D378" s="3" t="s">
        <v>1121</v>
      </c>
      <c r="E378" s="3">
        <v>377</v>
      </c>
      <c r="F378" s="3" t="s">
        <v>420</v>
      </c>
      <c r="G378" s="3" t="s">
        <v>1100</v>
      </c>
      <c r="H378" s="3" t="str">
        <f t="shared" si="6"/>
        <v>Output ML 10 Tension Fr Position, computed by LMP MAS software.</v>
      </c>
    </row>
    <row r="379" spans="1:8" x14ac:dyDescent="0.25">
      <c r="A379" s="3" t="s">
        <v>6983</v>
      </c>
      <c r="B379" s="3" t="s">
        <v>6984</v>
      </c>
      <c r="C379" s="3" t="s">
        <v>6985</v>
      </c>
      <c r="D379" s="3" t="s">
        <v>1121</v>
      </c>
      <c r="E379" s="3">
        <v>378</v>
      </c>
      <c r="F379" s="3" t="s">
        <v>421</v>
      </c>
      <c r="G379" s="3" t="s">
        <v>1100</v>
      </c>
      <c r="H379" s="3" t="str">
        <f t="shared" si="6"/>
        <v>Output ML 11 Tension Fr Position, computed by LMP MAS software.</v>
      </c>
    </row>
    <row r="380" spans="1:8" x14ac:dyDescent="0.25">
      <c r="A380" s="3" t="s">
        <v>6983</v>
      </c>
      <c r="B380" s="3" t="s">
        <v>6984</v>
      </c>
      <c r="C380" s="3" t="s">
        <v>6985</v>
      </c>
      <c r="D380" s="3" t="s">
        <v>1121</v>
      </c>
      <c r="E380" s="3">
        <v>379</v>
      </c>
      <c r="F380" s="3" t="s">
        <v>422</v>
      </c>
      <c r="G380" s="3" t="s">
        <v>1100</v>
      </c>
      <c r="H380" s="3" t="str">
        <f t="shared" si="6"/>
        <v>Output ML 12 Tension Fr Position, computed by LMP MAS software.</v>
      </c>
    </row>
    <row r="381" spans="1:8" x14ac:dyDescent="0.25">
      <c r="A381" s="3" t="s">
        <v>6983</v>
      </c>
      <c r="B381" s="3" t="s">
        <v>6984</v>
      </c>
      <c r="C381" s="3" t="s">
        <v>6985</v>
      </c>
      <c r="D381" s="3" t="s">
        <v>1121</v>
      </c>
      <c r="E381" s="3">
        <v>380</v>
      </c>
      <c r="F381" s="3" t="s">
        <v>423</v>
      </c>
      <c r="G381" s="3" t="s">
        <v>1100</v>
      </c>
      <c r="H381" s="3" t="str">
        <f t="shared" si="6"/>
        <v>Output ML 13 Tension Fr Position, computed by LMP MAS software.</v>
      </c>
    </row>
    <row r="382" spans="1:8" x14ac:dyDescent="0.25">
      <c r="A382" s="3" t="s">
        <v>6983</v>
      </c>
      <c r="B382" s="3" t="s">
        <v>6984</v>
      </c>
      <c r="C382" s="3" t="s">
        <v>6985</v>
      </c>
      <c r="D382" s="3" t="s">
        <v>1121</v>
      </c>
      <c r="E382" s="3">
        <v>381</v>
      </c>
      <c r="F382" s="3" t="s">
        <v>424</v>
      </c>
      <c r="G382" s="3" t="s">
        <v>1100</v>
      </c>
      <c r="H382" s="3" t="str">
        <f t="shared" si="6"/>
        <v>Output ML 14 Tension Fr Position, computed by LMP MAS software.</v>
      </c>
    </row>
    <row r="383" spans="1:8" x14ac:dyDescent="0.25">
      <c r="A383" s="3" t="s">
        <v>6983</v>
      </c>
      <c r="B383" s="3" t="s">
        <v>6984</v>
      </c>
      <c r="C383" s="3" t="s">
        <v>6985</v>
      </c>
      <c r="D383" s="3" t="s">
        <v>1121</v>
      </c>
      <c r="E383" s="3">
        <v>382</v>
      </c>
      <c r="F383" s="3" t="s">
        <v>425</v>
      </c>
      <c r="G383" s="3" t="s">
        <v>1100</v>
      </c>
      <c r="H383" s="3" t="str">
        <f t="shared" si="6"/>
        <v>Output ML 15 Tension Fr Position, computed by LMP MAS software.</v>
      </c>
    </row>
    <row r="384" spans="1:8" x14ac:dyDescent="0.25">
      <c r="A384" s="3" t="s">
        <v>6983</v>
      </c>
      <c r="B384" s="3" t="s">
        <v>6984</v>
      </c>
      <c r="C384" s="3" t="s">
        <v>6985</v>
      </c>
      <c r="D384" s="3" t="s">
        <v>1121</v>
      </c>
      <c r="E384" s="3">
        <v>383</v>
      </c>
      <c r="F384" s="3" t="s">
        <v>426</v>
      </c>
      <c r="G384" s="3" t="s">
        <v>1100</v>
      </c>
      <c r="H384" s="3" t="str">
        <f t="shared" si="6"/>
        <v>Output ML 16 Tension Fr Position, computed by LMP MAS software.</v>
      </c>
    </row>
    <row r="385" spans="1:8" x14ac:dyDescent="0.25">
      <c r="A385" s="3" t="s">
        <v>6983</v>
      </c>
      <c r="B385" s="3" t="s">
        <v>6984</v>
      </c>
      <c r="C385" s="3" t="s">
        <v>6985</v>
      </c>
      <c r="D385" s="3" t="s">
        <v>1121</v>
      </c>
      <c r="E385" s="3">
        <v>384</v>
      </c>
      <c r="F385" s="3" t="s">
        <v>427</v>
      </c>
      <c r="G385" s="3" t="s">
        <v>1100</v>
      </c>
      <c r="H385" s="3" t="str">
        <f t="shared" si="6"/>
        <v>Output ML 1 Tension Fr Angle, computed by LMP MAS software.</v>
      </c>
    </row>
    <row r="386" spans="1:8" x14ac:dyDescent="0.25">
      <c r="A386" s="3" t="s">
        <v>6983</v>
      </c>
      <c r="B386" s="3" t="s">
        <v>6984</v>
      </c>
      <c r="C386" s="3" t="s">
        <v>6985</v>
      </c>
      <c r="D386" s="3" t="s">
        <v>1121</v>
      </c>
      <c r="E386" s="3">
        <v>385</v>
      </c>
      <c r="F386" s="3" t="s">
        <v>428</v>
      </c>
      <c r="G386" s="3" t="s">
        <v>1100</v>
      </c>
      <c r="H386" s="3" t="str">
        <f t="shared" si="6"/>
        <v>Output ML 2 Tension Fr Angle, computed by LMP MAS software.</v>
      </c>
    </row>
    <row r="387" spans="1:8" x14ac:dyDescent="0.25">
      <c r="A387" s="3" t="s">
        <v>6983</v>
      </c>
      <c r="B387" s="3" t="s">
        <v>6984</v>
      </c>
      <c r="C387" s="3" t="s">
        <v>6985</v>
      </c>
      <c r="D387" s="3" t="s">
        <v>1121</v>
      </c>
      <c r="E387" s="3">
        <v>386</v>
      </c>
      <c r="F387" s="3" t="s">
        <v>429</v>
      </c>
      <c r="G387" s="3" t="s">
        <v>1100</v>
      </c>
      <c r="H387" s="3" t="str">
        <f t="shared" si="6"/>
        <v>Output ML 3 Tension Fr Angle, computed by LMP MAS software.</v>
      </c>
    </row>
    <row r="388" spans="1:8" x14ac:dyDescent="0.25">
      <c r="A388" s="3" t="s">
        <v>6983</v>
      </c>
      <c r="B388" s="3" t="s">
        <v>6984</v>
      </c>
      <c r="C388" s="3" t="s">
        <v>6985</v>
      </c>
      <c r="D388" s="3" t="s">
        <v>1121</v>
      </c>
      <c r="E388" s="3">
        <v>387</v>
      </c>
      <c r="F388" s="3" t="s">
        <v>430</v>
      </c>
      <c r="G388" s="3" t="s">
        <v>1100</v>
      </c>
      <c r="H388" s="3" t="str">
        <f t="shared" si="6"/>
        <v>Output ML 4 Tension Fr Angle, computed by LMP MAS software.</v>
      </c>
    </row>
    <row r="389" spans="1:8" x14ac:dyDescent="0.25">
      <c r="A389" s="3" t="s">
        <v>6983</v>
      </c>
      <c r="B389" s="3" t="s">
        <v>6984</v>
      </c>
      <c r="C389" s="3" t="s">
        <v>6985</v>
      </c>
      <c r="D389" s="3" t="s">
        <v>1121</v>
      </c>
      <c r="E389" s="3">
        <v>388</v>
      </c>
      <c r="F389" s="3" t="s">
        <v>431</v>
      </c>
      <c r="G389" s="3" t="s">
        <v>1100</v>
      </c>
      <c r="H389" s="3" t="str">
        <f t="shared" si="6"/>
        <v>Output ML 5 Tension Fr Angle, computed by LMP MAS software.</v>
      </c>
    </row>
    <row r="390" spans="1:8" x14ac:dyDescent="0.25">
      <c r="A390" s="3" t="s">
        <v>6983</v>
      </c>
      <c r="B390" s="3" t="s">
        <v>6984</v>
      </c>
      <c r="C390" s="3" t="s">
        <v>6985</v>
      </c>
      <c r="D390" s="3" t="s">
        <v>1121</v>
      </c>
      <c r="E390" s="3">
        <v>389</v>
      </c>
      <c r="F390" s="3" t="s">
        <v>432</v>
      </c>
      <c r="G390" s="3" t="s">
        <v>1100</v>
      </c>
      <c r="H390" s="3" t="str">
        <f t="shared" si="6"/>
        <v>Output ML 6 Tension Fr Angle, computed by LMP MAS software.</v>
      </c>
    </row>
    <row r="391" spans="1:8" x14ac:dyDescent="0.25">
      <c r="A391" s="3" t="s">
        <v>6983</v>
      </c>
      <c r="B391" s="3" t="s">
        <v>6984</v>
      </c>
      <c r="C391" s="3" t="s">
        <v>6985</v>
      </c>
      <c r="D391" s="3" t="s">
        <v>1121</v>
      </c>
      <c r="E391" s="3">
        <v>390</v>
      </c>
      <c r="F391" s="3" t="s">
        <v>433</v>
      </c>
      <c r="G391" s="3" t="s">
        <v>1100</v>
      </c>
      <c r="H391" s="3" t="str">
        <f t="shared" si="6"/>
        <v>Output ML 7 Tension Fr Angle, computed by LMP MAS software.</v>
      </c>
    </row>
    <row r="392" spans="1:8" x14ac:dyDescent="0.25">
      <c r="A392" s="3" t="s">
        <v>6983</v>
      </c>
      <c r="B392" s="3" t="s">
        <v>6984</v>
      </c>
      <c r="C392" s="3" t="s">
        <v>6985</v>
      </c>
      <c r="D392" s="3" t="s">
        <v>1121</v>
      </c>
      <c r="E392" s="3">
        <v>391</v>
      </c>
      <c r="F392" s="3" t="s">
        <v>434</v>
      </c>
      <c r="G392" s="3" t="s">
        <v>1100</v>
      </c>
      <c r="H392" s="3" t="str">
        <f t="shared" si="6"/>
        <v>Output ML 8 Tension Fr Angle, computed by LMP MAS software.</v>
      </c>
    </row>
    <row r="393" spans="1:8" x14ac:dyDescent="0.25">
      <c r="A393" s="3" t="s">
        <v>6983</v>
      </c>
      <c r="B393" s="3" t="s">
        <v>6984</v>
      </c>
      <c r="C393" s="3" t="s">
        <v>6985</v>
      </c>
      <c r="D393" s="3" t="s">
        <v>1121</v>
      </c>
      <c r="E393" s="3">
        <v>392</v>
      </c>
      <c r="F393" s="3" t="s">
        <v>435</v>
      </c>
      <c r="G393" s="3" t="s">
        <v>1100</v>
      </c>
      <c r="H393" s="3" t="str">
        <f t="shared" si="6"/>
        <v>Output ML 9 Tension Fr Angle, computed by LMP MAS software.</v>
      </c>
    </row>
    <row r="394" spans="1:8" x14ac:dyDescent="0.25">
      <c r="A394" s="3" t="s">
        <v>6983</v>
      </c>
      <c r="B394" s="3" t="s">
        <v>6984</v>
      </c>
      <c r="C394" s="3" t="s">
        <v>6985</v>
      </c>
      <c r="D394" s="3" t="s">
        <v>1121</v>
      </c>
      <c r="E394" s="3">
        <v>393</v>
      </c>
      <c r="F394" s="3" t="s">
        <v>436</v>
      </c>
      <c r="G394" s="3" t="s">
        <v>1100</v>
      </c>
      <c r="H394" s="3" t="str">
        <f t="shared" si="6"/>
        <v>Output ML 10 Tension Fr Angle, computed by LMP MAS software.</v>
      </c>
    </row>
    <row r="395" spans="1:8" x14ac:dyDescent="0.25">
      <c r="A395" s="3" t="s">
        <v>6983</v>
      </c>
      <c r="B395" s="3" t="s">
        <v>6984</v>
      </c>
      <c r="C395" s="3" t="s">
        <v>6985</v>
      </c>
      <c r="D395" s="3" t="s">
        <v>1121</v>
      </c>
      <c r="E395" s="3">
        <v>394</v>
      </c>
      <c r="F395" s="3" t="s">
        <v>437</v>
      </c>
      <c r="G395" s="3" t="s">
        <v>1100</v>
      </c>
      <c r="H395" s="3" t="str">
        <f t="shared" si="6"/>
        <v>Output ML 11 Tension Fr Angle, computed by LMP MAS software.</v>
      </c>
    </row>
    <row r="396" spans="1:8" x14ac:dyDescent="0.25">
      <c r="A396" s="3" t="s">
        <v>6983</v>
      </c>
      <c r="B396" s="3" t="s">
        <v>6984</v>
      </c>
      <c r="C396" s="3" t="s">
        <v>6985</v>
      </c>
      <c r="D396" s="3" t="s">
        <v>1121</v>
      </c>
      <c r="E396" s="3">
        <v>395</v>
      </c>
      <c r="F396" s="3" t="s">
        <v>438</v>
      </c>
      <c r="G396" s="3" t="s">
        <v>1100</v>
      </c>
      <c r="H396" s="3" t="str">
        <f t="shared" si="6"/>
        <v>Output ML 12 Tension Fr Angle, computed by LMP MAS software.</v>
      </c>
    </row>
    <row r="397" spans="1:8" x14ac:dyDescent="0.25">
      <c r="A397" s="3" t="s">
        <v>6983</v>
      </c>
      <c r="B397" s="3" t="s">
        <v>6984</v>
      </c>
      <c r="C397" s="3" t="s">
        <v>6985</v>
      </c>
      <c r="D397" s="3" t="s">
        <v>1121</v>
      </c>
      <c r="E397" s="3">
        <v>396</v>
      </c>
      <c r="F397" s="3" t="s">
        <v>439</v>
      </c>
      <c r="G397" s="3" t="s">
        <v>1100</v>
      </c>
      <c r="H397" s="3" t="str">
        <f t="shared" si="6"/>
        <v>Output ML 13 Tension Fr Angle, computed by LMP MAS software.</v>
      </c>
    </row>
    <row r="398" spans="1:8" x14ac:dyDescent="0.25">
      <c r="A398" s="3" t="s">
        <v>6983</v>
      </c>
      <c r="B398" s="3" t="s">
        <v>6984</v>
      </c>
      <c r="C398" s="3" t="s">
        <v>6985</v>
      </c>
      <c r="D398" s="3" t="s">
        <v>1121</v>
      </c>
      <c r="E398" s="3">
        <v>397</v>
      </c>
      <c r="F398" s="3" t="s">
        <v>440</v>
      </c>
      <c r="G398" s="3" t="s">
        <v>1100</v>
      </c>
      <c r="H398" s="3" t="str">
        <f t="shared" si="6"/>
        <v>Output ML 14 Tension Fr Angle, computed by LMP MAS software.</v>
      </c>
    </row>
    <row r="399" spans="1:8" x14ac:dyDescent="0.25">
      <c r="A399" s="3" t="s">
        <v>6983</v>
      </c>
      <c r="B399" s="3" t="s">
        <v>6984</v>
      </c>
      <c r="C399" s="3" t="s">
        <v>6985</v>
      </c>
      <c r="D399" s="3" t="s">
        <v>1121</v>
      </c>
      <c r="E399" s="3">
        <v>398</v>
      </c>
      <c r="F399" s="3" t="s">
        <v>441</v>
      </c>
      <c r="G399" s="3" t="s">
        <v>1100</v>
      </c>
      <c r="H399" s="3" t="str">
        <f t="shared" si="6"/>
        <v>Output ML 15 Tension Fr Angle, computed by LMP MAS software.</v>
      </c>
    </row>
    <row r="400" spans="1:8" x14ac:dyDescent="0.25">
      <c r="A400" s="3" t="s">
        <v>6983</v>
      </c>
      <c r="B400" s="3" t="s">
        <v>6984</v>
      </c>
      <c r="C400" s="3" t="s">
        <v>6985</v>
      </c>
      <c r="D400" s="3" t="s">
        <v>1121</v>
      </c>
      <c r="E400" s="3">
        <v>399</v>
      </c>
      <c r="F400" s="3" t="s">
        <v>442</v>
      </c>
      <c r="G400" s="3" t="s">
        <v>1100</v>
      </c>
      <c r="H400" s="3" t="str">
        <f t="shared" si="6"/>
        <v>Output ML 16 Tension Fr Angle, computed by LMP MAS software.</v>
      </c>
    </row>
    <row r="401" spans="1:8" x14ac:dyDescent="0.25">
      <c r="A401" s="3" t="s">
        <v>6983</v>
      </c>
      <c r="B401" s="3" t="s">
        <v>6984</v>
      </c>
      <c r="C401" s="3" t="s">
        <v>6985</v>
      </c>
      <c r="D401" s="3" t="s">
        <v>1121</v>
      </c>
      <c r="E401" s="3">
        <v>400</v>
      </c>
      <c r="F401" s="3" t="s">
        <v>1367</v>
      </c>
      <c r="G401" s="3" t="s">
        <v>4</v>
      </c>
      <c r="H401" s="3" t="str">
        <f t="shared" si="6"/>
        <v>Output ML 1 Fr Position, computed by LMP MAS software.</v>
      </c>
    </row>
    <row r="402" spans="1:8" x14ac:dyDescent="0.25">
      <c r="A402" s="3" t="s">
        <v>6983</v>
      </c>
      <c r="B402" s="3" t="s">
        <v>6984</v>
      </c>
      <c r="C402" s="3" t="s">
        <v>6985</v>
      </c>
      <c r="D402" s="3" t="s">
        <v>1121</v>
      </c>
      <c r="E402" s="3">
        <v>401</v>
      </c>
      <c r="F402" s="3" t="s">
        <v>1368</v>
      </c>
      <c r="G402" s="3" t="s">
        <v>4</v>
      </c>
      <c r="H402" s="3" t="str">
        <f t="shared" si="6"/>
        <v>Output ML 2 Fr Position, computed by LMP MAS software.</v>
      </c>
    </row>
    <row r="403" spans="1:8" x14ac:dyDescent="0.25">
      <c r="A403" s="3" t="s">
        <v>6983</v>
      </c>
      <c r="B403" s="3" t="s">
        <v>6984</v>
      </c>
      <c r="C403" s="3" t="s">
        <v>6985</v>
      </c>
      <c r="D403" s="3" t="s">
        <v>1121</v>
      </c>
      <c r="E403" s="3">
        <v>402</v>
      </c>
      <c r="F403" s="3" t="s">
        <v>1369</v>
      </c>
      <c r="G403" s="3" t="s">
        <v>4</v>
      </c>
      <c r="H403" s="3" t="str">
        <f t="shared" si="6"/>
        <v>Output ML 3 Fr Position, computed by LMP MAS software.</v>
      </c>
    </row>
    <row r="404" spans="1:8" x14ac:dyDescent="0.25">
      <c r="A404" s="3" t="s">
        <v>6983</v>
      </c>
      <c r="B404" s="3" t="s">
        <v>6984</v>
      </c>
      <c r="C404" s="3" t="s">
        <v>6985</v>
      </c>
      <c r="D404" s="3" t="s">
        <v>1121</v>
      </c>
      <c r="E404" s="3">
        <v>403</v>
      </c>
      <c r="F404" s="3" t="s">
        <v>1370</v>
      </c>
      <c r="G404" s="3" t="s">
        <v>4</v>
      </c>
      <c r="H404" s="3" t="str">
        <f t="shared" si="6"/>
        <v>Output ML 4 Fr Position, computed by LMP MAS software.</v>
      </c>
    </row>
    <row r="405" spans="1:8" x14ac:dyDescent="0.25">
      <c r="A405" s="3" t="s">
        <v>6983</v>
      </c>
      <c r="B405" s="3" t="s">
        <v>6984</v>
      </c>
      <c r="C405" s="3" t="s">
        <v>6985</v>
      </c>
      <c r="D405" s="3" t="s">
        <v>1121</v>
      </c>
      <c r="E405" s="3">
        <v>404</v>
      </c>
      <c r="F405" s="3" t="s">
        <v>1371</v>
      </c>
      <c r="G405" s="3" t="s">
        <v>4</v>
      </c>
      <c r="H405" s="3" t="str">
        <f t="shared" si="6"/>
        <v>Output ML 5 Fr Position, computed by LMP MAS software.</v>
      </c>
    </row>
    <row r="406" spans="1:8" x14ac:dyDescent="0.25">
      <c r="A406" s="3" t="s">
        <v>6983</v>
      </c>
      <c r="B406" s="3" t="s">
        <v>6984</v>
      </c>
      <c r="C406" s="3" t="s">
        <v>6985</v>
      </c>
      <c r="D406" s="3" t="s">
        <v>1121</v>
      </c>
      <c r="E406" s="3">
        <v>405</v>
      </c>
      <c r="F406" s="3" t="s">
        <v>1372</v>
      </c>
      <c r="G406" s="3" t="s">
        <v>4</v>
      </c>
      <c r="H406" s="3" t="str">
        <f t="shared" si="6"/>
        <v>Output ML 6 Fr Position, computed by LMP MAS software.</v>
      </c>
    </row>
    <row r="407" spans="1:8" x14ac:dyDescent="0.25">
      <c r="A407" s="3" t="s">
        <v>6983</v>
      </c>
      <c r="B407" s="3" t="s">
        <v>6984</v>
      </c>
      <c r="C407" s="3" t="s">
        <v>6985</v>
      </c>
      <c r="D407" s="3" t="s">
        <v>1121</v>
      </c>
      <c r="E407" s="3">
        <v>406</v>
      </c>
      <c r="F407" s="3" t="s">
        <v>1373</v>
      </c>
      <c r="G407" s="3" t="s">
        <v>4</v>
      </c>
      <c r="H407" s="3" t="str">
        <f t="shared" si="6"/>
        <v>Output ML 7 Fr Position, computed by LMP MAS software.</v>
      </c>
    </row>
    <row r="408" spans="1:8" x14ac:dyDescent="0.25">
      <c r="A408" s="3" t="s">
        <v>6983</v>
      </c>
      <c r="B408" s="3" t="s">
        <v>6984</v>
      </c>
      <c r="C408" s="3" t="s">
        <v>6985</v>
      </c>
      <c r="D408" s="3" t="s">
        <v>1121</v>
      </c>
      <c r="E408" s="3">
        <v>407</v>
      </c>
      <c r="F408" s="3" t="s">
        <v>1374</v>
      </c>
      <c r="G408" s="3" t="s">
        <v>4</v>
      </c>
      <c r="H408" s="3" t="str">
        <f t="shared" si="6"/>
        <v>Output ML 8 Fr Position, computed by LMP MAS software.</v>
      </c>
    </row>
    <row r="409" spans="1:8" x14ac:dyDescent="0.25">
      <c r="A409" s="3" t="s">
        <v>6983</v>
      </c>
      <c r="B409" s="3" t="s">
        <v>6984</v>
      </c>
      <c r="C409" s="3" t="s">
        <v>6985</v>
      </c>
      <c r="D409" s="3" t="s">
        <v>1121</v>
      </c>
      <c r="E409" s="3">
        <v>408</v>
      </c>
      <c r="F409" s="3" t="s">
        <v>1375</v>
      </c>
      <c r="G409" s="3" t="s">
        <v>4</v>
      </c>
      <c r="H409" s="3" t="str">
        <f t="shared" si="6"/>
        <v>Output ML 9 Fr Position, computed by LMP MAS software.</v>
      </c>
    </row>
    <row r="410" spans="1:8" x14ac:dyDescent="0.25">
      <c r="A410" s="3" t="s">
        <v>6983</v>
      </c>
      <c r="B410" s="3" t="s">
        <v>6984</v>
      </c>
      <c r="C410" s="3" t="s">
        <v>6985</v>
      </c>
      <c r="D410" s="3" t="s">
        <v>1121</v>
      </c>
      <c r="E410" s="3">
        <v>409</v>
      </c>
      <c r="F410" s="3" t="s">
        <v>1376</v>
      </c>
      <c r="G410" s="3" t="s">
        <v>4</v>
      </c>
      <c r="H410" s="3" t="str">
        <f t="shared" si="6"/>
        <v>Output ML 10 Fr Position, computed by LMP MAS software.</v>
      </c>
    </row>
    <row r="411" spans="1:8" x14ac:dyDescent="0.25">
      <c r="A411" s="3" t="s">
        <v>6983</v>
      </c>
      <c r="B411" s="3" t="s">
        <v>6984</v>
      </c>
      <c r="C411" s="3" t="s">
        <v>6985</v>
      </c>
      <c r="D411" s="3" t="s">
        <v>1121</v>
      </c>
      <c r="E411" s="3">
        <v>410</v>
      </c>
      <c r="F411" s="3" t="s">
        <v>1377</v>
      </c>
      <c r="G411" s="3" t="s">
        <v>4</v>
      </c>
      <c r="H411" s="3" t="str">
        <f t="shared" si="6"/>
        <v>Output ML 11 Fr Position, computed by LMP MAS software.</v>
      </c>
    </row>
    <row r="412" spans="1:8" x14ac:dyDescent="0.25">
      <c r="A412" s="3" t="s">
        <v>6983</v>
      </c>
      <c r="B412" s="3" t="s">
        <v>6984</v>
      </c>
      <c r="C412" s="3" t="s">
        <v>6985</v>
      </c>
      <c r="D412" s="3" t="s">
        <v>1121</v>
      </c>
      <c r="E412" s="3">
        <v>411</v>
      </c>
      <c r="F412" s="3" t="s">
        <v>1378</v>
      </c>
      <c r="G412" s="3" t="s">
        <v>4</v>
      </c>
      <c r="H412" s="3" t="str">
        <f t="shared" si="6"/>
        <v>Output ML 12 Fr Position, computed by LMP MAS software.</v>
      </c>
    </row>
    <row r="413" spans="1:8" x14ac:dyDescent="0.25">
      <c r="A413" s="3" t="s">
        <v>6983</v>
      </c>
      <c r="B413" s="3" t="s">
        <v>6984</v>
      </c>
      <c r="C413" s="3" t="s">
        <v>6985</v>
      </c>
      <c r="D413" s="3" t="s">
        <v>1121</v>
      </c>
      <c r="E413" s="3">
        <v>412</v>
      </c>
      <c r="F413" s="3" t="s">
        <v>1379</v>
      </c>
      <c r="G413" s="3" t="s">
        <v>4</v>
      </c>
      <c r="H413" s="3" t="str">
        <f t="shared" si="6"/>
        <v>Output ML 13 Fr Position, computed by LMP MAS software.</v>
      </c>
    </row>
    <row r="414" spans="1:8" x14ac:dyDescent="0.25">
      <c r="A414" s="3" t="s">
        <v>6983</v>
      </c>
      <c r="B414" s="3" t="s">
        <v>6984</v>
      </c>
      <c r="C414" s="3" t="s">
        <v>6985</v>
      </c>
      <c r="D414" s="3" t="s">
        <v>1121</v>
      </c>
      <c r="E414" s="3">
        <v>413</v>
      </c>
      <c r="F414" s="3" t="s">
        <v>1380</v>
      </c>
      <c r="G414" s="3" t="s">
        <v>4</v>
      </c>
      <c r="H414" s="3" t="str">
        <f t="shared" si="6"/>
        <v>Output ML 14 Fr Position, computed by LMP MAS software.</v>
      </c>
    </row>
    <row r="415" spans="1:8" x14ac:dyDescent="0.25">
      <c r="A415" s="3" t="s">
        <v>6983</v>
      </c>
      <c r="B415" s="3" t="s">
        <v>6984</v>
      </c>
      <c r="C415" s="3" t="s">
        <v>6985</v>
      </c>
      <c r="D415" s="3" t="s">
        <v>1121</v>
      </c>
      <c r="E415" s="3">
        <v>414</v>
      </c>
      <c r="F415" s="3" t="s">
        <v>1381</v>
      </c>
      <c r="G415" s="3" t="s">
        <v>4</v>
      </c>
      <c r="H415" s="3" t="str">
        <f t="shared" si="6"/>
        <v>Output ML 15 Fr Position, computed by LMP MAS software.</v>
      </c>
    </row>
    <row r="416" spans="1:8" x14ac:dyDescent="0.25">
      <c r="A416" s="3" t="s">
        <v>6983</v>
      </c>
      <c r="B416" s="3" t="s">
        <v>6984</v>
      </c>
      <c r="C416" s="3" t="s">
        <v>6985</v>
      </c>
      <c r="D416" s="3" t="s">
        <v>1121</v>
      </c>
      <c r="E416" s="3">
        <v>415</v>
      </c>
      <c r="F416" s="3" t="s">
        <v>1382</v>
      </c>
      <c r="G416" s="3" t="s">
        <v>4</v>
      </c>
      <c r="H416" s="3" t="str">
        <f t="shared" si="6"/>
        <v>Output ML 16 Fr Position, computed by LMP MAS software.</v>
      </c>
    </row>
    <row r="417" spans="1:8" x14ac:dyDescent="0.25">
      <c r="A417" s="3" t="s">
        <v>6983</v>
      </c>
      <c r="B417" s="3" t="s">
        <v>6984</v>
      </c>
      <c r="C417" s="3" t="s">
        <v>6985</v>
      </c>
      <c r="D417" s="3" t="s">
        <v>1121</v>
      </c>
      <c r="E417" s="3">
        <v>416</v>
      </c>
      <c r="F417" s="3" t="s">
        <v>1383</v>
      </c>
      <c r="G417" s="3" t="s">
        <v>4</v>
      </c>
      <c r="H417" s="3" t="str">
        <f t="shared" si="6"/>
        <v>Output ML 1 Fr Tension, computed by LMP MAS software.</v>
      </c>
    </row>
    <row r="418" spans="1:8" x14ac:dyDescent="0.25">
      <c r="A418" s="3" t="s">
        <v>6983</v>
      </c>
      <c r="B418" s="3" t="s">
        <v>6984</v>
      </c>
      <c r="C418" s="3" t="s">
        <v>6985</v>
      </c>
      <c r="D418" s="3" t="s">
        <v>1121</v>
      </c>
      <c r="E418" s="3">
        <v>417</v>
      </c>
      <c r="F418" s="3" t="s">
        <v>1384</v>
      </c>
      <c r="G418" s="3" t="s">
        <v>4</v>
      </c>
      <c r="H418" s="3" t="str">
        <f t="shared" si="6"/>
        <v>Output ML 2 Fr Tension, computed by LMP MAS software.</v>
      </c>
    </row>
    <row r="419" spans="1:8" x14ac:dyDescent="0.25">
      <c r="A419" s="3" t="s">
        <v>6983</v>
      </c>
      <c r="B419" s="3" t="s">
        <v>6984</v>
      </c>
      <c r="C419" s="3" t="s">
        <v>6985</v>
      </c>
      <c r="D419" s="3" t="s">
        <v>1121</v>
      </c>
      <c r="E419" s="3">
        <v>418</v>
      </c>
      <c r="F419" s="3" t="s">
        <v>1385</v>
      </c>
      <c r="G419" s="3" t="s">
        <v>4</v>
      </c>
      <c r="H419" s="3" t="str">
        <f t="shared" si="6"/>
        <v>Output ML 3 Fr Tension, computed by LMP MAS software.</v>
      </c>
    </row>
    <row r="420" spans="1:8" x14ac:dyDescent="0.25">
      <c r="A420" s="3" t="s">
        <v>6983</v>
      </c>
      <c r="B420" s="3" t="s">
        <v>6984</v>
      </c>
      <c r="C420" s="3" t="s">
        <v>6985</v>
      </c>
      <c r="D420" s="3" t="s">
        <v>1121</v>
      </c>
      <c r="E420" s="3">
        <v>419</v>
      </c>
      <c r="F420" s="3" t="s">
        <v>1386</v>
      </c>
      <c r="G420" s="3" t="s">
        <v>4</v>
      </c>
      <c r="H420" s="3" t="str">
        <f t="shared" si="6"/>
        <v>Output ML 4 Fr Tension, computed by LMP MAS software.</v>
      </c>
    </row>
    <row r="421" spans="1:8" x14ac:dyDescent="0.25">
      <c r="A421" s="3" t="s">
        <v>6983</v>
      </c>
      <c r="B421" s="3" t="s">
        <v>6984</v>
      </c>
      <c r="C421" s="3" t="s">
        <v>6985</v>
      </c>
      <c r="D421" s="3" t="s">
        <v>1121</v>
      </c>
      <c r="E421" s="3">
        <v>420</v>
      </c>
      <c r="F421" s="3" t="s">
        <v>1387</v>
      </c>
      <c r="G421" s="3" t="s">
        <v>4</v>
      </c>
      <c r="H421" s="3" t="str">
        <f t="shared" si="6"/>
        <v>Output ML 5 Fr Tension, computed by LMP MAS software.</v>
      </c>
    </row>
    <row r="422" spans="1:8" x14ac:dyDescent="0.25">
      <c r="A422" s="3" t="s">
        <v>6983</v>
      </c>
      <c r="B422" s="3" t="s">
        <v>6984</v>
      </c>
      <c r="C422" s="3" t="s">
        <v>6985</v>
      </c>
      <c r="D422" s="3" t="s">
        <v>1121</v>
      </c>
      <c r="E422" s="3">
        <v>421</v>
      </c>
      <c r="F422" s="3" t="s">
        <v>1388</v>
      </c>
      <c r="G422" s="3" t="s">
        <v>4</v>
      </c>
      <c r="H422" s="3" t="str">
        <f t="shared" si="6"/>
        <v>Output ML 6 Fr Tension, computed by LMP MAS software.</v>
      </c>
    </row>
    <row r="423" spans="1:8" x14ac:dyDescent="0.25">
      <c r="A423" s="3" t="s">
        <v>6983</v>
      </c>
      <c r="B423" s="3" t="s">
        <v>6984</v>
      </c>
      <c r="C423" s="3" t="s">
        <v>6985</v>
      </c>
      <c r="D423" s="3" t="s">
        <v>1121</v>
      </c>
      <c r="E423" s="3">
        <v>422</v>
      </c>
      <c r="F423" s="3" t="s">
        <v>1389</v>
      </c>
      <c r="G423" s="3" t="s">
        <v>4</v>
      </c>
      <c r="H423" s="3" t="str">
        <f t="shared" si="6"/>
        <v>Output ML 7 Fr Tension, computed by LMP MAS software.</v>
      </c>
    </row>
    <row r="424" spans="1:8" x14ac:dyDescent="0.25">
      <c r="A424" s="3" t="s">
        <v>6983</v>
      </c>
      <c r="B424" s="3" t="s">
        <v>6984</v>
      </c>
      <c r="C424" s="3" t="s">
        <v>6985</v>
      </c>
      <c r="D424" s="3" t="s">
        <v>1121</v>
      </c>
      <c r="E424" s="3">
        <v>423</v>
      </c>
      <c r="F424" s="3" t="s">
        <v>1390</v>
      </c>
      <c r="G424" s="3" t="s">
        <v>4</v>
      </c>
      <c r="H424" s="3" t="str">
        <f t="shared" si="6"/>
        <v>Output ML 8 Fr Tension, computed by LMP MAS software.</v>
      </c>
    </row>
    <row r="425" spans="1:8" x14ac:dyDescent="0.25">
      <c r="A425" s="3" t="s">
        <v>6983</v>
      </c>
      <c r="B425" s="3" t="s">
        <v>6984</v>
      </c>
      <c r="C425" s="3" t="s">
        <v>6985</v>
      </c>
      <c r="D425" s="3" t="s">
        <v>1121</v>
      </c>
      <c r="E425" s="3">
        <v>424</v>
      </c>
      <c r="F425" s="3" t="s">
        <v>1391</v>
      </c>
      <c r="G425" s="3" t="s">
        <v>4</v>
      </c>
      <c r="H425" s="3" t="str">
        <f t="shared" si="6"/>
        <v>Output ML 9 Fr Tension, computed by LMP MAS software.</v>
      </c>
    </row>
    <row r="426" spans="1:8" x14ac:dyDescent="0.25">
      <c r="A426" s="3" t="s">
        <v>6983</v>
      </c>
      <c r="B426" s="3" t="s">
        <v>6984</v>
      </c>
      <c r="C426" s="3" t="s">
        <v>6985</v>
      </c>
      <c r="D426" s="3" t="s">
        <v>1121</v>
      </c>
      <c r="E426" s="3">
        <v>425</v>
      </c>
      <c r="F426" s="3" t="s">
        <v>1392</v>
      </c>
      <c r="G426" s="3" t="s">
        <v>4</v>
      </c>
      <c r="H426" s="3" t="str">
        <f t="shared" si="6"/>
        <v>Output ML 10 Fr Tension, computed by LMP MAS software.</v>
      </c>
    </row>
    <row r="427" spans="1:8" x14ac:dyDescent="0.25">
      <c r="A427" s="3" t="s">
        <v>6983</v>
      </c>
      <c r="B427" s="3" t="s">
        <v>6984</v>
      </c>
      <c r="C427" s="3" t="s">
        <v>6985</v>
      </c>
      <c r="D427" s="3" t="s">
        <v>1121</v>
      </c>
      <c r="E427" s="3">
        <v>426</v>
      </c>
      <c r="F427" s="3" t="s">
        <v>1393</v>
      </c>
      <c r="G427" s="3" t="s">
        <v>4</v>
      </c>
      <c r="H427" s="3" t="str">
        <f t="shared" si="6"/>
        <v>Output ML 11 Fr Tension, computed by LMP MAS software.</v>
      </c>
    </row>
    <row r="428" spans="1:8" x14ac:dyDescent="0.25">
      <c r="A428" s="3" t="s">
        <v>6983</v>
      </c>
      <c r="B428" s="3" t="s">
        <v>6984</v>
      </c>
      <c r="C428" s="3" t="s">
        <v>6985</v>
      </c>
      <c r="D428" s="3" t="s">
        <v>1121</v>
      </c>
      <c r="E428" s="3">
        <v>427</v>
      </c>
      <c r="F428" s="3" t="s">
        <v>1394</v>
      </c>
      <c r="G428" s="3" t="s">
        <v>4</v>
      </c>
      <c r="H428" s="3" t="str">
        <f t="shared" si="6"/>
        <v>Output ML 12 Fr Tension, computed by LMP MAS software.</v>
      </c>
    </row>
    <row r="429" spans="1:8" x14ac:dyDescent="0.25">
      <c r="A429" s="3" t="s">
        <v>6983</v>
      </c>
      <c r="B429" s="3" t="s">
        <v>6984</v>
      </c>
      <c r="C429" s="3" t="s">
        <v>6985</v>
      </c>
      <c r="D429" s="3" t="s">
        <v>1121</v>
      </c>
      <c r="E429" s="3">
        <v>428</v>
      </c>
      <c r="F429" s="3" t="s">
        <v>1395</v>
      </c>
      <c r="G429" s="3" t="s">
        <v>4</v>
      </c>
      <c r="H429" s="3" t="str">
        <f t="shared" si="6"/>
        <v>Output ML 13 Fr Tension, computed by LMP MAS software.</v>
      </c>
    </row>
    <row r="430" spans="1:8" x14ac:dyDescent="0.25">
      <c r="A430" s="3" t="s">
        <v>6983</v>
      </c>
      <c r="B430" s="3" t="s">
        <v>6984</v>
      </c>
      <c r="C430" s="3" t="s">
        <v>6985</v>
      </c>
      <c r="D430" s="3" t="s">
        <v>1121</v>
      </c>
      <c r="E430" s="3">
        <v>429</v>
      </c>
      <c r="F430" s="3" t="s">
        <v>1396</v>
      </c>
      <c r="G430" s="3" t="s">
        <v>4</v>
      </c>
      <c r="H430" s="3" t="str">
        <f t="shared" si="6"/>
        <v>Output ML 14 Fr Tension, computed by LMP MAS software.</v>
      </c>
    </row>
    <row r="431" spans="1:8" x14ac:dyDescent="0.25">
      <c r="A431" s="3" t="s">
        <v>6983</v>
      </c>
      <c r="B431" s="3" t="s">
        <v>6984</v>
      </c>
      <c r="C431" s="3" t="s">
        <v>6985</v>
      </c>
      <c r="D431" s="3" t="s">
        <v>1121</v>
      </c>
      <c r="E431" s="3">
        <v>430</v>
      </c>
      <c r="F431" s="3" t="s">
        <v>1397</v>
      </c>
      <c r="G431" s="3" t="s">
        <v>4</v>
      </c>
      <c r="H431" s="3" t="str">
        <f t="shared" si="6"/>
        <v>Output ML 15 Fr Tension, computed by LMP MAS software.</v>
      </c>
    </row>
    <row r="432" spans="1:8" x14ac:dyDescent="0.25">
      <c r="A432" s="3" t="s">
        <v>6983</v>
      </c>
      <c r="B432" s="3" t="s">
        <v>6984</v>
      </c>
      <c r="C432" s="3" t="s">
        <v>6985</v>
      </c>
      <c r="D432" s="3" t="s">
        <v>1121</v>
      </c>
      <c r="E432" s="3">
        <v>431</v>
      </c>
      <c r="F432" s="3" t="s">
        <v>1398</v>
      </c>
      <c r="G432" s="3" t="s">
        <v>4</v>
      </c>
      <c r="H432" s="3" t="str">
        <f t="shared" si="6"/>
        <v>Output ML 16 Fr Tension, computed by LMP MAS software.</v>
      </c>
    </row>
    <row r="433" spans="1:8" x14ac:dyDescent="0.25">
      <c r="A433" s="3" t="s">
        <v>6983</v>
      </c>
      <c r="B433" s="3" t="s">
        <v>6984</v>
      </c>
      <c r="C433" s="3" t="s">
        <v>6985</v>
      </c>
      <c r="D433" s="3" t="s">
        <v>1121</v>
      </c>
      <c r="E433" s="3">
        <v>432</v>
      </c>
      <c r="F433" s="3" t="s">
        <v>443</v>
      </c>
      <c r="G433" s="3" t="s">
        <v>1093</v>
      </c>
      <c r="H433" s="3" t="str">
        <f t="shared" si="6"/>
        <v>Output ML 1 Stretch Fr Tension, computed by LMP MAS software.</v>
      </c>
    </row>
    <row r="434" spans="1:8" x14ac:dyDescent="0.25">
      <c r="A434" s="3" t="s">
        <v>6983</v>
      </c>
      <c r="B434" s="3" t="s">
        <v>6984</v>
      </c>
      <c r="C434" s="3" t="s">
        <v>6985</v>
      </c>
      <c r="D434" s="3" t="s">
        <v>1121</v>
      </c>
      <c r="E434" s="3">
        <v>433</v>
      </c>
      <c r="F434" s="3" t="s">
        <v>444</v>
      </c>
      <c r="G434" s="3" t="s">
        <v>1093</v>
      </c>
      <c r="H434" s="3" t="str">
        <f t="shared" ref="H434:H464" si="7">_xlfn.CONCAT("Output ",F434, ", computed by LMP MAS software.")</f>
        <v>Output ML 2 Stretch Fr Tension, computed by LMP MAS software.</v>
      </c>
    </row>
    <row r="435" spans="1:8" x14ac:dyDescent="0.25">
      <c r="A435" s="3" t="s">
        <v>6983</v>
      </c>
      <c r="B435" s="3" t="s">
        <v>6984</v>
      </c>
      <c r="C435" s="3" t="s">
        <v>6985</v>
      </c>
      <c r="D435" s="3" t="s">
        <v>1121</v>
      </c>
      <c r="E435" s="3">
        <v>434</v>
      </c>
      <c r="F435" s="3" t="s">
        <v>445</v>
      </c>
      <c r="G435" s="3" t="s">
        <v>1093</v>
      </c>
      <c r="H435" s="3" t="str">
        <f t="shared" si="7"/>
        <v>Output ML 3 Stretch Fr Tension, computed by LMP MAS software.</v>
      </c>
    </row>
    <row r="436" spans="1:8" x14ac:dyDescent="0.25">
      <c r="A436" s="3" t="s">
        <v>6983</v>
      </c>
      <c r="B436" s="3" t="s">
        <v>6984</v>
      </c>
      <c r="C436" s="3" t="s">
        <v>6985</v>
      </c>
      <c r="D436" s="3" t="s">
        <v>1121</v>
      </c>
      <c r="E436" s="3">
        <v>435</v>
      </c>
      <c r="F436" s="3" t="s">
        <v>446</v>
      </c>
      <c r="G436" s="3" t="s">
        <v>1093</v>
      </c>
      <c r="H436" s="3" t="str">
        <f t="shared" si="7"/>
        <v>Output ML 4 Stretch Fr Tension, computed by LMP MAS software.</v>
      </c>
    </row>
    <row r="437" spans="1:8" x14ac:dyDescent="0.25">
      <c r="A437" s="3" t="s">
        <v>6983</v>
      </c>
      <c r="B437" s="3" t="s">
        <v>6984</v>
      </c>
      <c r="C437" s="3" t="s">
        <v>6985</v>
      </c>
      <c r="D437" s="3" t="s">
        <v>1121</v>
      </c>
      <c r="E437" s="3">
        <v>436</v>
      </c>
      <c r="F437" s="3" t="s">
        <v>447</v>
      </c>
      <c r="G437" s="3" t="s">
        <v>1093</v>
      </c>
      <c r="H437" s="3" t="str">
        <f t="shared" si="7"/>
        <v>Output ML 5 Stretch Fr Tension, computed by LMP MAS software.</v>
      </c>
    </row>
    <row r="438" spans="1:8" x14ac:dyDescent="0.25">
      <c r="A438" s="3" t="s">
        <v>6983</v>
      </c>
      <c r="B438" s="3" t="s">
        <v>6984</v>
      </c>
      <c r="C438" s="3" t="s">
        <v>6985</v>
      </c>
      <c r="D438" s="3" t="s">
        <v>1121</v>
      </c>
      <c r="E438" s="3">
        <v>437</v>
      </c>
      <c r="F438" s="3" t="s">
        <v>448</v>
      </c>
      <c r="G438" s="3" t="s">
        <v>1093</v>
      </c>
      <c r="H438" s="3" t="str">
        <f t="shared" si="7"/>
        <v>Output ML 6 Stretch Fr Tension, computed by LMP MAS software.</v>
      </c>
    </row>
    <row r="439" spans="1:8" x14ac:dyDescent="0.25">
      <c r="A439" s="3" t="s">
        <v>6983</v>
      </c>
      <c r="B439" s="3" t="s">
        <v>6984</v>
      </c>
      <c r="C439" s="3" t="s">
        <v>6985</v>
      </c>
      <c r="D439" s="3" t="s">
        <v>1121</v>
      </c>
      <c r="E439" s="3">
        <v>438</v>
      </c>
      <c r="F439" s="3" t="s">
        <v>449</v>
      </c>
      <c r="G439" s="3" t="s">
        <v>1093</v>
      </c>
      <c r="H439" s="3" t="str">
        <f t="shared" si="7"/>
        <v>Output ML 7 Stretch Fr Tension, computed by LMP MAS software.</v>
      </c>
    </row>
    <row r="440" spans="1:8" x14ac:dyDescent="0.25">
      <c r="A440" s="3" t="s">
        <v>6983</v>
      </c>
      <c r="B440" s="3" t="s">
        <v>6984</v>
      </c>
      <c r="C440" s="3" t="s">
        <v>6985</v>
      </c>
      <c r="D440" s="3" t="s">
        <v>1121</v>
      </c>
      <c r="E440" s="3">
        <v>439</v>
      </c>
      <c r="F440" s="3" t="s">
        <v>450</v>
      </c>
      <c r="G440" s="3" t="s">
        <v>1093</v>
      </c>
      <c r="H440" s="3" t="str">
        <f t="shared" si="7"/>
        <v>Output ML 8 Stretch Fr Tension, computed by LMP MAS software.</v>
      </c>
    </row>
    <row r="441" spans="1:8" x14ac:dyDescent="0.25">
      <c r="A441" s="3" t="s">
        <v>6983</v>
      </c>
      <c r="B441" s="3" t="s">
        <v>6984</v>
      </c>
      <c r="C441" s="3" t="s">
        <v>6985</v>
      </c>
      <c r="D441" s="3" t="s">
        <v>1121</v>
      </c>
      <c r="E441" s="3">
        <v>440</v>
      </c>
      <c r="F441" s="3" t="s">
        <v>451</v>
      </c>
      <c r="G441" s="3" t="s">
        <v>1093</v>
      </c>
      <c r="H441" s="3" t="str">
        <f t="shared" si="7"/>
        <v>Output ML 9 Stretch Fr Tension, computed by LMP MAS software.</v>
      </c>
    </row>
    <row r="442" spans="1:8" x14ac:dyDescent="0.25">
      <c r="A442" s="3" t="s">
        <v>6983</v>
      </c>
      <c r="B442" s="3" t="s">
        <v>6984</v>
      </c>
      <c r="C442" s="3" t="s">
        <v>6985</v>
      </c>
      <c r="D442" s="3" t="s">
        <v>1121</v>
      </c>
      <c r="E442" s="3">
        <v>441</v>
      </c>
      <c r="F442" s="3" t="s">
        <v>452</v>
      </c>
      <c r="G442" s="3" t="s">
        <v>1093</v>
      </c>
      <c r="H442" s="3" t="str">
        <f t="shared" si="7"/>
        <v>Output ML 10 Stretch Fr Tension, computed by LMP MAS software.</v>
      </c>
    </row>
    <row r="443" spans="1:8" x14ac:dyDescent="0.25">
      <c r="A443" s="3" t="s">
        <v>6983</v>
      </c>
      <c r="B443" s="3" t="s">
        <v>6984</v>
      </c>
      <c r="C443" s="3" t="s">
        <v>6985</v>
      </c>
      <c r="D443" s="3" t="s">
        <v>1121</v>
      </c>
      <c r="E443" s="3">
        <v>442</v>
      </c>
      <c r="F443" s="3" t="s">
        <v>453</v>
      </c>
      <c r="G443" s="3" t="s">
        <v>1093</v>
      </c>
      <c r="H443" s="3" t="str">
        <f t="shared" si="7"/>
        <v>Output ML 11 Stretch Fr Tension, computed by LMP MAS software.</v>
      </c>
    </row>
    <row r="444" spans="1:8" x14ac:dyDescent="0.25">
      <c r="A444" s="3" t="s">
        <v>6983</v>
      </c>
      <c r="B444" s="3" t="s">
        <v>6984</v>
      </c>
      <c r="C444" s="3" t="s">
        <v>6985</v>
      </c>
      <c r="D444" s="3" t="s">
        <v>1121</v>
      </c>
      <c r="E444" s="3">
        <v>443</v>
      </c>
      <c r="F444" s="3" t="s">
        <v>454</v>
      </c>
      <c r="G444" s="3" t="s">
        <v>1093</v>
      </c>
      <c r="H444" s="3" t="str">
        <f t="shared" si="7"/>
        <v>Output ML 12 Stretch Fr Tension, computed by LMP MAS software.</v>
      </c>
    </row>
    <row r="445" spans="1:8" x14ac:dyDescent="0.25">
      <c r="A445" s="3" t="s">
        <v>6983</v>
      </c>
      <c r="B445" s="3" t="s">
        <v>6984</v>
      </c>
      <c r="C445" s="3" t="s">
        <v>6985</v>
      </c>
      <c r="D445" s="3" t="s">
        <v>1121</v>
      </c>
      <c r="E445" s="3">
        <v>444</v>
      </c>
      <c r="F445" s="3" t="s">
        <v>455</v>
      </c>
      <c r="G445" s="3" t="s">
        <v>1093</v>
      </c>
      <c r="H445" s="3" t="str">
        <f t="shared" si="7"/>
        <v>Output ML 13 Stretch Fr Tension, computed by LMP MAS software.</v>
      </c>
    </row>
    <row r="446" spans="1:8" x14ac:dyDescent="0.25">
      <c r="A446" s="3" t="s">
        <v>6983</v>
      </c>
      <c r="B446" s="3" t="s">
        <v>6984</v>
      </c>
      <c r="C446" s="3" t="s">
        <v>6985</v>
      </c>
      <c r="D446" s="3" t="s">
        <v>1121</v>
      </c>
      <c r="E446" s="3">
        <v>445</v>
      </c>
      <c r="F446" s="3" t="s">
        <v>456</v>
      </c>
      <c r="G446" s="3" t="s">
        <v>1093</v>
      </c>
      <c r="H446" s="3" t="str">
        <f t="shared" si="7"/>
        <v>Output ML 14 Stretch Fr Tension, computed by LMP MAS software.</v>
      </c>
    </row>
    <row r="447" spans="1:8" x14ac:dyDescent="0.25">
      <c r="A447" s="3" t="s">
        <v>6983</v>
      </c>
      <c r="B447" s="3" t="s">
        <v>6984</v>
      </c>
      <c r="C447" s="3" t="s">
        <v>6985</v>
      </c>
      <c r="D447" s="3" t="s">
        <v>1121</v>
      </c>
      <c r="E447" s="3">
        <v>446</v>
      </c>
      <c r="F447" s="3" t="s">
        <v>457</v>
      </c>
      <c r="G447" s="3" t="s">
        <v>1093</v>
      </c>
      <c r="H447" s="3" t="str">
        <f t="shared" si="7"/>
        <v>Output ML 15 Stretch Fr Tension, computed by LMP MAS software.</v>
      </c>
    </row>
    <row r="448" spans="1:8" x14ac:dyDescent="0.25">
      <c r="A448" s="3" t="s">
        <v>6983</v>
      </c>
      <c r="B448" s="3" t="s">
        <v>6984</v>
      </c>
      <c r="C448" s="3" t="s">
        <v>6985</v>
      </c>
      <c r="D448" s="3" t="s">
        <v>1121</v>
      </c>
      <c r="E448" s="3">
        <v>447</v>
      </c>
      <c r="F448" s="3" t="s">
        <v>458</v>
      </c>
      <c r="G448" s="3" t="s">
        <v>1093</v>
      </c>
      <c r="H448" s="3" t="str">
        <f t="shared" si="7"/>
        <v>Output ML 16 Stretch Fr Tension, computed by LMP MAS software.</v>
      </c>
    </row>
    <row r="449" spans="1:8" x14ac:dyDescent="0.25">
      <c r="A449" s="3" t="s">
        <v>6983</v>
      </c>
      <c r="B449" s="3" t="s">
        <v>6984</v>
      </c>
      <c r="C449" s="3" t="s">
        <v>6985</v>
      </c>
      <c r="D449" s="3" t="s">
        <v>1121</v>
      </c>
      <c r="E449" s="3">
        <v>448</v>
      </c>
      <c r="F449" s="3" t="s">
        <v>459</v>
      </c>
      <c r="G449" s="3" t="s">
        <v>1093</v>
      </c>
      <c r="H449" s="3" t="str">
        <f t="shared" si="7"/>
        <v>Output ML 1 Stretch Fr Angle, computed by LMP MAS software.</v>
      </c>
    </row>
    <row r="450" spans="1:8" x14ac:dyDescent="0.25">
      <c r="A450" s="3" t="s">
        <v>6983</v>
      </c>
      <c r="B450" s="3" t="s">
        <v>6984</v>
      </c>
      <c r="C450" s="3" t="s">
        <v>6985</v>
      </c>
      <c r="D450" s="3" t="s">
        <v>1121</v>
      </c>
      <c r="E450" s="3">
        <v>449</v>
      </c>
      <c r="F450" s="3" t="s">
        <v>460</v>
      </c>
      <c r="G450" s="3" t="s">
        <v>1093</v>
      </c>
      <c r="H450" s="3" t="str">
        <f t="shared" si="7"/>
        <v>Output ML 2 Stretch Fr Angle, computed by LMP MAS software.</v>
      </c>
    </row>
    <row r="451" spans="1:8" x14ac:dyDescent="0.25">
      <c r="A451" s="3" t="s">
        <v>6983</v>
      </c>
      <c r="B451" s="3" t="s">
        <v>6984</v>
      </c>
      <c r="C451" s="3" t="s">
        <v>6985</v>
      </c>
      <c r="D451" s="3" t="s">
        <v>1121</v>
      </c>
      <c r="E451" s="3">
        <v>450</v>
      </c>
      <c r="F451" s="3" t="s">
        <v>461</v>
      </c>
      <c r="G451" s="3" t="s">
        <v>1093</v>
      </c>
      <c r="H451" s="3" t="str">
        <f t="shared" si="7"/>
        <v>Output ML 3 Stretch Fr Angle, computed by LMP MAS software.</v>
      </c>
    </row>
    <row r="452" spans="1:8" x14ac:dyDescent="0.25">
      <c r="A452" s="3" t="s">
        <v>6983</v>
      </c>
      <c r="B452" s="3" t="s">
        <v>6984</v>
      </c>
      <c r="C452" s="3" t="s">
        <v>6985</v>
      </c>
      <c r="D452" s="3" t="s">
        <v>1121</v>
      </c>
      <c r="E452" s="3">
        <v>451</v>
      </c>
      <c r="F452" s="3" t="s">
        <v>462</v>
      </c>
      <c r="G452" s="3" t="s">
        <v>1093</v>
      </c>
      <c r="H452" s="3" t="str">
        <f t="shared" si="7"/>
        <v>Output ML 4 Stretch Fr Angle, computed by LMP MAS software.</v>
      </c>
    </row>
    <row r="453" spans="1:8" x14ac:dyDescent="0.25">
      <c r="A453" s="3" t="s">
        <v>6983</v>
      </c>
      <c r="B453" s="3" t="s">
        <v>6984</v>
      </c>
      <c r="C453" s="3" t="s">
        <v>6985</v>
      </c>
      <c r="D453" s="3" t="s">
        <v>1121</v>
      </c>
      <c r="E453" s="3">
        <v>452</v>
      </c>
      <c r="F453" s="3" t="s">
        <v>463</v>
      </c>
      <c r="G453" s="3" t="s">
        <v>1093</v>
      </c>
      <c r="H453" s="3" t="str">
        <f t="shared" si="7"/>
        <v>Output ML 5 Stretch Fr Angle, computed by LMP MAS software.</v>
      </c>
    </row>
    <row r="454" spans="1:8" x14ac:dyDescent="0.25">
      <c r="A454" s="3" t="s">
        <v>6983</v>
      </c>
      <c r="B454" s="3" t="s">
        <v>6984</v>
      </c>
      <c r="C454" s="3" t="s">
        <v>6985</v>
      </c>
      <c r="D454" s="3" t="s">
        <v>1121</v>
      </c>
      <c r="E454" s="3">
        <v>453</v>
      </c>
      <c r="F454" s="3" t="s">
        <v>464</v>
      </c>
      <c r="G454" s="3" t="s">
        <v>1093</v>
      </c>
      <c r="H454" s="3" t="str">
        <f t="shared" si="7"/>
        <v>Output ML 6 Stretch Fr Angle, computed by LMP MAS software.</v>
      </c>
    </row>
    <row r="455" spans="1:8" x14ac:dyDescent="0.25">
      <c r="A455" s="3" t="s">
        <v>6983</v>
      </c>
      <c r="B455" s="3" t="s">
        <v>6984</v>
      </c>
      <c r="C455" s="3" t="s">
        <v>6985</v>
      </c>
      <c r="D455" s="3" t="s">
        <v>1121</v>
      </c>
      <c r="E455" s="3">
        <v>454</v>
      </c>
      <c r="F455" s="3" t="s">
        <v>465</v>
      </c>
      <c r="G455" s="3" t="s">
        <v>1093</v>
      </c>
      <c r="H455" s="3" t="str">
        <f t="shared" si="7"/>
        <v>Output ML 7 Stretch Fr Angle, computed by LMP MAS software.</v>
      </c>
    </row>
    <row r="456" spans="1:8" x14ac:dyDescent="0.25">
      <c r="A456" s="3" t="s">
        <v>6983</v>
      </c>
      <c r="B456" s="3" t="s">
        <v>6984</v>
      </c>
      <c r="C456" s="3" t="s">
        <v>6985</v>
      </c>
      <c r="D456" s="3" t="s">
        <v>1121</v>
      </c>
      <c r="E456" s="3">
        <v>455</v>
      </c>
      <c r="F456" s="3" t="s">
        <v>466</v>
      </c>
      <c r="G456" s="3" t="s">
        <v>1093</v>
      </c>
      <c r="H456" s="3" t="str">
        <f t="shared" si="7"/>
        <v>Output ML 8 Stretch Fr Angle, computed by LMP MAS software.</v>
      </c>
    </row>
    <row r="457" spans="1:8" x14ac:dyDescent="0.25">
      <c r="A457" s="3" t="s">
        <v>6983</v>
      </c>
      <c r="B457" s="3" t="s">
        <v>6984</v>
      </c>
      <c r="C457" s="3" t="s">
        <v>6985</v>
      </c>
      <c r="D457" s="3" t="s">
        <v>1121</v>
      </c>
      <c r="E457" s="3">
        <v>456</v>
      </c>
      <c r="F457" s="3" t="s">
        <v>467</v>
      </c>
      <c r="G457" s="3" t="s">
        <v>1093</v>
      </c>
      <c r="H457" s="3" t="str">
        <f t="shared" si="7"/>
        <v>Output ML 9 Stretch Fr Angle, computed by LMP MAS software.</v>
      </c>
    </row>
    <row r="458" spans="1:8" x14ac:dyDescent="0.25">
      <c r="A458" s="3" t="s">
        <v>6983</v>
      </c>
      <c r="B458" s="3" t="s">
        <v>6984</v>
      </c>
      <c r="C458" s="3" t="s">
        <v>6985</v>
      </c>
      <c r="D458" s="3" t="s">
        <v>1121</v>
      </c>
      <c r="E458" s="3">
        <v>457</v>
      </c>
      <c r="F458" s="3" t="s">
        <v>468</v>
      </c>
      <c r="G458" s="3" t="s">
        <v>1093</v>
      </c>
      <c r="H458" s="3" t="str">
        <f t="shared" si="7"/>
        <v>Output ML 10 Stretch Fr Angle, computed by LMP MAS software.</v>
      </c>
    </row>
    <row r="459" spans="1:8" x14ac:dyDescent="0.25">
      <c r="A459" s="3" t="s">
        <v>6983</v>
      </c>
      <c r="B459" s="3" t="s">
        <v>6984</v>
      </c>
      <c r="C459" s="3" t="s">
        <v>6985</v>
      </c>
      <c r="D459" s="3" t="s">
        <v>1121</v>
      </c>
      <c r="E459" s="3">
        <v>458</v>
      </c>
      <c r="F459" s="3" t="s">
        <v>469</v>
      </c>
      <c r="G459" s="3" t="s">
        <v>1093</v>
      </c>
      <c r="H459" s="3" t="str">
        <f t="shared" si="7"/>
        <v>Output ML 11 Stretch Fr Angle, computed by LMP MAS software.</v>
      </c>
    </row>
    <row r="460" spans="1:8" x14ac:dyDescent="0.25">
      <c r="A460" s="3" t="s">
        <v>6983</v>
      </c>
      <c r="B460" s="3" t="s">
        <v>6984</v>
      </c>
      <c r="C460" s="3" t="s">
        <v>6985</v>
      </c>
      <c r="D460" s="3" t="s">
        <v>1121</v>
      </c>
      <c r="E460" s="3">
        <v>459</v>
      </c>
      <c r="F460" s="3" t="s">
        <v>470</v>
      </c>
      <c r="G460" s="3" t="s">
        <v>1093</v>
      </c>
      <c r="H460" s="3" t="str">
        <f t="shared" si="7"/>
        <v>Output ML 12 Stretch Fr Angle, computed by LMP MAS software.</v>
      </c>
    </row>
    <row r="461" spans="1:8" x14ac:dyDescent="0.25">
      <c r="A461" s="3" t="s">
        <v>6983</v>
      </c>
      <c r="B461" s="3" t="s">
        <v>6984</v>
      </c>
      <c r="C461" s="3" t="s">
        <v>6985</v>
      </c>
      <c r="D461" s="3" t="s">
        <v>1121</v>
      </c>
      <c r="E461" s="3">
        <v>460</v>
      </c>
      <c r="F461" s="3" t="s">
        <v>471</v>
      </c>
      <c r="G461" s="3" t="s">
        <v>1093</v>
      </c>
      <c r="H461" s="3" t="str">
        <f t="shared" si="7"/>
        <v>Output ML 13 Stretch Fr Angle, computed by LMP MAS software.</v>
      </c>
    </row>
    <row r="462" spans="1:8" x14ac:dyDescent="0.25">
      <c r="A462" s="3" t="s">
        <v>6983</v>
      </c>
      <c r="B462" s="3" t="s">
        <v>6984</v>
      </c>
      <c r="C462" s="3" t="s">
        <v>6985</v>
      </c>
      <c r="D462" s="3" t="s">
        <v>1121</v>
      </c>
      <c r="E462" s="3">
        <v>461</v>
      </c>
      <c r="F462" s="3" t="s">
        <v>472</v>
      </c>
      <c r="G462" s="3" t="s">
        <v>1093</v>
      </c>
      <c r="H462" s="3" t="str">
        <f t="shared" si="7"/>
        <v>Output ML 14 Stretch Fr Angle, computed by LMP MAS software.</v>
      </c>
    </row>
    <row r="463" spans="1:8" x14ac:dyDescent="0.25">
      <c r="A463" s="3" t="s">
        <v>6983</v>
      </c>
      <c r="B463" s="3" t="s">
        <v>6984</v>
      </c>
      <c r="C463" s="3" t="s">
        <v>6985</v>
      </c>
      <c r="D463" s="3" t="s">
        <v>1121</v>
      </c>
      <c r="E463" s="3">
        <v>462</v>
      </c>
      <c r="F463" s="3" t="s">
        <v>473</v>
      </c>
      <c r="G463" s="3" t="s">
        <v>1093</v>
      </c>
      <c r="H463" s="3" t="str">
        <f t="shared" si="7"/>
        <v>Output ML 15 Stretch Fr Angle, computed by LMP MAS software.</v>
      </c>
    </row>
    <row r="464" spans="1:8" x14ac:dyDescent="0.25">
      <c r="A464" s="3" t="s">
        <v>6983</v>
      </c>
      <c r="B464" s="3" t="s">
        <v>6984</v>
      </c>
      <c r="C464" s="3" t="s">
        <v>6985</v>
      </c>
      <c r="D464" s="3" t="s">
        <v>1121</v>
      </c>
      <c r="E464" s="3">
        <v>463</v>
      </c>
      <c r="F464" s="3" t="s">
        <v>474</v>
      </c>
      <c r="G464" s="3" t="s">
        <v>1093</v>
      </c>
      <c r="H464" s="3" t="str">
        <f t="shared" si="7"/>
        <v>Output ML 16 Stretch Fr Angle, computed by LMP MAS software.</v>
      </c>
    </row>
    <row r="465" spans="1:11" x14ac:dyDescent="0.25">
      <c r="A465" s="3" t="s">
        <v>6983</v>
      </c>
      <c r="B465" s="3" t="s">
        <v>6984</v>
      </c>
      <c r="C465" s="3" t="s">
        <v>6985</v>
      </c>
      <c r="D465" s="3" t="s">
        <v>1122</v>
      </c>
      <c r="E465" s="3">
        <v>464</v>
      </c>
      <c r="F465" s="3" t="s">
        <v>475</v>
      </c>
      <c r="G465" s="3" t="s">
        <v>31</v>
      </c>
      <c r="H465" s="3" t="s">
        <v>6962</v>
      </c>
    </row>
    <row r="466" spans="1:11" x14ac:dyDescent="0.25">
      <c r="A466" s="3" t="s">
        <v>6983</v>
      </c>
      <c r="B466" s="3" t="s">
        <v>6984</v>
      </c>
      <c r="C466" s="3" t="s">
        <v>6985</v>
      </c>
      <c r="D466" s="3" t="s">
        <v>1122</v>
      </c>
      <c r="E466" s="3">
        <v>465</v>
      </c>
      <c r="F466" s="3" t="s">
        <v>476</v>
      </c>
      <c r="G466" s="3" t="s">
        <v>1104</v>
      </c>
      <c r="H466" s="3" t="str">
        <f>_xlfn.CONCAT("Indicates the status of  ",_xlfn.TEXTBEFORE(F466, " Status"))</f>
        <v>Indicates the status of  ML 1</v>
      </c>
    </row>
    <row r="467" spans="1:11" x14ac:dyDescent="0.25">
      <c r="A467" s="3" t="s">
        <v>6983</v>
      </c>
      <c r="B467" s="3" t="s">
        <v>6984</v>
      </c>
      <c r="C467" s="3" t="s">
        <v>6985</v>
      </c>
      <c r="D467" s="3" t="s">
        <v>1122</v>
      </c>
      <c r="E467" s="3">
        <v>466</v>
      </c>
      <c r="F467" s="3" t="s">
        <v>477</v>
      </c>
      <c r="G467" s="3" t="s">
        <v>1104</v>
      </c>
      <c r="H467" s="3" t="str">
        <f>_xlfn.CONCAT("Indicates the status of  ",_xlfn.TEXTBEFORE(F467, " Status"))</f>
        <v>Indicates the status of  ML 1</v>
      </c>
    </row>
    <row r="468" spans="1:11" x14ac:dyDescent="0.25">
      <c r="A468" s="3" t="s">
        <v>6983</v>
      </c>
      <c r="B468" s="3" t="s">
        <v>6984</v>
      </c>
      <c r="C468" s="3" t="s">
        <v>6985</v>
      </c>
      <c r="D468" s="3" t="s">
        <v>1122</v>
      </c>
      <c r="E468" s="3">
        <v>467</v>
      </c>
      <c r="F468" s="3" t="s">
        <v>478</v>
      </c>
      <c r="G468" s="3" t="s">
        <v>1093</v>
      </c>
      <c r="H468" s="3" t="s">
        <v>1277</v>
      </c>
      <c r="K468" s="3" t="s">
        <v>1278</v>
      </c>
    </row>
    <row r="469" spans="1:11" x14ac:dyDescent="0.25">
      <c r="A469" s="3" t="s">
        <v>6983</v>
      </c>
      <c r="B469" s="3" t="s">
        <v>6984</v>
      </c>
      <c r="C469" s="3" t="s">
        <v>6985</v>
      </c>
      <c r="D469" s="3" t="s">
        <v>1122</v>
      </c>
      <c r="E469" s="3">
        <v>468</v>
      </c>
      <c r="F469" s="3" t="s">
        <v>479</v>
      </c>
      <c r="G469" s="3" t="s">
        <v>1093</v>
      </c>
      <c r="H469" s="3" t="s">
        <v>1276</v>
      </c>
    </row>
    <row r="470" spans="1:11" x14ac:dyDescent="0.25">
      <c r="A470" s="3" t="s">
        <v>6983</v>
      </c>
      <c r="B470" s="3" t="s">
        <v>6984</v>
      </c>
      <c r="C470" s="3" t="s">
        <v>6985</v>
      </c>
      <c r="D470" s="3" t="s">
        <v>1122</v>
      </c>
      <c r="E470" s="3">
        <v>469</v>
      </c>
      <c r="F470" s="3" t="s">
        <v>480</v>
      </c>
      <c r="G470" s="3" t="s">
        <v>1100</v>
      </c>
      <c r="H470" s="3" t="s">
        <v>1275</v>
      </c>
    </row>
    <row r="471" spans="1:11" x14ac:dyDescent="0.25">
      <c r="A471" s="3" t="s">
        <v>6983</v>
      </c>
      <c r="B471" s="3" t="s">
        <v>6984</v>
      </c>
      <c r="C471" s="3" t="s">
        <v>6985</v>
      </c>
      <c r="D471" s="3" t="s">
        <v>1122</v>
      </c>
      <c r="E471" s="3">
        <v>470</v>
      </c>
      <c r="F471" s="3" t="s">
        <v>481</v>
      </c>
      <c r="G471" s="3" t="s">
        <v>1100</v>
      </c>
      <c r="H471" s="3" t="s">
        <v>1274</v>
      </c>
    </row>
    <row r="472" spans="1:11" x14ac:dyDescent="0.25">
      <c r="A472" s="3" t="s">
        <v>6983</v>
      </c>
      <c r="B472" s="3" t="s">
        <v>6984</v>
      </c>
      <c r="C472" s="3" t="s">
        <v>6985</v>
      </c>
      <c r="D472" s="3" t="s">
        <v>1122</v>
      </c>
      <c r="E472" s="3">
        <v>471</v>
      </c>
      <c r="F472" s="3" t="s">
        <v>482</v>
      </c>
      <c r="G472" s="3" t="s">
        <v>1100</v>
      </c>
      <c r="H472" s="3" t="s">
        <v>1273</v>
      </c>
    </row>
    <row r="473" spans="1:11" x14ac:dyDescent="0.25">
      <c r="A473" s="3" t="s">
        <v>6983</v>
      </c>
      <c r="B473" s="3" t="s">
        <v>6984</v>
      </c>
      <c r="C473" s="3" t="s">
        <v>6985</v>
      </c>
      <c r="D473" s="3" t="s">
        <v>1122</v>
      </c>
      <c r="E473" s="3">
        <v>472</v>
      </c>
      <c r="F473" s="3" t="s">
        <v>483</v>
      </c>
      <c r="G473" s="3" t="s">
        <v>4</v>
      </c>
      <c r="H473" s="3" t="s">
        <v>1399</v>
      </c>
    </row>
    <row r="474" spans="1:11" x14ac:dyDescent="0.25">
      <c r="A474" s="3" t="s">
        <v>6983</v>
      </c>
      <c r="B474" s="3" t="s">
        <v>6984</v>
      </c>
      <c r="C474" s="3" t="s">
        <v>6985</v>
      </c>
      <c r="D474" s="3" t="s">
        <v>1122</v>
      </c>
      <c r="E474" s="3">
        <v>473</v>
      </c>
      <c r="F474" s="3" t="s">
        <v>484</v>
      </c>
      <c r="G474" s="3" t="s">
        <v>1104</v>
      </c>
      <c r="H474" s="3" t="str">
        <f>_xlfn.CONCAT("Indicates the status of  ",_xlfn.TEXTBEFORE(F474, " Status"))</f>
        <v>Indicates the status of  ML 2</v>
      </c>
    </row>
    <row r="475" spans="1:11" x14ac:dyDescent="0.25">
      <c r="A475" s="3" t="s">
        <v>6983</v>
      </c>
      <c r="B475" s="3" t="s">
        <v>6984</v>
      </c>
      <c r="C475" s="3" t="s">
        <v>6985</v>
      </c>
      <c r="D475" s="3" t="s">
        <v>1122</v>
      </c>
      <c r="E475" s="3">
        <v>474</v>
      </c>
      <c r="F475" s="3" t="s">
        <v>485</v>
      </c>
      <c r="G475" s="3" t="s">
        <v>1104</v>
      </c>
      <c r="H475" s="3" t="str">
        <f>_xlfn.CONCAT("Indicates the status of  ",_xlfn.TEXTBEFORE(F475, " Status"))</f>
        <v>Indicates the status of  ML 2</v>
      </c>
    </row>
    <row r="476" spans="1:11" x14ac:dyDescent="0.25">
      <c r="A476" s="3" t="s">
        <v>6983</v>
      </c>
      <c r="B476" s="3" t="s">
        <v>6984</v>
      </c>
      <c r="C476" s="3" t="s">
        <v>6985</v>
      </c>
      <c r="D476" s="3" t="s">
        <v>1122</v>
      </c>
      <c r="E476" s="3">
        <v>475</v>
      </c>
      <c r="F476" s="3" t="s">
        <v>486</v>
      </c>
      <c r="G476" s="3" t="s">
        <v>1093</v>
      </c>
      <c r="H476" s="3" t="s">
        <v>1277</v>
      </c>
    </row>
    <row r="477" spans="1:11" x14ac:dyDescent="0.25">
      <c r="A477" s="3" t="s">
        <v>6983</v>
      </c>
      <c r="B477" s="3" t="s">
        <v>6984</v>
      </c>
      <c r="C477" s="3" t="s">
        <v>6985</v>
      </c>
      <c r="D477" s="3" t="s">
        <v>1122</v>
      </c>
      <c r="E477" s="3">
        <v>476</v>
      </c>
      <c r="F477" s="3" t="s">
        <v>487</v>
      </c>
      <c r="G477" s="3" t="s">
        <v>1093</v>
      </c>
      <c r="H477" s="3" t="s">
        <v>1276</v>
      </c>
    </row>
    <row r="478" spans="1:11" x14ac:dyDescent="0.25">
      <c r="A478" s="3" t="s">
        <v>6983</v>
      </c>
      <c r="B478" s="3" t="s">
        <v>6984</v>
      </c>
      <c r="C478" s="3" t="s">
        <v>6985</v>
      </c>
      <c r="D478" s="3" t="s">
        <v>1122</v>
      </c>
      <c r="E478" s="3">
        <v>477</v>
      </c>
      <c r="F478" s="3" t="s">
        <v>488</v>
      </c>
      <c r="G478" s="3" t="s">
        <v>1100</v>
      </c>
      <c r="H478" s="3" t="s">
        <v>1275</v>
      </c>
    </row>
    <row r="479" spans="1:11" x14ac:dyDescent="0.25">
      <c r="A479" s="3" t="s">
        <v>6983</v>
      </c>
      <c r="B479" s="3" t="s">
        <v>6984</v>
      </c>
      <c r="C479" s="3" t="s">
        <v>6985</v>
      </c>
      <c r="D479" s="3" t="s">
        <v>1122</v>
      </c>
      <c r="E479" s="3">
        <v>478</v>
      </c>
      <c r="F479" s="3" t="s">
        <v>489</v>
      </c>
      <c r="G479" s="3" t="s">
        <v>1100</v>
      </c>
      <c r="H479" s="3" t="s">
        <v>1274</v>
      </c>
    </row>
    <row r="480" spans="1:11" x14ac:dyDescent="0.25">
      <c r="A480" s="3" t="s">
        <v>6983</v>
      </c>
      <c r="B480" s="3" t="s">
        <v>6984</v>
      </c>
      <c r="C480" s="3" t="s">
        <v>6985</v>
      </c>
      <c r="D480" s="3" t="s">
        <v>1122</v>
      </c>
      <c r="E480" s="3">
        <v>479</v>
      </c>
      <c r="F480" s="3" t="s">
        <v>490</v>
      </c>
      <c r="G480" s="3" t="s">
        <v>1100</v>
      </c>
      <c r="H480" s="3" t="s">
        <v>1273</v>
      </c>
    </row>
    <row r="481" spans="1:8" x14ac:dyDescent="0.25">
      <c r="A481" s="3" t="s">
        <v>6983</v>
      </c>
      <c r="B481" s="3" t="s">
        <v>6984</v>
      </c>
      <c r="C481" s="3" t="s">
        <v>6985</v>
      </c>
      <c r="D481" s="3" t="s">
        <v>1122</v>
      </c>
      <c r="E481" s="3">
        <v>480</v>
      </c>
      <c r="F481" s="3" t="s">
        <v>491</v>
      </c>
      <c r="G481" s="3" t="s">
        <v>4</v>
      </c>
      <c r="H481" s="3" t="s">
        <v>1399</v>
      </c>
    </row>
    <row r="482" spans="1:8" x14ac:dyDescent="0.25">
      <c r="A482" s="3" t="s">
        <v>6983</v>
      </c>
      <c r="B482" s="3" t="s">
        <v>6984</v>
      </c>
      <c r="C482" s="3" t="s">
        <v>6985</v>
      </c>
      <c r="D482" s="3" t="s">
        <v>1122</v>
      </c>
      <c r="E482" s="3">
        <v>481</v>
      </c>
      <c r="F482" s="3" t="s">
        <v>492</v>
      </c>
      <c r="G482" s="3" t="s">
        <v>1104</v>
      </c>
      <c r="H482" s="3" t="str">
        <f>_xlfn.CONCAT("Indicates the status of  ",_xlfn.TEXTBEFORE(F482, " Status"))</f>
        <v>Indicates the status of  ML 3</v>
      </c>
    </row>
    <row r="483" spans="1:8" x14ac:dyDescent="0.25">
      <c r="A483" s="3" t="s">
        <v>6983</v>
      </c>
      <c r="B483" s="3" t="s">
        <v>6984</v>
      </c>
      <c r="C483" s="3" t="s">
        <v>6985</v>
      </c>
      <c r="D483" s="3" t="s">
        <v>1122</v>
      </c>
      <c r="E483" s="3">
        <v>482</v>
      </c>
      <c r="F483" s="3" t="s">
        <v>493</v>
      </c>
      <c r="G483" s="3" t="s">
        <v>1104</v>
      </c>
      <c r="H483" s="3" t="str">
        <f>_xlfn.CONCAT("Indicates the status of  ",_xlfn.TEXTBEFORE(F483, " Status"))</f>
        <v>Indicates the status of  ML 3</v>
      </c>
    </row>
    <row r="484" spans="1:8" x14ac:dyDescent="0.25">
      <c r="A484" s="3" t="s">
        <v>6983</v>
      </c>
      <c r="B484" s="3" t="s">
        <v>6984</v>
      </c>
      <c r="C484" s="3" t="s">
        <v>6985</v>
      </c>
      <c r="D484" s="3" t="s">
        <v>1122</v>
      </c>
      <c r="E484" s="3">
        <v>483</v>
      </c>
      <c r="F484" s="3" t="s">
        <v>494</v>
      </c>
      <c r="G484" s="3" t="s">
        <v>1093</v>
      </c>
      <c r="H484" s="3" t="s">
        <v>1277</v>
      </c>
    </row>
    <row r="485" spans="1:8" x14ac:dyDescent="0.25">
      <c r="A485" s="3" t="s">
        <v>6983</v>
      </c>
      <c r="B485" s="3" t="s">
        <v>6984</v>
      </c>
      <c r="C485" s="3" t="s">
        <v>6985</v>
      </c>
      <c r="D485" s="3" t="s">
        <v>1122</v>
      </c>
      <c r="E485" s="3">
        <v>484</v>
      </c>
      <c r="F485" s="3" t="s">
        <v>495</v>
      </c>
      <c r="G485" s="3" t="s">
        <v>1093</v>
      </c>
      <c r="H485" s="3" t="s">
        <v>1276</v>
      </c>
    </row>
    <row r="486" spans="1:8" x14ac:dyDescent="0.25">
      <c r="A486" s="3" t="s">
        <v>6983</v>
      </c>
      <c r="B486" s="3" t="s">
        <v>6984</v>
      </c>
      <c r="C486" s="3" t="s">
        <v>6985</v>
      </c>
      <c r="D486" s="3" t="s">
        <v>1122</v>
      </c>
      <c r="E486" s="3">
        <v>485</v>
      </c>
      <c r="F486" s="3" t="s">
        <v>496</v>
      </c>
      <c r="G486" s="3" t="s">
        <v>1100</v>
      </c>
      <c r="H486" s="3" t="s">
        <v>1275</v>
      </c>
    </row>
    <row r="487" spans="1:8" x14ac:dyDescent="0.25">
      <c r="A487" s="3" t="s">
        <v>6983</v>
      </c>
      <c r="B487" s="3" t="s">
        <v>6984</v>
      </c>
      <c r="C487" s="3" t="s">
        <v>6985</v>
      </c>
      <c r="D487" s="3" t="s">
        <v>1122</v>
      </c>
      <c r="E487" s="3">
        <v>486</v>
      </c>
      <c r="F487" s="3" t="s">
        <v>497</v>
      </c>
      <c r="G487" s="3" t="s">
        <v>1100</v>
      </c>
      <c r="H487" s="3" t="s">
        <v>1274</v>
      </c>
    </row>
    <row r="488" spans="1:8" x14ac:dyDescent="0.25">
      <c r="A488" s="3" t="s">
        <v>6983</v>
      </c>
      <c r="B488" s="3" t="s">
        <v>6984</v>
      </c>
      <c r="C488" s="3" t="s">
        <v>6985</v>
      </c>
      <c r="D488" s="3" t="s">
        <v>1122</v>
      </c>
      <c r="E488" s="3">
        <v>487</v>
      </c>
      <c r="F488" s="3" t="s">
        <v>498</v>
      </c>
      <c r="G488" s="3" t="s">
        <v>1100</v>
      </c>
      <c r="H488" s="3" t="s">
        <v>1273</v>
      </c>
    </row>
    <row r="489" spans="1:8" x14ac:dyDescent="0.25">
      <c r="A489" s="3" t="s">
        <v>6983</v>
      </c>
      <c r="B489" s="3" t="s">
        <v>6984</v>
      </c>
      <c r="C489" s="3" t="s">
        <v>6985</v>
      </c>
      <c r="D489" s="3" t="s">
        <v>1122</v>
      </c>
      <c r="E489" s="3">
        <v>488</v>
      </c>
      <c r="F489" s="3" t="s">
        <v>499</v>
      </c>
      <c r="G489" s="3" t="s">
        <v>4</v>
      </c>
      <c r="H489" s="3" t="s">
        <v>1399</v>
      </c>
    </row>
    <row r="490" spans="1:8" x14ac:dyDescent="0.25">
      <c r="A490" s="3" t="s">
        <v>6983</v>
      </c>
      <c r="B490" s="3" t="s">
        <v>6984</v>
      </c>
      <c r="C490" s="3" t="s">
        <v>6985</v>
      </c>
      <c r="D490" s="3" t="s">
        <v>1122</v>
      </c>
      <c r="E490" s="3">
        <v>489</v>
      </c>
      <c r="F490" s="3" t="s">
        <v>500</v>
      </c>
      <c r="G490" s="3" t="s">
        <v>1104</v>
      </c>
      <c r="H490" s="3" t="str">
        <f>_xlfn.CONCAT("Indicates the status of  ",_xlfn.TEXTBEFORE(F490, " Status"))</f>
        <v>Indicates the status of  ML 4</v>
      </c>
    </row>
    <row r="491" spans="1:8" x14ac:dyDescent="0.25">
      <c r="A491" s="3" t="s">
        <v>6983</v>
      </c>
      <c r="B491" s="3" t="s">
        <v>6984</v>
      </c>
      <c r="C491" s="3" t="s">
        <v>6985</v>
      </c>
      <c r="D491" s="3" t="s">
        <v>1122</v>
      </c>
      <c r="E491" s="3">
        <v>490</v>
      </c>
      <c r="F491" s="3" t="s">
        <v>501</v>
      </c>
      <c r="G491" s="3" t="s">
        <v>1104</v>
      </c>
      <c r="H491" s="3" t="str">
        <f>_xlfn.CONCAT("Indicates the status of  ",_xlfn.TEXTBEFORE(F491, " Status"))</f>
        <v>Indicates the status of  ML 4</v>
      </c>
    </row>
    <row r="492" spans="1:8" x14ac:dyDescent="0.25">
      <c r="A492" s="3" t="s">
        <v>6983</v>
      </c>
      <c r="B492" s="3" t="s">
        <v>6984</v>
      </c>
      <c r="C492" s="3" t="s">
        <v>6985</v>
      </c>
      <c r="D492" s="3" t="s">
        <v>1122</v>
      </c>
      <c r="E492" s="3">
        <v>491</v>
      </c>
      <c r="F492" s="3" t="s">
        <v>502</v>
      </c>
      <c r="G492" s="3" t="s">
        <v>1093</v>
      </c>
      <c r="H492" s="3" t="s">
        <v>1277</v>
      </c>
    </row>
    <row r="493" spans="1:8" x14ac:dyDescent="0.25">
      <c r="A493" s="3" t="s">
        <v>6983</v>
      </c>
      <c r="B493" s="3" t="s">
        <v>6984</v>
      </c>
      <c r="C493" s="3" t="s">
        <v>6985</v>
      </c>
      <c r="D493" s="3" t="s">
        <v>1122</v>
      </c>
      <c r="E493" s="3">
        <v>492</v>
      </c>
      <c r="F493" s="3" t="s">
        <v>503</v>
      </c>
      <c r="G493" s="3" t="s">
        <v>1093</v>
      </c>
      <c r="H493" s="3" t="s">
        <v>1276</v>
      </c>
    </row>
    <row r="494" spans="1:8" x14ac:dyDescent="0.25">
      <c r="A494" s="3" t="s">
        <v>6983</v>
      </c>
      <c r="B494" s="3" t="s">
        <v>6984</v>
      </c>
      <c r="C494" s="3" t="s">
        <v>6985</v>
      </c>
      <c r="D494" s="3" t="s">
        <v>1122</v>
      </c>
      <c r="E494" s="3">
        <v>493</v>
      </c>
      <c r="F494" s="3" t="s">
        <v>504</v>
      </c>
      <c r="G494" s="3" t="s">
        <v>1100</v>
      </c>
      <c r="H494" s="3" t="s">
        <v>1275</v>
      </c>
    </row>
    <row r="495" spans="1:8" x14ac:dyDescent="0.25">
      <c r="A495" s="3" t="s">
        <v>6983</v>
      </c>
      <c r="B495" s="3" t="s">
        <v>6984</v>
      </c>
      <c r="C495" s="3" t="s">
        <v>6985</v>
      </c>
      <c r="D495" s="3" t="s">
        <v>1122</v>
      </c>
      <c r="E495" s="3">
        <v>494</v>
      </c>
      <c r="F495" s="3" t="s">
        <v>505</v>
      </c>
      <c r="G495" s="3" t="s">
        <v>1100</v>
      </c>
      <c r="H495" s="3" t="s">
        <v>1274</v>
      </c>
    </row>
    <row r="496" spans="1:8" x14ac:dyDescent="0.25">
      <c r="A496" s="3" t="s">
        <v>6983</v>
      </c>
      <c r="B496" s="3" t="s">
        <v>6984</v>
      </c>
      <c r="C496" s="3" t="s">
        <v>6985</v>
      </c>
      <c r="D496" s="3" t="s">
        <v>1122</v>
      </c>
      <c r="E496" s="3">
        <v>495</v>
      </c>
      <c r="F496" s="3" t="s">
        <v>506</v>
      </c>
      <c r="G496" s="3" t="s">
        <v>1100</v>
      </c>
      <c r="H496" s="3" t="s">
        <v>1273</v>
      </c>
    </row>
    <row r="497" spans="1:8" x14ac:dyDescent="0.25">
      <c r="A497" s="3" t="s">
        <v>6983</v>
      </c>
      <c r="B497" s="3" t="s">
        <v>6984</v>
      </c>
      <c r="C497" s="3" t="s">
        <v>6985</v>
      </c>
      <c r="D497" s="3" t="s">
        <v>1122</v>
      </c>
      <c r="E497" s="3">
        <v>496</v>
      </c>
      <c r="F497" s="3" t="s">
        <v>507</v>
      </c>
      <c r="G497" s="3" t="s">
        <v>4</v>
      </c>
      <c r="H497" s="3" t="s">
        <v>1399</v>
      </c>
    </row>
    <row r="498" spans="1:8" x14ac:dyDescent="0.25">
      <c r="A498" s="3" t="s">
        <v>6983</v>
      </c>
      <c r="B498" s="3" t="s">
        <v>6984</v>
      </c>
      <c r="C498" s="3" t="s">
        <v>6985</v>
      </c>
      <c r="D498" s="3" t="s">
        <v>1122</v>
      </c>
      <c r="E498" s="3">
        <v>497</v>
      </c>
      <c r="F498" s="3" t="s">
        <v>508</v>
      </c>
      <c r="G498" s="3" t="s">
        <v>1104</v>
      </c>
      <c r="H498" s="3" t="str">
        <f>_xlfn.CONCAT("Indicates the status of  ",_xlfn.TEXTBEFORE(F498, " Status"))</f>
        <v>Indicates the status of  ML 5</v>
      </c>
    </row>
    <row r="499" spans="1:8" x14ac:dyDescent="0.25">
      <c r="A499" s="3" t="s">
        <v>6983</v>
      </c>
      <c r="B499" s="3" t="s">
        <v>6984</v>
      </c>
      <c r="C499" s="3" t="s">
        <v>6985</v>
      </c>
      <c r="D499" s="3" t="s">
        <v>1122</v>
      </c>
      <c r="E499" s="3">
        <v>498</v>
      </c>
      <c r="F499" s="3" t="s">
        <v>509</v>
      </c>
      <c r="G499" s="3" t="s">
        <v>1104</v>
      </c>
      <c r="H499" s="3" t="str">
        <f>_xlfn.CONCAT("Indicates the status of  ",_xlfn.TEXTBEFORE(F499, " Status"))</f>
        <v>Indicates the status of  ML 5</v>
      </c>
    </row>
    <row r="500" spans="1:8" x14ac:dyDescent="0.25">
      <c r="A500" s="3" t="s">
        <v>6983</v>
      </c>
      <c r="B500" s="3" t="s">
        <v>6984</v>
      </c>
      <c r="C500" s="3" t="s">
        <v>6985</v>
      </c>
      <c r="D500" s="3" t="s">
        <v>1122</v>
      </c>
      <c r="E500" s="3">
        <v>499</v>
      </c>
      <c r="F500" s="3" t="s">
        <v>510</v>
      </c>
      <c r="G500" s="3" t="s">
        <v>1093</v>
      </c>
      <c r="H500" s="3" t="s">
        <v>1277</v>
      </c>
    </row>
    <row r="501" spans="1:8" x14ac:dyDescent="0.25">
      <c r="A501" s="3" t="s">
        <v>6983</v>
      </c>
      <c r="B501" s="3" t="s">
        <v>6984</v>
      </c>
      <c r="C501" s="3" t="s">
        <v>6985</v>
      </c>
      <c r="D501" s="3" t="s">
        <v>1122</v>
      </c>
      <c r="E501" s="3">
        <v>500</v>
      </c>
      <c r="F501" s="3" t="s">
        <v>511</v>
      </c>
      <c r="G501" s="3" t="s">
        <v>1093</v>
      </c>
      <c r="H501" s="3" t="s">
        <v>1276</v>
      </c>
    </row>
    <row r="502" spans="1:8" x14ac:dyDescent="0.25">
      <c r="A502" s="3" t="s">
        <v>6983</v>
      </c>
      <c r="B502" s="3" t="s">
        <v>6984</v>
      </c>
      <c r="C502" s="3" t="s">
        <v>6985</v>
      </c>
      <c r="D502" s="3" t="s">
        <v>1122</v>
      </c>
      <c r="E502" s="3">
        <v>501</v>
      </c>
      <c r="F502" s="3" t="s">
        <v>512</v>
      </c>
      <c r="G502" s="3" t="s">
        <v>1100</v>
      </c>
      <c r="H502" s="3" t="s">
        <v>1275</v>
      </c>
    </row>
    <row r="503" spans="1:8" x14ac:dyDescent="0.25">
      <c r="A503" s="3" t="s">
        <v>6983</v>
      </c>
      <c r="B503" s="3" t="s">
        <v>6984</v>
      </c>
      <c r="C503" s="3" t="s">
        <v>6985</v>
      </c>
      <c r="D503" s="3" t="s">
        <v>1122</v>
      </c>
      <c r="E503" s="3">
        <v>502</v>
      </c>
      <c r="F503" s="3" t="s">
        <v>513</v>
      </c>
      <c r="G503" s="3" t="s">
        <v>1100</v>
      </c>
      <c r="H503" s="3" t="s">
        <v>1274</v>
      </c>
    </row>
    <row r="504" spans="1:8" x14ac:dyDescent="0.25">
      <c r="A504" s="3" t="s">
        <v>6983</v>
      </c>
      <c r="B504" s="3" t="s">
        <v>6984</v>
      </c>
      <c r="C504" s="3" t="s">
        <v>6985</v>
      </c>
      <c r="D504" s="3" t="s">
        <v>1122</v>
      </c>
      <c r="E504" s="3">
        <v>503</v>
      </c>
      <c r="F504" s="3" t="s">
        <v>514</v>
      </c>
      <c r="G504" s="3" t="s">
        <v>1100</v>
      </c>
      <c r="H504" s="3" t="s">
        <v>1273</v>
      </c>
    </row>
    <row r="505" spans="1:8" x14ac:dyDescent="0.25">
      <c r="A505" s="3" t="s">
        <v>6983</v>
      </c>
      <c r="B505" s="3" t="s">
        <v>6984</v>
      </c>
      <c r="C505" s="3" t="s">
        <v>6985</v>
      </c>
      <c r="D505" s="3" t="s">
        <v>1122</v>
      </c>
      <c r="E505" s="3">
        <v>504</v>
      </c>
      <c r="F505" s="3" t="s">
        <v>515</v>
      </c>
      <c r="G505" s="3" t="s">
        <v>4</v>
      </c>
      <c r="H505" s="3" t="s">
        <v>1399</v>
      </c>
    </row>
    <row r="506" spans="1:8" x14ac:dyDescent="0.25">
      <c r="A506" s="3" t="s">
        <v>6983</v>
      </c>
      <c r="B506" s="3" t="s">
        <v>6984</v>
      </c>
      <c r="C506" s="3" t="s">
        <v>6985</v>
      </c>
      <c r="D506" s="3" t="s">
        <v>1122</v>
      </c>
      <c r="E506" s="3">
        <v>505</v>
      </c>
      <c r="F506" s="3" t="s">
        <v>516</v>
      </c>
      <c r="G506" s="3" t="s">
        <v>1104</v>
      </c>
      <c r="H506" s="3" t="str">
        <f>_xlfn.CONCAT("Indicates the status of  ",_xlfn.TEXTBEFORE(F506, " Status"))</f>
        <v>Indicates the status of  ML 6</v>
      </c>
    </row>
    <row r="507" spans="1:8" x14ac:dyDescent="0.25">
      <c r="A507" s="3" t="s">
        <v>6983</v>
      </c>
      <c r="B507" s="3" t="s">
        <v>6984</v>
      </c>
      <c r="C507" s="3" t="s">
        <v>6985</v>
      </c>
      <c r="D507" s="3" t="s">
        <v>1122</v>
      </c>
      <c r="E507" s="3">
        <v>506</v>
      </c>
      <c r="F507" s="3" t="s">
        <v>517</v>
      </c>
      <c r="G507" s="3" t="s">
        <v>1104</v>
      </c>
      <c r="H507" s="3" t="str">
        <f>_xlfn.CONCAT("Indicates the status of  ",_xlfn.TEXTBEFORE(F507, " Status"))</f>
        <v>Indicates the status of  ML 6</v>
      </c>
    </row>
    <row r="508" spans="1:8" x14ac:dyDescent="0.25">
      <c r="A508" s="3" t="s">
        <v>6983</v>
      </c>
      <c r="B508" s="3" t="s">
        <v>6984</v>
      </c>
      <c r="C508" s="3" t="s">
        <v>6985</v>
      </c>
      <c r="D508" s="3" t="s">
        <v>1122</v>
      </c>
      <c r="E508" s="3">
        <v>507</v>
      </c>
      <c r="F508" s="3" t="s">
        <v>518</v>
      </c>
      <c r="G508" s="3" t="s">
        <v>1093</v>
      </c>
      <c r="H508" s="3" t="s">
        <v>1277</v>
      </c>
    </row>
    <row r="509" spans="1:8" x14ac:dyDescent="0.25">
      <c r="A509" s="3" t="s">
        <v>6983</v>
      </c>
      <c r="B509" s="3" t="s">
        <v>6984</v>
      </c>
      <c r="C509" s="3" t="s">
        <v>6985</v>
      </c>
      <c r="D509" s="3" t="s">
        <v>1122</v>
      </c>
      <c r="E509" s="3">
        <v>508</v>
      </c>
      <c r="F509" s="3" t="s">
        <v>519</v>
      </c>
      <c r="G509" s="3" t="s">
        <v>1093</v>
      </c>
      <c r="H509" s="3" t="s">
        <v>1276</v>
      </c>
    </row>
    <row r="510" spans="1:8" x14ac:dyDescent="0.25">
      <c r="A510" s="3" t="s">
        <v>6983</v>
      </c>
      <c r="B510" s="3" t="s">
        <v>6984</v>
      </c>
      <c r="C510" s="3" t="s">
        <v>6985</v>
      </c>
      <c r="D510" s="3" t="s">
        <v>1122</v>
      </c>
      <c r="E510" s="3">
        <v>509</v>
      </c>
      <c r="F510" s="3" t="s">
        <v>520</v>
      </c>
      <c r="G510" s="3" t="s">
        <v>1100</v>
      </c>
      <c r="H510" s="3" t="s">
        <v>1275</v>
      </c>
    </row>
    <row r="511" spans="1:8" x14ac:dyDescent="0.25">
      <c r="A511" s="3" t="s">
        <v>6983</v>
      </c>
      <c r="B511" s="3" t="s">
        <v>6984</v>
      </c>
      <c r="C511" s="3" t="s">
        <v>6985</v>
      </c>
      <c r="D511" s="3" t="s">
        <v>1122</v>
      </c>
      <c r="E511" s="3">
        <v>510</v>
      </c>
      <c r="F511" s="3" t="s">
        <v>521</v>
      </c>
      <c r="G511" s="3" t="s">
        <v>1100</v>
      </c>
      <c r="H511" s="3" t="s">
        <v>1274</v>
      </c>
    </row>
    <row r="512" spans="1:8" x14ac:dyDescent="0.25">
      <c r="A512" s="3" t="s">
        <v>6983</v>
      </c>
      <c r="B512" s="3" t="s">
        <v>6984</v>
      </c>
      <c r="C512" s="3" t="s">
        <v>6985</v>
      </c>
      <c r="D512" s="3" t="s">
        <v>1122</v>
      </c>
      <c r="E512" s="3">
        <v>511</v>
      </c>
      <c r="F512" s="3" t="s">
        <v>522</v>
      </c>
      <c r="G512" s="3" t="s">
        <v>1100</v>
      </c>
      <c r="H512" s="3" t="s">
        <v>1273</v>
      </c>
    </row>
    <row r="513" spans="1:8" x14ac:dyDescent="0.25">
      <c r="A513" s="3" t="s">
        <v>6983</v>
      </c>
      <c r="B513" s="3" t="s">
        <v>6984</v>
      </c>
      <c r="C513" s="3" t="s">
        <v>6985</v>
      </c>
      <c r="D513" s="3" t="s">
        <v>1122</v>
      </c>
      <c r="E513" s="3">
        <v>512</v>
      </c>
      <c r="F513" s="3" t="s">
        <v>523</v>
      </c>
      <c r="G513" s="3" t="s">
        <v>4</v>
      </c>
      <c r="H513" s="3" t="s">
        <v>1399</v>
      </c>
    </row>
    <row r="514" spans="1:8" x14ac:dyDescent="0.25">
      <c r="A514" s="3" t="s">
        <v>6983</v>
      </c>
      <c r="B514" s="3" t="s">
        <v>6984</v>
      </c>
      <c r="C514" s="3" t="s">
        <v>6985</v>
      </c>
      <c r="D514" s="3" t="s">
        <v>1122</v>
      </c>
      <c r="E514" s="3">
        <v>513</v>
      </c>
      <c r="F514" s="3" t="s">
        <v>524</v>
      </c>
      <c r="G514" s="3" t="s">
        <v>1104</v>
      </c>
      <c r="H514" s="3" t="str">
        <f>_xlfn.CONCAT("Indicates the status of  ",_xlfn.TEXTBEFORE(F514, " Status"))</f>
        <v>Indicates the status of  ML 7</v>
      </c>
    </row>
    <row r="515" spans="1:8" x14ac:dyDescent="0.25">
      <c r="A515" s="3" t="s">
        <v>6983</v>
      </c>
      <c r="B515" s="3" t="s">
        <v>6984</v>
      </c>
      <c r="C515" s="3" t="s">
        <v>6985</v>
      </c>
      <c r="D515" s="3" t="s">
        <v>1122</v>
      </c>
      <c r="E515" s="3">
        <v>514</v>
      </c>
      <c r="F515" s="3" t="s">
        <v>525</v>
      </c>
      <c r="G515" s="3" t="s">
        <v>1104</v>
      </c>
      <c r="H515" s="3" t="str">
        <f>_xlfn.CONCAT("Indicates the status of  ",_xlfn.TEXTBEFORE(F515, " Status"))</f>
        <v>Indicates the status of  ML 7</v>
      </c>
    </row>
    <row r="516" spans="1:8" x14ac:dyDescent="0.25">
      <c r="A516" s="3" t="s">
        <v>6983</v>
      </c>
      <c r="B516" s="3" t="s">
        <v>6984</v>
      </c>
      <c r="C516" s="3" t="s">
        <v>6985</v>
      </c>
      <c r="D516" s="3" t="s">
        <v>1122</v>
      </c>
      <c r="E516" s="3">
        <v>515</v>
      </c>
      <c r="F516" s="3" t="s">
        <v>526</v>
      </c>
      <c r="G516" s="3" t="s">
        <v>1093</v>
      </c>
      <c r="H516" s="3" t="s">
        <v>1277</v>
      </c>
    </row>
    <row r="517" spans="1:8" x14ac:dyDescent="0.25">
      <c r="A517" s="3" t="s">
        <v>6983</v>
      </c>
      <c r="B517" s="3" t="s">
        <v>6984</v>
      </c>
      <c r="C517" s="3" t="s">
        <v>6985</v>
      </c>
      <c r="D517" s="3" t="s">
        <v>1122</v>
      </c>
      <c r="E517" s="3">
        <v>516</v>
      </c>
      <c r="F517" s="3" t="s">
        <v>527</v>
      </c>
      <c r="G517" s="3" t="s">
        <v>1093</v>
      </c>
      <c r="H517" s="3" t="s">
        <v>1276</v>
      </c>
    </row>
    <row r="518" spans="1:8" x14ac:dyDescent="0.25">
      <c r="A518" s="3" t="s">
        <v>6983</v>
      </c>
      <c r="B518" s="3" t="s">
        <v>6984</v>
      </c>
      <c r="C518" s="3" t="s">
        <v>6985</v>
      </c>
      <c r="D518" s="3" t="s">
        <v>1122</v>
      </c>
      <c r="E518" s="3">
        <v>517</v>
      </c>
      <c r="F518" s="3" t="s">
        <v>528</v>
      </c>
      <c r="G518" s="3" t="s">
        <v>1100</v>
      </c>
      <c r="H518" s="3" t="s">
        <v>1275</v>
      </c>
    </row>
    <row r="519" spans="1:8" x14ac:dyDescent="0.25">
      <c r="A519" s="3" t="s">
        <v>6983</v>
      </c>
      <c r="B519" s="3" t="s">
        <v>6984</v>
      </c>
      <c r="C519" s="3" t="s">
        <v>6985</v>
      </c>
      <c r="D519" s="3" t="s">
        <v>1122</v>
      </c>
      <c r="E519" s="3">
        <v>518</v>
      </c>
      <c r="F519" s="3" t="s">
        <v>529</v>
      </c>
      <c r="G519" s="3" t="s">
        <v>1100</v>
      </c>
      <c r="H519" s="3" t="s">
        <v>1274</v>
      </c>
    </row>
    <row r="520" spans="1:8" x14ac:dyDescent="0.25">
      <c r="A520" s="3" t="s">
        <v>6983</v>
      </c>
      <c r="B520" s="3" t="s">
        <v>6984</v>
      </c>
      <c r="C520" s="3" t="s">
        <v>6985</v>
      </c>
      <c r="D520" s="3" t="s">
        <v>1122</v>
      </c>
      <c r="E520" s="3">
        <v>519</v>
      </c>
      <c r="F520" s="3" t="s">
        <v>530</v>
      </c>
      <c r="G520" s="3" t="s">
        <v>1100</v>
      </c>
      <c r="H520" s="3" t="s">
        <v>1273</v>
      </c>
    </row>
    <row r="521" spans="1:8" x14ac:dyDescent="0.25">
      <c r="A521" s="3" t="s">
        <v>6983</v>
      </c>
      <c r="B521" s="3" t="s">
        <v>6984</v>
      </c>
      <c r="C521" s="3" t="s">
        <v>6985</v>
      </c>
      <c r="D521" s="3" t="s">
        <v>1122</v>
      </c>
      <c r="E521" s="3">
        <v>520</v>
      </c>
      <c r="F521" s="3" t="s">
        <v>531</v>
      </c>
      <c r="G521" s="3" t="s">
        <v>4</v>
      </c>
      <c r="H521" s="3" t="s">
        <v>1399</v>
      </c>
    </row>
    <row r="522" spans="1:8" x14ac:dyDescent="0.25">
      <c r="A522" s="3" t="s">
        <v>6983</v>
      </c>
      <c r="B522" s="3" t="s">
        <v>6984</v>
      </c>
      <c r="C522" s="3" t="s">
        <v>6985</v>
      </c>
      <c r="D522" s="3" t="s">
        <v>1122</v>
      </c>
      <c r="E522" s="3">
        <v>521</v>
      </c>
      <c r="F522" s="3" t="s">
        <v>532</v>
      </c>
      <c r="G522" s="3" t="s">
        <v>1104</v>
      </c>
      <c r="H522" s="3" t="str">
        <f>_xlfn.CONCAT("Indicates the status of  ",_xlfn.TEXTBEFORE(F522, " Status"))</f>
        <v>Indicates the status of  ML 8</v>
      </c>
    </row>
    <row r="523" spans="1:8" x14ac:dyDescent="0.25">
      <c r="A523" s="3" t="s">
        <v>6983</v>
      </c>
      <c r="B523" s="3" t="s">
        <v>6984</v>
      </c>
      <c r="C523" s="3" t="s">
        <v>6985</v>
      </c>
      <c r="D523" s="3" t="s">
        <v>1122</v>
      </c>
      <c r="E523" s="3">
        <v>522</v>
      </c>
      <c r="F523" s="3" t="s">
        <v>533</v>
      </c>
      <c r="G523" s="3" t="s">
        <v>1104</v>
      </c>
      <c r="H523" s="3" t="str">
        <f>_xlfn.CONCAT("Indicates the status of  ",_xlfn.TEXTBEFORE(F523, " Status"))</f>
        <v>Indicates the status of  ML 8</v>
      </c>
    </row>
    <row r="524" spans="1:8" x14ac:dyDescent="0.25">
      <c r="A524" s="3" t="s">
        <v>6983</v>
      </c>
      <c r="B524" s="3" t="s">
        <v>6984</v>
      </c>
      <c r="C524" s="3" t="s">
        <v>6985</v>
      </c>
      <c r="D524" s="3" t="s">
        <v>1122</v>
      </c>
      <c r="E524" s="3">
        <v>523</v>
      </c>
      <c r="F524" s="3" t="s">
        <v>534</v>
      </c>
      <c r="G524" s="3" t="s">
        <v>1093</v>
      </c>
      <c r="H524" s="3" t="s">
        <v>1277</v>
      </c>
    </row>
    <row r="525" spans="1:8" x14ac:dyDescent="0.25">
      <c r="A525" s="3" t="s">
        <v>6983</v>
      </c>
      <c r="B525" s="3" t="s">
        <v>6984</v>
      </c>
      <c r="C525" s="3" t="s">
        <v>6985</v>
      </c>
      <c r="D525" s="3" t="s">
        <v>1122</v>
      </c>
      <c r="E525" s="3">
        <v>524</v>
      </c>
      <c r="F525" s="3" t="s">
        <v>535</v>
      </c>
      <c r="G525" s="3" t="s">
        <v>1093</v>
      </c>
      <c r="H525" s="3" t="s">
        <v>1276</v>
      </c>
    </row>
    <row r="526" spans="1:8" x14ac:dyDescent="0.25">
      <c r="A526" s="3" t="s">
        <v>6983</v>
      </c>
      <c r="B526" s="3" t="s">
        <v>6984</v>
      </c>
      <c r="C526" s="3" t="s">
        <v>6985</v>
      </c>
      <c r="D526" s="3" t="s">
        <v>1122</v>
      </c>
      <c r="E526" s="3">
        <v>525</v>
      </c>
      <c r="F526" s="3" t="s">
        <v>536</v>
      </c>
      <c r="G526" s="3" t="s">
        <v>1100</v>
      </c>
      <c r="H526" s="3" t="s">
        <v>1275</v>
      </c>
    </row>
    <row r="527" spans="1:8" x14ac:dyDescent="0.25">
      <c r="A527" s="3" t="s">
        <v>6983</v>
      </c>
      <c r="B527" s="3" t="s">
        <v>6984</v>
      </c>
      <c r="C527" s="3" t="s">
        <v>6985</v>
      </c>
      <c r="D527" s="3" t="s">
        <v>1122</v>
      </c>
      <c r="E527" s="3">
        <v>526</v>
      </c>
      <c r="F527" s="3" t="s">
        <v>537</v>
      </c>
      <c r="G527" s="3" t="s">
        <v>1100</v>
      </c>
      <c r="H527" s="3" t="s">
        <v>1274</v>
      </c>
    </row>
    <row r="528" spans="1:8" x14ac:dyDescent="0.25">
      <c r="A528" s="3" t="s">
        <v>6983</v>
      </c>
      <c r="B528" s="3" t="s">
        <v>6984</v>
      </c>
      <c r="C528" s="3" t="s">
        <v>6985</v>
      </c>
      <c r="D528" s="3" t="s">
        <v>1122</v>
      </c>
      <c r="E528" s="3">
        <v>527</v>
      </c>
      <c r="F528" s="3" t="s">
        <v>538</v>
      </c>
      <c r="G528" s="3" t="s">
        <v>1100</v>
      </c>
      <c r="H528" s="3" t="s">
        <v>1273</v>
      </c>
    </row>
    <row r="529" spans="1:8" x14ac:dyDescent="0.25">
      <c r="A529" s="3" t="s">
        <v>6983</v>
      </c>
      <c r="B529" s="3" t="s">
        <v>6984</v>
      </c>
      <c r="C529" s="3" t="s">
        <v>6985</v>
      </c>
      <c r="D529" s="3" t="s">
        <v>1122</v>
      </c>
      <c r="E529" s="3">
        <v>528</v>
      </c>
      <c r="F529" s="3" t="s">
        <v>539</v>
      </c>
      <c r="G529" s="3" t="s">
        <v>4</v>
      </c>
      <c r="H529" s="3" t="s">
        <v>1399</v>
      </c>
    </row>
    <row r="530" spans="1:8" x14ac:dyDescent="0.25">
      <c r="A530" s="3" t="s">
        <v>6983</v>
      </c>
      <c r="B530" s="3" t="s">
        <v>6984</v>
      </c>
      <c r="C530" s="3" t="s">
        <v>6985</v>
      </c>
      <c r="D530" s="3" t="s">
        <v>1122</v>
      </c>
      <c r="E530" s="3">
        <v>529</v>
      </c>
      <c r="F530" s="3" t="s">
        <v>540</v>
      </c>
      <c r="G530" s="3" t="s">
        <v>1104</v>
      </c>
      <c r="H530" s="3" t="str">
        <f>_xlfn.CONCAT("Indicates the status of  ",_xlfn.TEXTBEFORE(F530, " Status"))</f>
        <v>Indicates the status of  ML 9</v>
      </c>
    </row>
    <row r="531" spans="1:8" x14ac:dyDescent="0.25">
      <c r="A531" s="3" t="s">
        <v>6983</v>
      </c>
      <c r="B531" s="3" t="s">
        <v>6984</v>
      </c>
      <c r="C531" s="3" t="s">
        <v>6985</v>
      </c>
      <c r="D531" s="3" t="s">
        <v>1122</v>
      </c>
      <c r="E531" s="3">
        <v>530</v>
      </c>
      <c r="F531" s="3" t="s">
        <v>541</v>
      </c>
      <c r="G531" s="3" t="s">
        <v>1104</v>
      </c>
      <c r="H531" s="3" t="str">
        <f>_xlfn.CONCAT("Indicates the status of  ",_xlfn.TEXTBEFORE(F531, " Status"))</f>
        <v>Indicates the status of  ML 9</v>
      </c>
    </row>
    <row r="532" spans="1:8" x14ac:dyDescent="0.25">
      <c r="A532" s="3" t="s">
        <v>6983</v>
      </c>
      <c r="B532" s="3" t="s">
        <v>6984</v>
      </c>
      <c r="C532" s="3" t="s">
        <v>6985</v>
      </c>
      <c r="D532" s="3" t="s">
        <v>1122</v>
      </c>
      <c r="E532" s="3">
        <v>531</v>
      </c>
      <c r="F532" s="3" t="s">
        <v>542</v>
      </c>
      <c r="G532" s="3" t="s">
        <v>1093</v>
      </c>
      <c r="H532" s="3" t="s">
        <v>1277</v>
      </c>
    </row>
    <row r="533" spans="1:8" x14ac:dyDescent="0.25">
      <c r="A533" s="3" t="s">
        <v>6983</v>
      </c>
      <c r="B533" s="3" t="s">
        <v>6984</v>
      </c>
      <c r="C533" s="3" t="s">
        <v>6985</v>
      </c>
      <c r="D533" s="3" t="s">
        <v>1122</v>
      </c>
      <c r="E533" s="3">
        <v>532</v>
      </c>
      <c r="F533" s="3" t="s">
        <v>543</v>
      </c>
      <c r="G533" s="3" t="s">
        <v>1093</v>
      </c>
      <c r="H533" s="3" t="s">
        <v>1276</v>
      </c>
    </row>
    <row r="534" spans="1:8" x14ac:dyDescent="0.25">
      <c r="A534" s="3" t="s">
        <v>6983</v>
      </c>
      <c r="B534" s="3" t="s">
        <v>6984</v>
      </c>
      <c r="C534" s="3" t="s">
        <v>6985</v>
      </c>
      <c r="D534" s="3" t="s">
        <v>1122</v>
      </c>
      <c r="E534" s="3">
        <v>533</v>
      </c>
      <c r="F534" s="3" t="s">
        <v>544</v>
      </c>
      <c r="G534" s="3" t="s">
        <v>1100</v>
      </c>
      <c r="H534" s="3" t="s">
        <v>1275</v>
      </c>
    </row>
    <row r="535" spans="1:8" x14ac:dyDescent="0.25">
      <c r="A535" s="3" t="s">
        <v>6983</v>
      </c>
      <c r="B535" s="3" t="s">
        <v>6984</v>
      </c>
      <c r="C535" s="3" t="s">
        <v>6985</v>
      </c>
      <c r="D535" s="3" t="s">
        <v>1122</v>
      </c>
      <c r="E535" s="3">
        <v>534</v>
      </c>
      <c r="F535" s="3" t="s">
        <v>545</v>
      </c>
      <c r="G535" s="3" t="s">
        <v>1100</v>
      </c>
      <c r="H535" s="3" t="s">
        <v>1274</v>
      </c>
    </row>
    <row r="536" spans="1:8" x14ac:dyDescent="0.25">
      <c r="A536" s="3" t="s">
        <v>6983</v>
      </c>
      <c r="B536" s="3" t="s">
        <v>6984</v>
      </c>
      <c r="C536" s="3" t="s">
        <v>6985</v>
      </c>
      <c r="D536" s="3" t="s">
        <v>1122</v>
      </c>
      <c r="E536" s="3">
        <v>535</v>
      </c>
      <c r="F536" s="3" t="s">
        <v>546</v>
      </c>
      <c r="G536" s="3" t="s">
        <v>1100</v>
      </c>
      <c r="H536" s="3" t="s">
        <v>1273</v>
      </c>
    </row>
    <row r="537" spans="1:8" x14ac:dyDescent="0.25">
      <c r="A537" s="3" t="s">
        <v>6983</v>
      </c>
      <c r="B537" s="3" t="s">
        <v>6984</v>
      </c>
      <c r="C537" s="3" t="s">
        <v>6985</v>
      </c>
      <c r="D537" s="3" t="s">
        <v>1122</v>
      </c>
      <c r="E537" s="3">
        <v>536</v>
      </c>
      <c r="F537" s="3" t="s">
        <v>547</v>
      </c>
      <c r="G537" s="3" t="s">
        <v>4</v>
      </c>
      <c r="H537" s="3" t="s">
        <v>1399</v>
      </c>
    </row>
    <row r="538" spans="1:8" x14ac:dyDescent="0.25">
      <c r="A538" s="3" t="s">
        <v>6983</v>
      </c>
      <c r="B538" s="3" t="s">
        <v>6984</v>
      </c>
      <c r="C538" s="3" t="s">
        <v>6985</v>
      </c>
      <c r="D538" s="3" t="s">
        <v>1122</v>
      </c>
      <c r="E538" s="3">
        <v>537</v>
      </c>
      <c r="F538" s="3" t="s">
        <v>548</v>
      </c>
      <c r="G538" s="3" t="s">
        <v>1104</v>
      </c>
      <c r="H538" s="3" t="str">
        <f>_xlfn.CONCAT("Indicates the status of  ",_xlfn.TEXTBEFORE(F538, " Status"))</f>
        <v>Indicates the status of  ML 10</v>
      </c>
    </row>
    <row r="539" spans="1:8" x14ac:dyDescent="0.25">
      <c r="A539" s="3" t="s">
        <v>6983</v>
      </c>
      <c r="B539" s="3" t="s">
        <v>6984</v>
      </c>
      <c r="C539" s="3" t="s">
        <v>6985</v>
      </c>
      <c r="D539" s="3" t="s">
        <v>1122</v>
      </c>
      <c r="E539" s="3">
        <v>538</v>
      </c>
      <c r="F539" s="3" t="s">
        <v>549</v>
      </c>
      <c r="G539" s="3" t="s">
        <v>1104</v>
      </c>
      <c r="H539" s="3" t="str">
        <f>_xlfn.CONCAT("Indicates the status of  ",_xlfn.TEXTBEFORE(F539, " Status"))</f>
        <v>Indicates the status of  ML 10</v>
      </c>
    </row>
    <row r="540" spans="1:8" x14ac:dyDescent="0.25">
      <c r="A540" s="3" t="s">
        <v>6983</v>
      </c>
      <c r="B540" s="3" t="s">
        <v>6984</v>
      </c>
      <c r="C540" s="3" t="s">
        <v>6985</v>
      </c>
      <c r="D540" s="3" t="s">
        <v>1122</v>
      </c>
      <c r="E540" s="3">
        <v>539</v>
      </c>
      <c r="F540" s="3" t="s">
        <v>550</v>
      </c>
      <c r="G540" s="3" t="s">
        <v>1093</v>
      </c>
      <c r="H540" s="3" t="s">
        <v>1277</v>
      </c>
    </row>
    <row r="541" spans="1:8" x14ac:dyDescent="0.25">
      <c r="A541" s="3" t="s">
        <v>6983</v>
      </c>
      <c r="B541" s="3" t="s">
        <v>6984</v>
      </c>
      <c r="C541" s="3" t="s">
        <v>6985</v>
      </c>
      <c r="D541" s="3" t="s">
        <v>1122</v>
      </c>
      <c r="E541" s="3">
        <v>540</v>
      </c>
      <c r="F541" s="3" t="s">
        <v>551</v>
      </c>
      <c r="G541" s="3" t="s">
        <v>1093</v>
      </c>
      <c r="H541" s="3" t="s">
        <v>1276</v>
      </c>
    </row>
    <row r="542" spans="1:8" x14ac:dyDescent="0.25">
      <c r="A542" s="3" t="s">
        <v>6983</v>
      </c>
      <c r="B542" s="3" t="s">
        <v>6984</v>
      </c>
      <c r="C542" s="3" t="s">
        <v>6985</v>
      </c>
      <c r="D542" s="3" t="s">
        <v>1122</v>
      </c>
      <c r="E542" s="3">
        <v>541</v>
      </c>
      <c r="F542" s="3" t="s">
        <v>552</v>
      </c>
      <c r="G542" s="3" t="s">
        <v>1100</v>
      </c>
      <c r="H542" s="3" t="s">
        <v>1275</v>
      </c>
    </row>
    <row r="543" spans="1:8" x14ac:dyDescent="0.25">
      <c r="A543" s="3" t="s">
        <v>6983</v>
      </c>
      <c r="B543" s="3" t="s">
        <v>6984</v>
      </c>
      <c r="C543" s="3" t="s">
        <v>6985</v>
      </c>
      <c r="D543" s="3" t="s">
        <v>1122</v>
      </c>
      <c r="E543" s="3">
        <v>542</v>
      </c>
      <c r="F543" s="3" t="s">
        <v>553</v>
      </c>
      <c r="G543" s="3" t="s">
        <v>1100</v>
      </c>
      <c r="H543" s="3" t="s">
        <v>1274</v>
      </c>
    </row>
    <row r="544" spans="1:8" x14ac:dyDescent="0.25">
      <c r="A544" s="3" t="s">
        <v>6983</v>
      </c>
      <c r="B544" s="3" t="s">
        <v>6984</v>
      </c>
      <c r="C544" s="3" t="s">
        <v>6985</v>
      </c>
      <c r="D544" s="3" t="s">
        <v>1122</v>
      </c>
      <c r="E544" s="3">
        <v>543</v>
      </c>
      <c r="F544" s="3" t="s">
        <v>554</v>
      </c>
      <c r="G544" s="3" t="s">
        <v>1100</v>
      </c>
      <c r="H544" s="3" t="s">
        <v>1273</v>
      </c>
    </row>
    <row r="545" spans="1:8" x14ac:dyDescent="0.25">
      <c r="A545" s="3" t="s">
        <v>6983</v>
      </c>
      <c r="B545" s="3" t="s">
        <v>6984</v>
      </c>
      <c r="C545" s="3" t="s">
        <v>6985</v>
      </c>
      <c r="D545" s="3" t="s">
        <v>1122</v>
      </c>
      <c r="E545" s="3">
        <v>544</v>
      </c>
      <c r="F545" s="3" t="s">
        <v>555</v>
      </c>
      <c r="G545" s="3" t="s">
        <v>4</v>
      </c>
      <c r="H545" s="3" t="s">
        <v>1399</v>
      </c>
    </row>
    <row r="546" spans="1:8" x14ac:dyDescent="0.25">
      <c r="A546" s="3" t="s">
        <v>6983</v>
      </c>
      <c r="B546" s="3" t="s">
        <v>6984</v>
      </c>
      <c r="C546" s="3" t="s">
        <v>6985</v>
      </c>
      <c r="D546" s="3" t="s">
        <v>1122</v>
      </c>
      <c r="E546" s="3">
        <v>545</v>
      </c>
      <c r="F546" s="3" t="s">
        <v>556</v>
      </c>
      <c r="G546" s="3" t="s">
        <v>1104</v>
      </c>
      <c r="H546" s="3" t="str">
        <f>_xlfn.CONCAT("Indicates the status of  ",_xlfn.TEXTBEFORE(F546, " Status"))</f>
        <v>Indicates the status of  ML 11</v>
      </c>
    </row>
    <row r="547" spans="1:8" x14ac:dyDescent="0.25">
      <c r="A547" s="3" t="s">
        <v>6983</v>
      </c>
      <c r="B547" s="3" t="s">
        <v>6984</v>
      </c>
      <c r="C547" s="3" t="s">
        <v>6985</v>
      </c>
      <c r="D547" s="3" t="s">
        <v>1122</v>
      </c>
      <c r="E547" s="3">
        <v>546</v>
      </c>
      <c r="F547" s="3" t="s">
        <v>557</v>
      </c>
      <c r="G547" s="3" t="s">
        <v>1104</v>
      </c>
      <c r="H547" s="3" t="str">
        <f>_xlfn.CONCAT("Indicates the status of  ",_xlfn.TEXTBEFORE(F547, " Status"))</f>
        <v>Indicates the status of  ML 11</v>
      </c>
    </row>
    <row r="548" spans="1:8" x14ac:dyDescent="0.25">
      <c r="A548" s="3" t="s">
        <v>6983</v>
      </c>
      <c r="B548" s="3" t="s">
        <v>6984</v>
      </c>
      <c r="C548" s="3" t="s">
        <v>6985</v>
      </c>
      <c r="D548" s="3" t="s">
        <v>1122</v>
      </c>
      <c r="E548" s="3">
        <v>547</v>
      </c>
      <c r="F548" s="3" t="s">
        <v>558</v>
      </c>
      <c r="G548" s="3" t="s">
        <v>1093</v>
      </c>
      <c r="H548" s="3" t="s">
        <v>1277</v>
      </c>
    </row>
    <row r="549" spans="1:8" x14ac:dyDescent="0.25">
      <c r="A549" s="3" t="s">
        <v>6983</v>
      </c>
      <c r="B549" s="3" t="s">
        <v>6984</v>
      </c>
      <c r="C549" s="3" t="s">
        <v>6985</v>
      </c>
      <c r="D549" s="3" t="s">
        <v>1122</v>
      </c>
      <c r="E549" s="3">
        <v>548</v>
      </c>
      <c r="F549" s="3" t="s">
        <v>559</v>
      </c>
      <c r="G549" s="3" t="s">
        <v>1093</v>
      </c>
      <c r="H549" s="3" t="s">
        <v>1276</v>
      </c>
    </row>
    <row r="550" spans="1:8" x14ac:dyDescent="0.25">
      <c r="A550" s="3" t="s">
        <v>6983</v>
      </c>
      <c r="B550" s="3" t="s">
        <v>6984</v>
      </c>
      <c r="C550" s="3" t="s">
        <v>6985</v>
      </c>
      <c r="D550" s="3" t="s">
        <v>1122</v>
      </c>
      <c r="E550" s="3">
        <v>549</v>
      </c>
      <c r="F550" s="3" t="s">
        <v>560</v>
      </c>
      <c r="G550" s="3" t="s">
        <v>1100</v>
      </c>
      <c r="H550" s="3" t="s">
        <v>1275</v>
      </c>
    </row>
    <row r="551" spans="1:8" x14ac:dyDescent="0.25">
      <c r="A551" s="3" t="s">
        <v>6983</v>
      </c>
      <c r="B551" s="3" t="s">
        <v>6984</v>
      </c>
      <c r="C551" s="3" t="s">
        <v>6985</v>
      </c>
      <c r="D551" s="3" t="s">
        <v>1122</v>
      </c>
      <c r="E551" s="3">
        <v>550</v>
      </c>
      <c r="F551" s="3" t="s">
        <v>561</v>
      </c>
      <c r="G551" s="3" t="s">
        <v>1100</v>
      </c>
      <c r="H551" s="3" t="s">
        <v>1274</v>
      </c>
    </row>
    <row r="552" spans="1:8" x14ac:dyDescent="0.25">
      <c r="A552" s="3" t="s">
        <v>6983</v>
      </c>
      <c r="B552" s="3" t="s">
        <v>6984</v>
      </c>
      <c r="C552" s="3" t="s">
        <v>6985</v>
      </c>
      <c r="D552" s="3" t="s">
        <v>1122</v>
      </c>
      <c r="E552" s="3">
        <v>551</v>
      </c>
      <c r="F552" s="3" t="s">
        <v>562</v>
      </c>
      <c r="G552" s="3" t="s">
        <v>1100</v>
      </c>
      <c r="H552" s="3" t="s">
        <v>1273</v>
      </c>
    </row>
    <row r="553" spans="1:8" x14ac:dyDescent="0.25">
      <c r="A553" s="3" t="s">
        <v>6983</v>
      </c>
      <c r="B553" s="3" t="s">
        <v>6984</v>
      </c>
      <c r="C553" s="3" t="s">
        <v>6985</v>
      </c>
      <c r="D553" s="3" t="s">
        <v>1122</v>
      </c>
      <c r="E553" s="3">
        <v>552</v>
      </c>
      <c r="F553" s="3" t="s">
        <v>563</v>
      </c>
      <c r="G553" s="3" t="s">
        <v>4</v>
      </c>
      <c r="H553" s="3" t="s">
        <v>1399</v>
      </c>
    </row>
    <row r="554" spans="1:8" x14ac:dyDescent="0.25">
      <c r="A554" s="3" t="s">
        <v>6983</v>
      </c>
      <c r="B554" s="3" t="s">
        <v>6984</v>
      </c>
      <c r="C554" s="3" t="s">
        <v>6985</v>
      </c>
      <c r="D554" s="3" t="s">
        <v>1122</v>
      </c>
      <c r="E554" s="3">
        <v>553</v>
      </c>
      <c r="F554" s="3" t="s">
        <v>564</v>
      </c>
      <c r="G554" s="3" t="s">
        <v>1104</v>
      </c>
      <c r="H554" s="3" t="str">
        <f>_xlfn.CONCAT("Indicates the status of  ",_xlfn.TEXTBEFORE(F554, " Status"))</f>
        <v>Indicates the status of  ML 12</v>
      </c>
    </row>
    <row r="555" spans="1:8" x14ac:dyDescent="0.25">
      <c r="A555" s="3" t="s">
        <v>6983</v>
      </c>
      <c r="B555" s="3" t="s">
        <v>6984</v>
      </c>
      <c r="C555" s="3" t="s">
        <v>6985</v>
      </c>
      <c r="D555" s="3" t="s">
        <v>1122</v>
      </c>
      <c r="E555" s="3">
        <v>554</v>
      </c>
      <c r="F555" s="3" t="s">
        <v>565</v>
      </c>
      <c r="G555" s="3" t="s">
        <v>1104</v>
      </c>
      <c r="H555" s="3" t="str">
        <f>_xlfn.CONCAT("Indicates the status of  ",_xlfn.TEXTBEFORE(F555, " Status"))</f>
        <v>Indicates the status of  ML 12</v>
      </c>
    </row>
    <row r="556" spans="1:8" x14ac:dyDescent="0.25">
      <c r="A556" s="3" t="s">
        <v>6983</v>
      </c>
      <c r="B556" s="3" t="s">
        <v>6984</v>
      </c>
      <c r="C556" s="3" t="s">
        <v>6985</v>
      </c>
      <c r="D556" s="3" t="s">
        <v>1122</v>
      </c>
      <c r="E556" s="3">
        <v>555</v>
      </c>
      <c r="F556" s="3" t="s">
        <v>566</v>
      </c>
      <c r="G556" s="3" t="s">
        <v>1093</v>
      </c>
      <c r="H556" s="3" t="s">
        <v>1277</v>
      </c>
    </row>
    <row r="557" spans="1:8" x14ac:dyDescent="0.25">
      <c r="A557" s="3" t="s">
        <v>6983</v>
      </c>
      <c r="B557" s="3" t="s">
        <v>6984</v>
      </c>
      <c r="C557" s="3" t="s">
        <v>6985</v>
      </c>
      <c r="D557" s="3" t="s">
        <v>1122</v>
      </c>
      <c r="E557" s="3">
        <v>556</v>
      </c>
      <c r="F557" s="3" t="s">
        <v>567</v>
      </c>
      <c r="G557" s="3" t="s">
        <v>1093</v>
      </c>
      <c r="H557" s="3" t="s">
        <v>1276</v>
      </c>
    </row>
    <row r="558" spans="1:8" x14ac:dyDescent="0.25">
      <c r="A558" s="3" t="s">
        <v>6983</v>
      </c>
      <c r="B558" s="3" t="s">
        <v>6984</v>
      </c>
      <c r="C558" s="3" t="s">
        <v>6985</v>
      </c>
      <c r="D558" s="3" t="s">
        <v>1122</v>
      </c>
      <c r="E558" s="3">
        <v>557</v>
      </c>
      <c r="F558" s="3" t="s">
        <v>568</v>
      </c>
      <c r="G558" s="3" t="s">
        <v>1100</v>
      </c>
      <c r="H558" s="3" t="s">
        <v>1275</v>
      </c>
    </row>
    <row r="559" spans="1:8" x14ac:dyDescent="0.25">
      <c r="A559" s="3" t="s">
        <v>6983</v>
      </c>
      <c r="B559" s="3" t="s">
        <v>6984</v>
      </c>
      <c r="C559" s="3" t="s">
        <v>6985</v>
      </c>
      <c r="D559" s="3" t="s">
        <v>1122</v>
      </c>
      <c r="E559" s="3">
        <v>558</v>
      </c>
      <c r="F559" s="3" t="s">
        <v>569</v>
      </c>
      <c r="G559" s="3" t="s">
        <v>1100</v>
      </c>
      <c r="H559" s="3" t="s">
        <v>1274</v>
      </c>
    </row>
    <row r="560" spans="1:8" x14ac:dyDescent="0.25">
      <c r="A560" s="3" t="s">
        <v>6983</v>
      </c>
      <c r="B560" s="3" t="s">
        <v>6984</v>
      </c>
      <c r="C560" s="3" t="s">
        <v>6985</v>
      </c>
      <c r="D560" s="3" t="s">
        <v>1122</v>
      </c>
      <c r="E560" s="3">
        <v>559</v>
      </c>
      <c r="F560" s="3" t="s">
        <v>570</v>
      </c>
      <c r="G560" s="3" t="s">
        <v>1100</v>
      </c>
      <c r="H560" s="3" t="s">
        <v>1273</v>
      </c>
    </row>
    <row r="561" spans="1:8" x14ac:dyDescent="0.25">
      <c r="A561" s="3" t="s">
        <v>6983</v>
      </c>
      <c r="B561" s="3" t="s">
        <v>6984</v>
      </c>
      <c r="C561" s="3" t="s">
        <v>6985</v>
      </c>
      <c r="D561" s="3" t="s">
        <v>1122</v>
      </c>
      <c r="E561" s="3">
        <v>560</v>
      </c>
      <c r="F561" s="3" t="s">
        <v>571</v>
      </c>
      <c r="G561" s="3" t="s">
        <v>4</v>
      </c>
      <c r="H561" s="3" t="s">
        <v>1399</v>
      </c>
    </row>
    <row r="562" spans="1:8" x14ac:dyDescent="0.25">
      <c r="A562" s="3" t="s">
        <v>6983</v>
      </c>
      <c r="B562" s="3" t="s">
        <v>6984</v>
      </c>
      <c r="C562" s="3" t="s">
        <v>6985</v>
      </c>
      <c r="D562" s="3" t="s">
        <v>1122</v>
      </c>
      <c r="E562" s="3">
        <v>561</v>
      </c>
      <c r="F562" s="3" t="s">
        <v>572</v>
      </c>
      <c r="G562" s="3" t="s">
        <v>1104</v>
      </c>
      <c r="H562" s="3" t="str">
        <f>_xlfn.CONCAT("Indicates the status of  ",_xlfn.TEXTBEFORE(F562, " Status"))</f>
        <v>Indicates the status of  ML 13</v>
      </c>
    </row>
    <row r="563" spans="1:8" x14ac:dyDescent="0.25">
      <c r="A563" s="3" t="s">
        <v>6983</v>
      </c>
      <c r="B563" s="3" t="s">
        <v>6984</v>
      </c>
      <c r="C563" s="3" t="s">
        <v>6985</v>
      </c>
      <c r="D563" s="3" t="s">
        <v>1122</v>
      </c>
      <c r="E563" s="3">
        <v>562</v>
      </c>
      <c r="F563" s="3" t="s">
        <v>573</v>
      </c>
      <c r="G563" s="3" t="s">
        <v>1104</v>
      </c>
      <c r="H563" s="3" t="str">
        <f>_xlfn.CONCAT("Indicates the status of  ",_xlfn.TEXTBEFORE(F563, " Status"))</f>
        <v>Indicates the status of  ML 13</v>
      </c>
    </row>
    <row r="564" spans="1:8" x14ac:dyDescent="0.25">
      <c r="A564" s="3" t="s">
        <v>6983</v>
      </c>
      <c r="B564" s="3" t="s">
        <v>6984</v>
      </c>
      <c r="C564" s="3" t="s">
        <v>6985</v>
      </c>
      <c r="D564" s="3" t="s">
        <v>1122</v>
      </c>
      <c r="E564" s="3">
        <v>563</v>
      </c>
      <c r="F564" s="3" t="s">
        <v>574</v>
      </c>
      <c r="G564" s="3" t="s">
        <v>1093</v>
      </c>
      <c r="H564" s="3" t="s">
        <v>1277</v>
      </c>
    </row>
    <row r="565" spans="1:8" x14ac:dyDescent="0.25">
      <c r="A565" s="3" t="s">
        <v>6983</v>
      </c>
      <c r="B565" s="3" t="s">
        <v>6984</v>
      </c>
      <c r="C565" s="3" t="s">
        <v>6985</v>
      </c>
      <c r="D565" s="3" t="s">
        <v>1122</v>
      </c>
      <c r="E565" s="3">
        <v>564</v>
      </c>
      <c r="F565" s="3" t="s">
        <v>575</v>
      </c>
      <c r="G565" s="3" t="s">
        <v>1093</v>
      </c>
      <c r="H565" s="3" t="s">
        <v>1276</v>
      </c>
    </row>
    <row r="566" spans="1:8" x14ac:dyDescent="0.25">
      <c r="A566" s="3" t="s">
        <v>6983</v>
      </c>
      <c r="B566" s="3" t="s">
        <v>6984</v>
      </c>
      <c r="C566" s="3" t="s">
        <v>6985</v>
      </c>
      <c r="D566" s="3" t="s">
        <v>1122</v>
      </c>
      <c r="E566" s="3">
        <v>565</v>
      </c>
      <c r="F566" s="3" t="s">
        <v>576</v>
      </c>
      <c r="G566" s="3" t="s">
        <v>1100</v>
      </c>
      <c r="H566" s="3" t="s">
        <v>1275</v>
      </c>
    </row>
    <row r="567" spans="1:8" x14ac:dyDescent="0.25">
      <c r="A567" s="3" t="s">
        <v>6983</v>
      </c>
      <c r="B567" s="3" t="s">
        <v>6984</v>
      </c>
      <c r="C567" s="3" t="s">
        <v>6985</v>
      </c>
      <c r="D567" s="3" t="s">
        <v>1122</v>
      </c>
      <c r="E567" s="3">
        <v>566</v>
      </c>
      <c r="F567" s="3" t="s">
        <v>577</v>
      </c>
      <c r="G567" s="3" t="s">
        <v>1100</v>
      </c>
      <c r="H567" s="3" t="s">
        <v>1274</v>
      </c>
    </row>
    <row r="568" spans="1:8" x14ac:dyDescent="0.25">
      <c r="A568" s="3" t="s">
        <v>6983</v>
      </c>
      <c r="B568" s="3" t="s">
        <v>6984</v>
      </c>
      <c r="C568" s="3" t="s">
        <v>6985</v>
      </c>
      <c r="D568" s="3" t="s">
        <v>1122</v>
      </c>
      <c r="E568" s="3">
        <v>567</v>
      </c>
      <c r="F568" s="3" t="s">
        <v>578</v>
      </c>
      <c r="G568" s="3" t="s">
        <v>1100</v>
      </c>
      <c r="H568" s="3" t="s">
        <v>1273</v>
      </c>
    </row>
    <row r="569" spans="1:8" x14ac:dyDescent="0.25">
      <c r="A569" s="3" t="s">
        <v>6983</v>
      </c>
      <c r="B569" s="3" t="s">
        <v>6984</v>
      </c>
      <c r="C569" s="3" t="s">
        <v>6985</v>
      </c>
      <c r="D569" s="3" t="s">
        <v>1122</v>
      </c>
      <c r="E569" s="3">
        <v>568</v>
      </c>
      <c r="F569" s="3" t="s">
        <v>579</v>
      </c>
      <c r="G569" s="3" t="s">
        <v>4</v>
      </c>
      <c r="H569" s="3" t="s">
        <v>1399</v>
      </c>
    </row>
    <row r="570" spans="1:8" x14ac:dyDescent="0.25">
      <c r="A570" s="3" t="s">
        <v>6983</v>
      </c>
      <c r="B570" s="3" t="s">
        <v>6984</v>
      </c>
      <c r="C570" s="3" t="s">
        <v>6985</v>
      </c>
      <c r="D570" s="3" t="s">
        <v>1122</v>
      </c>
      <c r="E570" s="3">
        <v>569</v>
      </c>
      <c r="F570" s="3" t="s">
        <v>580</v>
      </c>
      <c r="G570" s="3" t="s">
        <v>1104</v>
      </c>
      <c r="H570" s="3" t="str">
        <f>_xlfn.CONCAT("Indicates the status of  ",_xlfn.TEXTBEFORE(F570, " Status"))</f>
        <v>Indicates the status of  ML 14</v>
      </c>
    </row>
    <row r="571" spans="1:8" x14ac:dyDescent="0.25">
      <c r="A571" s="3" t="s">
        <v>6983</v>
      </c>
      <c r="B571" s="3" t="s">
        <v>6984</v>
      </c>
      <c r="C571" s="3" t="s">
        <v>6985</v>
      </c>
      <c r="D571" s="3" t="s">
        <v>1122</v>
      </c>
      <c r="E571" s="3">
        <v>570</v>
      </c>
      <c r="F571" s="3" t="s">
        <v>581</v>
      </c>
      <c r="G571" s="3" t="s">
        <v>1104</v>
      </c>
      <c r="H571" s="3" t="str">
        <f>_xlfn.CONCAT("Indicates the status of  ",_xlfn.TEXTBEFORE(F571, " Status"))</f>
        <v>Indicates the status of  ML 14</v>
      </c>
    </row>
    <row r="572" spans="1:8" x14ac:dyDescent="0.25">
      <c r="A572" s="3" t="s">
        <v>6983</v>
      </c>
      <c r="B572" s="3" t="s">
        <v>6984</v>
      </c>
      <c r="C572" s="3" t="s">
        <v>6985</v>
      </c>
      <c r="D572" s="3" t="s">
        <v>1122</v>
      </c>
      <c r="E572" s="3">
        <v>571</v>
      </c>
      <c r="F572" s="3" t="s">
        <v>582</v>
      </c>
      <c r="G572" s="3" t="s">
        <v>1093</v>
      </c>
      <c r="H572" s="3" t="s">
        <v>1277</v>
      </c>
    </row>
    <row r="573" spans="1:8" x14ac:dyDescent="0.25">
      <c r="A573" s="3" t="s">
        <v>6983</v>
      </c>
      <c r="B573" s="3" t="s">
        <v>6984</v>
      </c>
      <c r="C573" s="3" t="s">
        <v>6985</v>
      </c>
      <c r="D573" s="3" t="s">
        <v>1122</v>
      </c>
      <c r="E573" s="3">
        <v>572</v>
      </c>
      <c r="F573" s="3" t="s">
        <v>583</v>
      </c>
      <c r="G573" s="3" t="s">
        <v>1093</v>
      </c>
      <c r="H573" s="3" t="s">
        <v>1276</v>
      </c>
    </row>
    <row r="574" spans="1:8" x14ac:dyDescent="0.25">
      <c r="A574" s="3" t="s">
        <v>6983</v>
      </c>
      <c r="B574" s="3" t="s">
        <v>6984</v>
      </c>
      <c r="C574" s="3" t="s">
        <v>6985</v>
      </c>
      <c r="D574" s="3" t="s">
        <v>1122</v>
      </c>
      <c r="E574" s="3">
        <v>573</v>
      </c>
      <c r="F574" s="3" t="s">
        <v>584</v>
      </c>
      <c r="G574" s="3" t="s">
        <v>1100</v>
      </c>
      <c r="H574" s="3" t="s">
        <v>1275</v>
      </c>
    </row>
    <row r="575" spans="1:8" x14ac:dyDescent="0.25">
      <c r="A575" s="3" t="s">
        <v>6983</v>
      </c>
      <c r="B575" s="3" t="s">
        <v>6984</v>
      </c>
      <c r="C575" s="3" t="s">
        <v>6985</v>
      </c>
      <c r="D575" s="3" t="s">
        <v>1122</v>
      </c>
      <c r="E575" s="3">
        <v>574</v>
      </c>
      <c r="F575" s="3" t="s">
        <v>585</v>
      </c>
      <c r="G575" s="3" t="s">
        <v>1100</v>
      </c>
      <c r="H575" s="3" t="s">
        <v>1274</v>
      </c>
    </row>
    <row r="576" spans="1:8" x14ac:dyDescent="0.25">
      <c r="A576" s="3" t="s">
        <v>6983</v>
      </c>
      <c r="B576" s="3" t="s">
        <v>6984</v>
      </c>
      <c r="C576" s="3" t="s">
        <v>6985</v>
      </c>
      <c r="D576" s="3" t="s">
        <v>1122</v>
      </c>
      <c r="E576" s="3">
        <v>575</v>
      </c>
      <c r="F576" s="3" t="s">
        <v>586</v>
      </c>
      <c r="G576" s="3" t="s">
        <v>1100</v>
      </c>
      <c r="H576" s="3" t="s">
        <v>1273</v>
      </c>
    </row>
    <row r="577" spans="1:8" x14ac:dyDescent="0.25">
      <c r="A577" s="3" t="s">
        <v>6983</v>
      </c>
      <c r="B577" s="3" t="s">
        <v>6984</v>
      </c>
      <c r="C577" s="3" t="s">
        <v>6985</v>
      </c>
      <c r="D577" s="3" t="s">
        <v>1122</v>
      </c>
      <c r="E577" s="3">
        <v>576</v>
      </c>
      <c r="F577" s="3" t="s">
        <v>587</v>
      </c>
      <c r="G577" s="3" t="s">
        <v>4</v>
      </c>
      <c r="H577" s="3" t="s">
        <v>1399</v>
      </c>
    </row>
    <row r="578" spans="1:8" x14ac:dyDescent="0.25">
      <c r="A578" s="3" t="s">
        <v>6983</v>
      </c>
      <c r="B578" s="3" t="s">
        <v>6984</v>
      </c>
      <c r="C578" s="3" t="s">
        <v>6985</v>
      </c>
      <c r="D578" s="3" t="s">
        <v>1122</v>
      </c>
      <c r="E578" s="3">
        <v>577</v>
      </c>
      <c r="F578" s="3" t="s">
        <v>588</v>
      </c>
      <c r="G578" s="3" t="s">
        <v>1104</v>
      </c>
      <c r="H578" s="3" t="str">
        <f>_xlfn.CONCAT("Indicates the status of  ",_xlfn.TEXTBEFORE(F578, " Status"))</f>
        <v>Indicates the status of  ML 15</v>
      </c>
    </row>
    <row r="579" spans="1:8" x14ac:dyDescent="0.25">
      <c r="A579" s="3" t="s">
        <v>6983</v>
      </c>
      <c r="B579" s="3" t="s">
        <v>6984</v>
      </c>
      <c r="C579" s="3" t="s">
        <v>6985</v>
      </c>
      <c r="D579" s="3" t="s">
        <v>1122</v>
      </c>
      <c r="E579" s="3">
        <v>578</v>
      </c>
      <c r="F579" s="3" t="s">
        <v>589</v>
      </c>
      <c r="G579" s="3" t="s">
        <v>1104</v>
      </c>
      <c r="H579" s="3" t="str">
        <f>_xlfn.CONCAT("Indicates the status of  ",_xlfn.TEXTBEFORE(F579, " Status"))</f>
        <v>Indicates the status of  ML 15</v>
      </c>
    </row>
    <row r="580" spans="1:8" x14ac:dyDescent="0.25">
      <c r="A580" s="3" t="s">
        <v>6983</v>
      </c>
      <c r="B580" s="3" t="s">
        <v>6984</v>
      </c>
      <c r="C580" s="3" t="s">
        <v>6985</v>
      </c>
      <c r="D580" s="3" t="s">
        <v>1122</v>
      </c>
      <c r="E580" s="3">
        <v>579</v>
      </c>
      <c r="F580" s="3" t="s">
        <v>590</v>
      </c>
      <c r="G580" s="3" t="s">
        <v>1093</v>
      </c>
      <c r="H580" s="3" t="s">
        <v>1277</v>
      </c>
    </row>
    <row r="581" spans="1:8" x14ac:dyDescent="0.25">
      <c r="A581" s="3" t="s">
        <v>6983</v>
      </c>
      <c r="B581" s="3" t="s">
        <v>6984</v>
      </c>
      <c r="C581" s="3" t="s">
        <v>6985</v>
      </c>
      <c r="D581" s="3" t="s">
        <v>1122</v>
      </c>
      <c r="E581" s="3">
        <v>580</v>
      </c>
      <c r="F581" s="3" t="s">
        <v>591</v>
      </c>
      <c r="G581" s="3" t="s">
        <v>1093</v>
      </c>
      <c r="H581" s="3" t="s">
        <v>1276</v>
      </c>
    </row>
    <row r="582" spans="1:8" x14ac:dyDescent="0.25">
      <c r="A582" s="3" t="s">
        <v>6983</v>
      </c>
      <c r="B582" s="3" t="s">
        <v>6984</v>
      </c>
      <c r="C582" s="3" t="s">
        <v>6985</v>
      </c>
      <c r="D582" s="3" t="s">
        <v>1122</v>
      </c>
      <c r="E582" s="3">
        <v>581</v>
      </c>
      <c r="F582" s="3" t="s">
        <v>592</v>
      </c>
      <c r="G582" s="3" t="s">
        <v>1100</v>
      </c>
      <c r="H582" s="3" t="s">
        <v>1275</v>
      </c>
    </row>
    <row r="583" spans="1:8" x14ac:dyDescent="0.25">
      <c r="A583" s="3" t="s">
        <v>6983</v>
      </c>
      <c r="B583" s="3" t="s">
        <v>6984</v>
      </c>
      <c r="C583" s="3" t="s">
        <v>6985</v>
      </c>
      <c r="D583" s="3" t="s">
        <v>1122</v>
      </c>
      <c r="E583" s="3">
        <v>582</v>
      </c>
      <c r="F583" s="3" t="s">
        <v>593</v>
      </c>
      <c r="G583" s="3" t="s">
        <v>1100</v>
      </c>
      <c r="H583" s="3" t="s">
        <v>1274</v>
      </c>
    </row>
    <row r="584" spans="1:8" x14ac:dyDescent="0.25">
      <c r="A584" s="3" t="s">
        <v>6983</v>
      </c>
      <c r="B584" s="3" t="s">
        <v>6984</v>
      </c>
      <c r="C584" s="3" t="s">
        <v>6985</v>
      </c>
      <c r="D584" s="3" t="s">
        <v>1122</v>
      </c>
      <c r="E584" s="3">
        <v>583</v>
      </c>
      <c r="F584" s="3" t="s">
        <v>594</v>
      </c>
      <c r="G584" s="3" t="s">
        <v>1100</v>
      </c>
      <c r="H584" s="3" t="s">
        <v>1273</v>
      </c>
    </row>
    <row r="585" spans="1:8" x14ac:dyDescent="0.25">
      <c r="A585" s="3" t="s">
        <v>6983</v>
      </c>
      <c r="B585" s="3" t="s">
        <v>6984</v>
      </c>
      <c r="C585" s="3" t="s">
        <v>6985</v>
      </c>
      <c r="D585" s="3" t="s">
        <v>1122</v>
      </c>
      <c r="E585" s="3">
        <v>584</v>
      </c>
      <c r="F585" s="3" t="s">
        <v>595</v>
      </c>
      <c r="G585" s="3" t="s">
        <v>4</v>
      </c>
      <c r="H585" s="3" t="s">
        <v>1399</v>
      </c>
    </row>
    <row r="586" spans="1:8" x14ac:dyDescent="0.25">
      <c r="A586" s="3" t="s">
        <v>6983</v>
      </c>
      <c r="B586" s="3" t="s">
        <v>6984</v>
      </c>
      <c r="C586" s="3" t="s">
        <v>6985</v>
      </c>
      <c r="D586" s="3" t="s">
        <v>1122</v>
      </c>
      <c r="E586" s="3">
        <v>585</v>
      </c>
      <c r="F586" s="3" t="s">
        <v>596</v>
      </c>
      <c r="G586" s="3" t="s">
        <v>1104</v>
      </c>
      <c r="H586" s="3" t="str">
        <f>_xlfn.CONCAT("Indicates the status of  ",_xlfn.TEXTBEFORE(F586, " Status"))</f>
        <v>Indicates the status of  ML 16</v>
      </c>
    </row>
    <row r="587" spans="1:8" x14ac:dyDescent="0.25">
      <c r="A587" s="3" t="s">
        <v>6983</v>
      </c>
      <c r="B587" s="3" t="s">
        <v>6984</v>
      </c>
      <c r="C587" s="3" t="s">
        <v>6985</v>
      </c>
      <c r="D587" s="3" t="s">
        <v>1122</v>
      </c>
      <c r="E587" s="3">
        <v>586</v>
      </c>
      <c r="F587" s="3" t="s">
        <v>597</v>
      </c>
      <c r="G587" s="3" t="s">
        <v>1104</v>
      </c>
      <c r="H587" s="3" t="str">
        <f>_xlfn.CONCAT("Indicates the status of  ",_xlfn.TEXTBEFORE(F587, " Status"))</f>
        <v>Indicates the status of  ML 16</v>
      </c>
    </row>
    <row r="588" spans="1:8" x14ac:dyDescent="0.25">
      <c r="A588" s="3" t="s">
        <v>6983</v>
      </c>
      <c r="B588" s="3" t="s">
        <v>6984</v>
      </c>
      <c r="C588" s="3" t="s">
        <v>6985</v>
      </c>
      <c r="D588" s="3" t="s">
        <v>1122</v>
      </c>
      <c r="E588" s="3">
        <v>587</v>
      </c>
      <c r="F588" s="3" t="s">
        <v>598</v>
      </c>
      <c r="G588" s="3" t="s">
        <v>1093</v>
      </c>
      <c r="H588" s="3" t="s">
        <v>1277</v>
      </c>
    </row>
    <row r="589" spans="1:8" x14ac:dyDescent="0.25">
      <c r="A589" s="3" t="s">
        <v>6983</v>
      </c>
      <c r="B589" s="3" t="s">
        <v>6984</v>
      </c>
      <c r="C589" s="3" t="s">
        <v>6985</v>
      </c>
      <c r="D589" s="3" t="s">
        <v>1122</v>
      </c>
      <c r="E589" s="3">
        <v>588</v>
      </c>
      <c r="F589" s="3" t="s">
        <v>599</v>
      </c>
      <c r="G589" s="3" t="s">
        <v>1093</v>
      </c>
      <c r="H589" s="3" t="s">
        <v>1276</v>
      </c>
    </row>
    <row r="590" spans="1:8" x14ac:dyDescent="0.25">
      <c r="A590" s="3" t="s">
        <v>6983</v>
      </c>
      <c r="B590" s="3" t="s">
        <v>6984</v>
      </c>
      <c r="C590" s="3" t="s">
        <v>6985</v>
      </c>
      <c r="D590" s="3" t="s">
        <v>1122</v>
      </c>
      <c r="E590" s="3">
        <v>589</v>
      </c>
      <c r="F590" s="3" t="s">
        <v>600</v>
      </c>
      <c r="G590" s="3" t="s">
        <v>1100</v>
      </c>
      <c r="H590" s="3" t="s">
        <v>1275</v>
      </c>
    </row>
    <row r="591" spans="1:8" x14ac:dyDescent="0.25">
      <c r="A591" s="3" t="s">
        <v>6983</v>
      </c>
      <c r="B591" s="3" t="s">
        <v>6984</v>
      </c>
      <c r="C591" s="3" t="s">
        <v>6985</v>
      </c>
      <c r="D591" s="3" t="s">
        <v>1122</v>
      </c>
      <c r="E591" s="3">
        <v>590</v>
      </c>
      <c r="F591" s="3" t="s">
        <v>601</v>
      </c>
      <c r="G591" s="3" t="s">
        <v>1100</v>
      </c>
      <c r="H591" s="3" t="s">
        <v>1274</v>
      </c>
    </row>
    <row r="592" spans="1:8" x14ac:dyDescent="0.25">
      <c r="A592" s="3" t="s">
        <v>6983</v>
      </c>
      <c r="B592" s="3" t="s">
        <v>6984</v>
      </c>
      <c r="C592" s="3" t="s">
        <v>6985</v>
      </c>
      <c r="D592" s="3" t="s">
        <v>1122</v>
      </c>
      <c r="E592" s="3">
        <v>591</v>
      </c>
      <c r="F592" s="3" t="s">
        <v>602</v>
      </c>
      <c r="G592" s="3" t="s">
        <v>1100</v>
      </c>
      <c r="H592" s="3" t="s">
        <v>1273</v>
      </c>
    </row>
    <row r="593" spans="1:11" x14ac:dyDescent="0.25">
      <c r="A593" s="3" t="s">
        <v>6983</v>
      </c>
      <c r="B593" s="3" t="s">
        <v>6984</v>
      </c>
      <c r="C593" s="3" t="s">
        <v>6985</v>
      </c>
      <c r="D593" s="3" t="s">
        <v>1122</v>
      </c>
      <c r="E593" s="3">
        <v>592</v>
      </c>
      <c r="F593" s="3" t="s">
        <v>603</v>
      </c>
      <c r="G593" s="3" t="s">
        <v>4</v>
      </c>
      <c r="H593" s="3" t="s">
        <v>1399</v>
      </c>
    </row>
    <row r="594" spans="1:11" x14ac:dyDescent="0.25">
      <c r="A594" s="3" t="s">
        <v>6983</v>
      </c>
      <c r="B594" s="3" t="s">
        <v>6984</v>
      </c>
      <c r="C594" s="3" t="s">
        <v>6985</v>
      </c>
      <c r="D594" s="3" t="s">
        <v>1123</v>
      </c>
      <c r="E594" s="3">
        <v>593</v>
      </c>
      <c r="F594" s="3" t="s">
        <v>604</v>
      </c>
      <c r="G594" s="3" t="s">
        <v>20</v>
      </c>
      <c r="H594" s="3" t="s">
        <v>6958</v>
      </c>
    </row>
    <row r="595" spans="1:11" x14ac:dyDescent="0.25">
      <c r="A595" s="3" t="s">
        <v>6983</v>
      </c>
      <c r="B595" s="3" t="s">
        <v>6984</v>
      </c>
      <c r="C595" s="3" t="s">
        <v>6985</v>
      </c>
      <c r="D595" s="3" t="s">
        <v>1123</v>
      </c>
      <c r="E595" s="3">
        <v>594</v>
      </c>
      <c r="F595" s="3" t="s">
        <v>605</v>
      </c>
      <c r="G595" s="3" t="s">
        <v>20</v>
      </c>
      <c r="H595" s="3" t="s">
        <v>6958</v>
      </c>
    </row>
    <row r="596" spans="1:11" x14ac:dyDescent="0.25">
      <c r="A596" s="3" t="s">
        <v>6983</v>
      </c>
      <c r="B596" s="3" t="s">
        <v>6984</v>
      </c>
      <c r="C596" s="3" t="s">
        <v>6985</v>
      </c>
      <c r="D596" s="3" t="s">
        <v>1123</v>
      </c>
      <c r="E596" s="3">
        <v>595</v>
      </c>
      <c r="F596" s="3" t="s">
        <v>606</v>
      </c>
      <c r="G596" s="3" t="s">
        <v>20</v>
      </c>
      <c r="H596" s="3" t="s">
        <v>6958</v>
      </c>
    </row>
    <row r="597" spans="1:11" x14ac:dyDescent="0.25">
      <c r="A597" s="3" t="s">
        <v>6983</v>
      </c>
      <c r="B597" s="3" t="s">
        <v>6984</v>
      </c>
      <c r="C597" s="3" t="s">
        <v>6985</v>
      </c>
      <c r="D597" s="3" t="s">
        <v>1123</v>
      </c>
      <c r="E597" s="3">
        <v>596</v>
      </c>
      <c r="F597" s="3" t="s">
        <v>607</v>
      </c>
      <c r="G597" s="3" t="s">
        <v>20</v>
      </c>
      <c r="H597" s="3" t="s">
        <v>6958</v>
      </c>
    </row>
    <row r="598" spans="1:11" x14ac:dyDescent="0.25">
      <c r="A598" s="3" t="s">
        <v>6983</v>
      </c>
      <c r="B598" s="3" t="s">
        <v>6984</v>
      </c>
      <c r="C598" s="3" t="s">
        <v>6985</v>
      </c>
      <c r="D598" s="3" t="s">
        <v>1124</v>
      </c>
      <c r="E598" s="3">
        <v>597</v>
      </c>
      <c r="F598" s="3" t="s">
        <v>608</v>
      </c>
      <c r="G598" s="3" t="s">
        <v>1093</v>
      </c>
      <c r="H598" s="3" t="s">
        <v>40</v>
      </c>
      <c r="K598" s="3" t="s">
        <v>1270</v>
      </c>
    </row>
    <row r="599" spans="1:11" x14ac:dyDescent="0.25">
      <c r="A599" s="3" t="s">
        <v>6983</v>
      </c>
      <c r="B599" s="3" t="s">
        <v>6984</v>
      </c>
      <c r="C599" s="3" t="s">
        <v>6985</v>
      </c>
      <c r="D599" s="3" t="s">
        <v>1124</v>
      </c>
      <c r="E599" s="3">
        <v>598</v>
      </c>
      <c r="F599" s="3" t="s">
        <v>609</v>
      </c>
      <c r="G599" s="3" t="s">
        <v>1093</v>
      </c>
      <c r="H599" s="3" t="s">
        <v>41</v>
      </c>
      <c r="K599" s="3" t="s">
        <v>1271</v>
      </c>
    </row>
    <row r="600" spans="1:11" x14ac:dyDescent="0.25">
      <c r="A600" s="3" t="s">
        <v>6983</v>
      </c>
      <c r="B600" s="3" t="s">
        <v>6984</v>
      </c>
      <c r="C600" s="3" t="s">
        <v>6985</v>
      </c>
      <c r="D600" s="3" t="s">
        <v>1124</v>
      </c>
      <c r="E600" s="3">
        <v>599</v>
      </c>
      <c r="F600" s="3" t="s">
        <v>610</v>
      </c>
      <c r="G600" s="3" t="s">
        <v>17</v>
      </c>
      <c r="H600" s="4" t="s">
        <v>6614</v>
      </c>
    </row>
    <row r="601" spans="1:11" x14ac:dyDescent="0.25">
      <c r="A601" s="3" t="s">
        <v>6983</v>
      </c>
      <c r="B601" s="3" t="s">
        <v>6984</v>
      </c>
      <c r="C601" s="3" t="s">
        <v>6985</v>
      </c>
      <c r="D601" s="3" t="s">
        <v>1124</v>
      </c>
      <c r="E601" s="3">
        <v>600</v>
      </c>
      <c r="F601" s="3" t="s">
        <v>611</v>
      </c>
      <c r="G601" s="3" t="s">
        <v>4</v>
      </c>
      <c r="H601" s="3" t="s">
        <v>7008</v>
      </c>
    </row>
    <row r="602" spans="1:11" x14ac:dyDescent="0.25">
      <c r="A602" s="3" t="s">
        <v>6983</v>
      </c>
      <c r="B602" s="3" t="s">
        <v>6984</v>
      </c>
      <c r="C602" s="3" t="s">
        <v>6985</v>
      </c>
      <c r="D602" s="3" t="s">
        <v>1124</v>
      </c>
      <c r="E602" s="3">
        <v>601</v>
      </c>
      <c r="F602" s="3" t="s">
        <v>612</v>
      </c>
      <c r="G602" s="3" t="s">
        <v>4</v>
      </c>
      <c r="H602" s="3" t="s">
        <v>7009</v>
      </c>
    </row>
    <row r="603" spans="1:11" x14ac:dyDescent="0.25">
      <c r="A603" s="3" t="s">
        <v>6983</v>
      </c>
      <c r="B603" s="3" t="s">
        <v>6984</v>
      </c>
      <c r="C603" s="3" t="s">
        <v>6985</v>
      </c>
      <c r="D603" s="3" t="s">
        <v>1124</v>
      </c>
      <c r="E603" s="3">
        <v>602</v>
      </c>
      <c r="F603" s="3" t="s">
        <v>613</v>
      </c>
      <c r="G603" s="3" t="s">
        <v>19</v>
      </c>
      <c r="H603" s="3" t="s">
        <v>39</v>
      </c>
    </row>
    <row r="604" spans="1:11" x14ac:dyDescent="0.25">
      <c r="A604" s="3" t="s">
        <v>6983</v>
      </c>
      <c r="B604" s="3" t="s">
        <v>6984</v>
      </c>
      <c r="C604" s="3" t="s">
        <v>6985</v>
      </c>
      <c r="D604" s="3" t="s">
        <v>1124</v>
      </c>
      <c r="E604" s="3">
        <v>603</v>
      </c>
      <c r="F604" s="3" t="s">
        <v>614</v>
      </c>
      <c r="G604" s="3" t="s">
        <v>17</v>
      </c>
      <c r="H604" s="3" t="s">
        <v>43</v>
      </c>
    </row>
    <row r="605" spans="1:11" x14ac:dyDescent="0.25">
      <c r="A605" s="3" t="s">
        <v>6983</v>
      </c>
      <c r="B605" s="3" t="s">
        <v>6984</v>
      </c>
      <c r="C605" s="3" t="s">
        <v>6985</v>
      </c>
      <c r="D605" s="3" t="s">
        <v>1124</v>
      </c>
      <c r="E605" s="3">
        <v>604</v>
      </c>
      <c r="F605" s="3" t="s">
        <v>615</v>
      </c>
      <c r="G605" s="3" t="s">
        <v>4</v>
      </c>
      <c r="H605" s="3" t="s">
        <v>7010</v>
      </c>
    </row>
    <row r="606" spans="1:11" x14ac:dyDescent="0.25">
      <c r="A606" s="3" t="s">
        <v>6983</v>
      </c>
      <c r="B606" s="3" t="s">
        <v>6984</v>
      </c>
      <c r="C606" s="3" t="s">
        <v>6985</v>
      </c>
      <c r="D606" s="3" t="s">
        <v>1124</v>
      </c>
      <c r="E606" s="3">
        <v>605</v>
      </c>
      <c r="F606" s="3" t="s">
        <v>616</v>
      </c>
      <c r="G606" s="3" t="s">
        <v>17</v>
      </c>
      <c r="H606" s="3" t="s">
        <v>6942</v>
      </c>
    </row>
    <row r="607" spans="1:11" x14ac:dyDescent="0.25">
      <c r="A607" s="3" t="s">
        <v>6983</v>
      </c>
      <c r="B607" s="3" t="s">
        <v>6984</v>
      </c>
      <c r="C607" s="3" t="s">
        <v>6985</v>
      </c>
      <c r="D607" s="3" t="s">
        <v>1124</v>
      </c>
      <c r="E607" s="3">
        <v>606</v>
      </c>
      <c r="F607" s="3" t="s">
        <v>617</v>
      </c>
      <c r="G607" s="3" t="s">
        <v>17</v>
      </c>
      <c r="H607" s="3" t="s">
        <v>6942</v>
      </c>
    </row>
    <row r="608" spans="1:11" x14ac:dyDescent="0.25">
      <c r="A608" s="3" t="s">
        <v>6983</v>
      </c>
      <c r="B608" s="3" t="s">
        <v>6984</v>
      </c>
      <c r="C608" s="3" t="s">
        <v>6985</v>
      </c>
      <c r="D608" s="3" t="s">
        <v>1124</v>
      </c>
      <c r="E608" s="3">
        <v>607</v>
      </c>
      <c r="F608" s="3" t="s">
        <v>618</v>
      </c>
      <c r="G608" s="3" t="s">
        <v>13</v>
      </c>
      <c r="H608" s="3" t="s">
        <v>1140</v>
      </c>
    </row>
    <row r="609" spans="1:8" x14ac:dyDescent="0.25">
      <c r="A609" s="3" t="s">
        <v>6983</v>
      </c>
      <c r="B609" s="3" t="s">
        <v>6984</v>
      </c>
      <c r="C609" s="3" t="s">
        <v>6985</v>
      </c>
      <c r="D609" s="3" t="s">
        <v>1124</v>
      </c>
      <c r="E609" s="3">
        <v>608</v>
      </c>
      <c r="F609" s="3" t="s">
        <v>619</v>
      </c>
      <c r="G609" s="3" t="s">
        <v>4</v>
      </c>
      <c r="H609" s="3" t="s">
        <v>7011</v>
      </c>
    </row>
    <row r="610" spans="1:8" x14ac:dyDescent="0.25">
      <c r="A610" s="3" t="s">
        <v>6983</v>
      </c>
      <c r="B610" s="3" t="s">
        <v>6984</v>
      </c>
      <c r="C610" s="3" t="s">
        <v>6985</v>
      </c>
      <c r="D610" s="3" t="s">
        <v>1124</v>
      </c>
      <c r="E610" s="3">
        <v>609</v>
      </c>
      <c r="F610" s="3" t="s">
        <v>620</v>
      </c>
      <c r="G610" s="3" t="s">
        <v>17</v>
      </c>
      <c r="H610" s="3" t="s">
        <v>6943</v>
      </c>
    </row>
    <row r="611" spans="1:8" x14ac:dyDescent="0.25">
      <c r="A611" s="3" t="s">
        <v>6983</v>
      </c>
      <c r="B611" s="3" t="s">
        <v>6984</v>
      </c>
      <c r="C611" s="3" t="s">
        <v>6985</v>
      </c>
      <c r="D611" s="3" t="s">
        <v>1124</v>
      </c>
      <c r="E611" s="3">
        <v>610</v>
      </c>
      <c r="F611" s="3" t="s">
        <v>621</v>
      </c>
      <c r="G611" s="3" t="s">
        <v>17</v>
      </c>
      <c r="H611" s="3" t="s">
        <v>6943</v>
      </c>
    </row>
    <row r="612" spans="1:8" x14ac:dyDescent="0.25">
      <c r="A612" s="3" t="s">
        <v>6983</v>
      </c>
      <c r="B612" s="3" t="s">
        <v>6984</v>
      </c>
      <c r="C612" s="3" t="s">
        <v>6985</v>
      </c>
      <c r="D612" s="3" t="s">
        <v>1124</v>
      </c>
      <c r="E612" s="3">
        <v>611</v>
      </c>
      <c r="F612" s="3" t="s">
        <v>622</v>
      </c>
      <c r="G612" s="3" t="s">
        <v>13</v>
      </c>
      <c r="H612" s="3" t="s">
        <v>1145</v>
      </c>
    </row>
    <row r="613" spans="1:8" x14ac:dyDescent="0.25">
      <c r="A613" s="3" t="s">
        <v>6983</v>
      </c>
      <c r="B613" s="3" t="s">
        <v>6984</v>
      </c>
      <c r="C613" s="3" t="s">
        <v>6985</v>
      </c>
      <c r="D613" s="3" t="s">
        <v>1124</v>
      </c>
      <c r="E613" s="3">
        <v>612</v>
      </c>
      <c r="F613" s="3" t="s">
        <v>623</v>
      </c>
      <c r="G613" s="3" t="s">
        <v>13</v>
      </c>
      <c r="H613" s="3" t="s">
        <v>1146</v>
      </c>
    </row>
    <row r="614" spans="1:8" x14ac:dyDescent="0.25">
      <c r="A614" s="3" t="s">
        <v>6983</v>
      </c>
      <c r="B614" s="3" t="s">
        <v>6984</v>
      </c>
      <c r="C614" s="3" t="s">
        <v>6985</v>
      </c>
      <c r="D614" s="3" t="s">
        <v>1124</v>
      </c>
      <c r="E614" s="3">
        <v>613</v>
      </c>
      <c r="F614" s="3" t="s">
        <v>624</v>
      </c>
      <c r="G614" s="3" t="s">
        <v>9</v>
      </c>
      <c r="H614" s="3" t="s">
        <v>7012</v>
      </c>
    </row>
    <row r="615" spans="1:8" x14ac:dyDescent="0.25">
      <c r="A615" s="3" t="s">
        <v>6983</v>
      </c>
      <c r="B615" s="3" t="s">
        <v>6984</v>
      </c>
      <c r="C615" s="3" t="s">
        <v>6985</v>
      </c>
      <c r="D615" s="3" t="s">
        <v>1124</v>
      </c>
      <c r="E615" s="3">
        <v>614</v>
      </c>
      <c r="F615" s="3" t="s">
        <v>625</v>
      </c>
      <c r="G615" s="3" t="s">
        <v>1093</v>
      </c>
      <c r="H615" s="3" t="s">
        <v>1147</v>
      </c>
    </row>
    <row r="616" spans="1:8" x14ac:dyDescent="0.25">
      <c r="A616" s="3" t="s">
        <v>6983</v>
      </c>
      <c r="B616" s="3" t="s">
        <v>6984</v>
      </c>
      <c r="C616" s="3" t="s">
        <v>6985</v>
      </c>
      <c r="D616" s="3" t="s">
        <v>1124</v>
      </c>
      <c r="E616" s="3">
        <v>615</v>
      </c>
      <c r="F616" s="3" t="s">
        <v>626</v>
      </c>
      <c r="G616" s="3" t="s">
        <v>13</v>
      </c>
      <c r="H616" s="3" t="s">
        <v>1148</v>
      </c>
    </row>
    <row r="617" spans="1:8" x14ac:dyDescent="0.25">
      <c r="A617" s="3" t="s">
        <v>6983</v>
      </c>
      <c r="B617" s="3" t="s">
        <v>6984</v>
      </c>
      <c r="C617" s="3" t="s">
        <v>6985</v>
      </c>
      <c r="D617" s="3" t="s">
        <v>1124</v>
      </c>
      <c r="E617" s="3">
        <v>616</v>
      </c>
      <c r="F617" s="3" t="s">
        <v>627</v>
      </c>
      <c r="G617" s="3" t="s">
        <v>13</v>
      </c>
      <c r="H617" s="3" t="s">
        <v>1149</v>
      </c>
    </row>
    <row r="618" spans="1:8" x14ac:dyDescent="0.25">
      <c r="A618" s="3" t="s">
        <v>6983</v>
      </c>
      <c r="B618" s="3" t="s">
        <v>6984</v>
      </c>
      <c r="C618" s="3" t="s">
        <v>6985</v>
      </c>
      <c r="D618" s="3" t="s">
        <v>1124</v>
      </c>
      <c r="E618" s="3">
        <v>617</v>
      </c>
      <c r="F618" s="3" t="s">
        <v>628</v>
      </c>
      <c r="G618" s="3" t="s">
        <v>9</v>
      </c>
      <c r="H618" s="3" t="s">
        <v>7013</v>
      </c>
    </row>
    <row r="619" spans="1:8" x14ac:dyDescent="0.25">
      <c r="A619" s="3" t="s">
        <v>6983</v>
      </c>
      <c r="B619" s="3" t="s">
        <v>6984</v>
      </c>
      <c r="C619" s="3" t="s">
        <v>6985</v>
      </c>
      <c r="D619" s="3" t="s">
        <v>1124</v>
      </c>
      <c r="E619" s="3">
        <v>618</v>
      </c>
      <c r="F619" s="3" t="s">
        <v>629</v>
      </c>
      <c r="G619" s="3" t="s">
        <v>1093</v>
      </c>
      <c r="H619" s="3" t="s">
        <v>1150</v>
      </c>
    </row>
    <row r="620" spans="1:8" x14ac:dyDescent="0.25">
      <c r="A620" s="3" t="s">
        <v>6983</v>
      </c>
      <c r="B620" s="3" t="s">
        <v>6984</v>
      </c>
      <c r="C620" s="3" t="s">
        <v>6985</v>
      </c>
      <c r="D620" s="3" t="s">
        <v>1124</v>
      </c>
      <c r="E620" s="3">
        <v>619</v>
      </c>
      <c r="F620" s="3" t="s">
        <v>630</v>
      </c>
      <c r="G620" s="3" t="s">
        <v>13</v>
      </c>
      <c r="H620" s="3" t="s">
        <v>1151</v>
      </c>
    </row>
    <row r="621" spans="1:8" x14ac:dyDescent="0.25">
      <c r="A621" s="3" t="s">
        <v>6983</v>
      </c>
      <c r="B621" s="3" t="s">
        <v>6984</v>
      </c>
      <c r="C621" s="3" t="s">
        <v>6985</v>
      </c>
      <c r="D621" s="3" t="s">
        <v>1124</v>
      </c>
      <c r="E621" s="3">
        <v>620</v>
      </c>
      <c r="F621" s="3" t="s">
        <v>631</v>
      </c>
      <c r="G621" s="3" t="s">
        <v>13</v>
      </c>
      <c r="H621" s="3" t="s">
        <v>1152</v>
      </c>
    </row>
    <row r="622" spans="1:8" x14ac:dyDescent="0.25">
      <c r="A622" s="3" t="s">
        <v>6983</v>
      </c>
      <c r="B622" s="3" t="s">
        <v>6984</v>
      </c>
      <c r="C622" s="3" t="s">
        <v>6985</v>
      </c>
      <c r="D622" s="3" t="s">
        <v>1124</v>
      </c>
      <c r="E622" s="3">
        <v>621</v>
      </c>
      <c r="F622" s="3" t="s">
        <v>632</v>
      </c>
      <c r="G622" s="3" t="s">
        <v>9</v>
      </c>
      <c r="H622" s="3" t="s">
        <v>7014</v>
      </c>
    </row>
    <row r="623" spans="1:8" x14ac:dyDescent="0.25">
      <c r="A623" s="3" t="s">
        <v>6983</v>
      </c>
      <c r="B623" s="3" t="s">
        <v>6984</v>
      </c>
      <c r="C623" s="3" t="s">
        <v>6985</v>
      </c>
      <c r="D623" s="3" t="s">
        <v>1124</v>
      </c>
      <c r="E623" s="3">
        <v>622</v>
      </c>
      <c r="F623" s="3" t="s">
        <v>633</v>
      </c>
      <c r="G623" s="3" t="s">
        <v>1093</v>
      </c>
      <c r="H623" s="3" t="s">
        <v>1153</v>
      </c>
    </row>
    <row r="624" spans="1:8" x14ac:dyDescent="0.25">
      <c r="A624" s="3" t="s">
        <v>6983</v>
      </c>
      <c r="B624" s="3" t="s">
        <v>6984</v>
      </c>
      <c r="C624" s="3" t="s">
        <v>6985</v>
      </c>
      <c r="D624" s="3" t="s">
        <v>1124</v>
      </c>
      <c r="E624" s="3">
        <v>623</v>
      </c>
      <c r="F624" s="3" t="s">
        <v>634</v>
      </c>
      <c r="G624" s="3" t="s">
        <v>13</v>
      </c>
      <c r="H624" s="3" t="s">
        <v>1154</v>
      </c>
    </row>
    <row r="625" spans="1:8" x14ac:dyDescent="0.25">
      <c r="A625" s="3" t="s">
        <v>6983</v>
      </c>
      <c r="B625" s="3" t="s">
        <v>6984</v>
      </c>
      <c r="C625" s="3" t="s">
        <v>6985</v>
      </c>
      <c r="D625" s="3" t="s">
        <v>1124</v>
      </c>
      <c r="E625" s="3">
        <v>624</v>
      </c>
      <c r="F625" s="3" t="s">
        <v>635</v>
      </c>
      <c r="G625" s="3" t="s">
        <v>13</v>
      </c>
      <c r="H625" s="3" t="s">
        <v>1155</v>
      </c>
    </row>
    <row r="626" spans="1:8" x14ac:dyDescent="0.25">
      <c r="A626" s="3" t="s">
        <v>6983</v>
      </c>
      <c r="B626" s="3" t="s">
        <v>6984</v>
      </c>
      <c r="C626" s="3" t="s">
        <v>6985</v>
      </c>
      <c r="D626" s="3" t="s">
        <v>1124</v>
      </c>
      <c r="E626" s="3">
        <v>625</v>
      </c>
      <c r="F626" s="3" t="s">
        <v>636</v>
      </c>
      <c r="G626" s="3" t="s">
        <v>9</v>
      </c>
      <c r="H626" s="3" t="s">
        <v>7015</v>
      </c>
    </row>
    <row r="627" spans="1:8" x14ac:dyDescent="0.25">
      <c r="A627" s="3" t="s">
        <v>6983</v>
      </c>
      <c r="B627" s="3" t="s">
        <v>6984</v>
      </c>
      <c r="C627" s="3" t="s">
        <v>6985</v>
      </c>
      <c r="D627" s="3" t="s">
        <v>1124</v>
      </c>
      <c r="E627" s="3">
        <v>626</v>
      </c>
      <c r="F627" s="3" t="s">
        <v>637</v>
      </c>
      <c r="G627" s="3" t="s">
        <v>1093</v>
      </c>
      <c r="H627" s="3" t="s">
        <v>1156</v>
      </c>
    </row>
    <row r="628" spans="1:8" x14ac:dyDescent="0.25">
      <c r="A628" s="3" t="s">
        <v>6983</v>
      </c>
      <c r="B628" s="3" t="s">
        <v>6984</v>
      </c>
      <c r="C628" s="3" t="s">
        <v>6985</v>
      </c>
      <c r="D628" s="3" t="s">
        <v>1124</v>
      </c>
      <c r="E628" s="3">
        <v>627</v>
      </c>
      <c r="F628" s="3" t="s">
        <v>638</v>
      </c>
      <c r="G628" s="3" t="s">
        <v>13</v>
      </c>
      <c r="H628" s="3" t="s">
        <v>1157</v>
      </c>
    </row>
    <row r="629" spans="1:8" x14ac:dyDescent="0.25">
      <c r="A629" s="3" t="s">
        <v>6983</v>
      </c>
      <c r="B629" s="3" t="s">
        <v>6984</v>
      </c>
      <c r="C629" s="3" t="s">
        <v>6985</v>
      </c>
      <c r="D629" s="3" t="s">
        <v>1124</v>
      </c>
      <c r="E629" s="3">
        <v>628</v>
      </c>
      <c r="F629" s="3" t="s">
        <v>639</v>
      </c>
      <c r="G629" s="3" t="s">
        <v>13</v>
      </c>
      <c r="H629" s="3" t="s">
        <v>1158</v>
      </c>
    </row>
    <row r="630" spans="1:8" x14ac:dyDescent="0.25">
      <c r="A630" s="3" t="s">
        <v>6983</v>
      </c>
      <c r="B630" s="3" t="s">
        <v>6984</v>
      </c>
      <c r="C630" s="3" t="s">
        <v>6985</v>
      </c>
      <c r="D630" s="3" t="s">
        <v>1124</v>
      </c>
      <c r="E630" s="3">
        <v>629</v>
      </c>
      <c r="F630" s="3" t="s">
        <v>640</v>
      </c>
      <c r="G630" s="3" t="s">
        <v>9</v>
      </c>
      <c r="H630" s="3" t="s">
        <v>7016</v>
      </c>
    </row>
    <row r="631" spans="1:8" x14ac:dyDescent="0.25">
      <c r="A631" s="3" t="s">
        <v>6983</v>
      </c>
      <c r="B631" s="3" t="s">
        <v>6984</v>
      </c>
      <c r="C631" s="3" t="s">
        <v>6985</v>
      </c>
      <c r="D631" s="3" t="s">
        <v>1124</v>
      </c>
      <c r="E631" s="3">
        <v>630</v>
      </c>
      <c r="F631" s="3" t="s">
        <v>641</v>
      </c>
      <c r="G631" s="3" t="s">
        <v>1093</v>
      </c>
      <c r="H631" s="3" t="s">
        <v>1159</v>
      </c>
    </row>
    <row r="632" spans="1:8" x14ac:dyDescent="0.25">
      <c r="A632" s="3" t="s">
        <v>6983</v>
      </c>
      <c r="B632" s="3" t="s">
        <v>6984</v>
      </c>
      <c r="C632" s="3" t="s">
        <v>6985</v>
      </c>
      <c r="D632" s="3" t="s">
        <v>1124</v>
      </c>
      <c r="E632" s="3">
        <v>631</v>
      </c>
      <c r="F632" s="3" t="s">
        <v>642</v>
      </c>
      <c r="G632" s="3" t="s">
        <v>13</v>
      </c>
      <c r="H632" s="3" t="s">
        <v>1160</v>
      </c>
    </row>
    <row r="633" spans="1:8" x14ac:dyDescent="0.25">
      <c r="A633" s="3" t="s">
        <v>6983</v>
      </c>
      <c r="B633" s="3" t="s">
        <v>6984</v>
      </c>
      <c r="C633" s="3" t="s">
        <v>6985</v>
      </c>
      <c r="D633" s="3" t="s">
        <v>1124</v>
      </c>
      <c r="E633" s="3">
        <v>632</v>
      </c>
      <c r="F633" s="3" t="s">
        <v>643</v>
      </c>
      <c r="G633" s="3" t="s">
        <v>13</v>
      </c>
      <c r="H633" s="3" t="s">
        <v>1161</v>
      </c>
    </row>
    <row r="634" spans="1:8" x14ac:dyDescent="0.25">
      <c r="A634" s="3" t="s">
        <v>6983</v>
      </c>
      <c r="B634" s="3" t="s">
        <v>6984</v>
      </c>
      <c r="C634" s="3" t="s">
        <v>6985</v>
      </c>
      <c r="D634" s="3" t="s">
        <v>1124</v>
      </c>
      <c r="E634" s="3">
        <v>633</v>
      </c>
      <c r="F634" s="3" t="s">
        <v>644</v>
      </c>
      <c r="G634" s="3" t="s">
        <v>9</v>
      </c>
      <c r="H634" s="3" t="s">
        <v>7017</v>
      </c>
    </row>
    <row r="635" spans="1:8" x14ac:dyDescent="0.25">
      <c r="A635" s="3" t="s">
        <v>6983</v>
      </c>
      <c r="B635" s="3" t="s">
        <v>6984</v>
      </c>
      <c r="C635" s="3" t="s">
        <v>6985</v>
      </c>
      <c r="D635" s="3" t="s">
        <v>1124</v>
      </c>
      <c r="E635" s="3">
        <v>634</v>
      </c>
      <c r="F635" s="3" t="s">
        <v>645</v>
      </c>
      <c r="G635" s="3" t="s">
        <v>1093</v>
      </c>
      <c r="H635" s="3" t="s">
        <v>1162</v>
      </c>
    </row>
    <row r="636" spans="1:8" x14ac:dyDescent="0.25">
      <c r="A636" s="3" t="s">
        <v>6983</v>
      </c>
      <c r="B636" s="3" t="s">
        <v>6984</v>
      </c>
      <c r="C636" s="3" t="s">
        <v>6985</v>
      </c>
      <c r="D636" s="3" t="s">
        <v>1124</v>
      </c>
      <c r="E636" s="3">
        <v>635</v>
      </c>
      <c r="F636" s="3" t="s">
        <v>646</v>
      </c>
      <c r="G636" s="3" t="s">
        <v>13</v>
      </c>
      <c r="H636" s="3" t="s">
        <v>1163</v>
      </c>
    </row>
    <row r="637" spans="1:8" x14ac:dyDescent="0.25">
      <c r="A637" s="3" t="s">
        <v>6983</v>
      </c>
      <c r="B637" s="3" t="s">
        <v>6984</v>
      </c>
      <c r="C637" s="3" t="s">
        <v>6985</v>
      </c>
      <c r="D637" s="3" t="s">
        <v>1124</v>
      </c>
      <c r="E637" s="3">
        <v>636</v>
      </c>
      <c r="F637" s="3" t="s">
        <v>647</v>
      </c>
      <c r="G637" s="3" t="s">
        <v>13</v>
      </c>
      <c r="H637" s="3" t="s">
        <v>1164</v>
      </c>
    </row>
    <row r="638" spans="1:8" x14ac:dyDescent="0.25">
      <c r="A638" s="3" t="s">
        <v>6983</v>
      </c>
      <c r="B638" s="3" t="s">
        <v>6984</v>
      </c>
      <c r="C638" s="3" t="s">
        <v>6985</v>
      </c>
      <c r="D638" s="3" t="s">
        <v>1124</v>
      </c>
      <c r="E638" s="3">
        <v>637</v>
      </c>
      <c r="F638" s="3" t="s">
        <v>648</v>
      </c>
      <c r="G638" s="3" t="s">
        <v>9</v>
      </c>
      <c r="H638" s="3" t="s">
        <v>7018</v>
      </c>
    </row>
    <row r="639" spans="1:8" x14ac:dyDescent="0.25">
      <c r="A639" s="3" t="s">
        <v>6983</v>
      </c>
      <c r="B639" s="3" t="s">
        <v>6984</v>
      </c>
      <c r="C639" s="3" t="s">
        <v>6985</v>
      </c>
      <c r="D639" s="3" t="s">
        <v>1124</v>
      </c>
      <c r="E639" s="3">
        <v>638</v>
      </c>
      <c r="F639" s="3" t="s">
        <v>649</v>
      </c>
      <c r="G639" s="3" t="s">
        <v>1093</v>
      </c>
      <c r="H639" s="3" t="s">
        <v>1165</v>
      </c>
    </row>
    <row r="640" spans="1:8" x14ac:dyDescent="0.25">
      <c r="A640" s="3" t="s">
        <v>6983</v>
      </c>
      <c r="B640" s="3" t="s">
        <v>6984</v>
      </c>
      <c r="C640" s="3" t="s">
        <v>6985</v>
      </c>
      <c r="D640" s="3" t="s">
        <v>1124</v>
      </c>
      <c r="E640" s="3">
        <v>639</v>
      </c>
      <c r="F640" s="3" t="s">
        <v>650</v>
      </c>
      <c r="G640" s="3" t="s">
        <v>13</v>
      </c>
      <c r="H640" s="3" t="s">
        <v>1166</v>
      </c>
    </row>
    <row r="641" spans="1:11" x14ac:dyDescent="0.25">
      <c r="A641" s="3" t="s">
        <v>6983</v>
      </c>
      <c r="B641" s="3" t="s">
        <v>6984</v>
      </c>
      <c r="C641" s="3" t="s">
        <v>6985</v>
      </c>
      <c r="D641" s="3" t="s">
        <v>1124</v>
      </c>
      <c r="E641" s="3">
        <v>640</v>
      </c>
      <c r="F641" s="3" t="s">
        <v>651</v>
      </c>
      <c r="G641" s="3" t="s">
        <v>13</v>
      </c>
      <c r="H641" s="3" t="s">
        <v>1167</v>
      </c>
    </row>
    <row r="642" spans="1:11" x14ac:dyDescent="0.25">
      <c r="A642" s="3" t="s">
        <v>6983</v>
      </c>
      <c r="B642" s="3" t="s">
        <v>6984</v>
      </c>
      <c r="C642" s="3" t="s">
        <v>6985</v>
      </c>
      <c r="D642" s="3" t="s">
        <v>1124</v>
      </c>
      <c r="E642" s="3">
        <v>641</v>
      </c>
      <c r="F642" s="3" t="s">
        <v>652</v>
      </c>
      <c r="G642" s="3" t="s">
        <v>9</v>
      </c>
      <c r="H642" s="3" t="s">
        <v>7019</v>
      </c>
    </row>
    <row r="643" spans="1:11" x14ac:dyDescent="0.25">
      <c r="A643" s="3" t="s">
        <v>6983</v>
      </c>
      <c r="B643" s="3" t="s">
        <v>6984</v>
      </c>
      <c r="C643" s="3" t="s">
        <v>6985</v>
      </c>
      <c r="D643" s="3" t="s">
        <v>1124</v>
      </c>
      <c r="E643" s="3">
        <v>642</v>
      </c>
      <c r="F643" s="3" t="s">
        <v>653</v>
      </c>
      <c r="G643" s="3" t="s">
        <v>1093</v>
      </c>
      <c r="H643" s="3" t="s">
        <v>1168</v>
      </c>
    </row>
    <row r="644" spans="1:11" x14ac:dyDescent="0.25">
      <c r="A644" s="3" t="s">
        <v>6983</v>
      </c>
      <c r="B644" s="3" t="s">
        <v>6984</v>
      </c>
      <c r="C644" s="3" t="s">
        <v>6985</v>
      </c>
      <c r="D644" s="3" t="s">
        <v>1124</v>
      </c>
      <c r="E644" s="3">
        <v>643</v>
      </c>
      <c r="F644" s="3" t="s">
        <v>654</v>
      </c>
      <c r="G644" s="3" t="s">
        <v>13</v>
      </c>
      <c r="H644" s="3" t="s">
        <v>1169</v>
      </c>
    </row>
    <row r="645" spans="1:11" x14ac:dyDescent="0.25">
      <c r="A645" s="3" t="s">
        <v>6983</v>
      </c>
      <c r="B645" s="3" t="s">
        <v>6984</v>
      </c>
      <c r="C645" s="3" t="s">
        <v>6985</v>
      </c>
      <c r="D645" s="3" t="s">
        <v>1124</v>
      </c>
      <c r="E645" s="3">
        <v>644</v>
      </c>
      <c r="F645" s="3" t="s">
        <v>655</v>
      </c>
      <c r="G645" s="3" t="s">
        <v>13</v>
      </c>
      <c r="H645" s="3" t="s">
        <v>1170</v>
      </c>
    </row>
    <row r="646" spans="1:11" x14ac:dyDescent="0.25">
      <c r="A646" s="3" t="s">
        <v>6983</v>
      </c>
      <c r="B646" s="3" t="s">
        <v>6984</v>
      </c>
      <c r="C646" s="3" t="s">
        <v>6985</v>
      </c>
      <c r="D646" s="3" t="s">
        <v>1124</v>
      </c>
      <c r="E646" s="3">
        <v>645</v>
      </c>
      <c r="F646" s="3" t="s">
        <v>656</v>
      </c>
      <c r="G646" s="3" t="s">
        <v>9</v>
      </c>
      <c r="H646" s="3" t="s">
        <v>7020</v>
      </c>
    </row>
    <row r="647" spans="1:11" x14ac:dyDescent="0.25">
      <c r="A647" s="3" t="s">
        <v>6983</v>
      </c>
      <c r="B647" s="3" t="s">
        <v>6984</v>
      </c>
      <c r="C647" s="3" t="s">
        <v>6985</v>
      </c>
      <c r="D647" s="3" t="s">
        <v>1124</v>
      </c>
      <c r="E647" s="3">
        <v>646</v>
      </c>
      <c r="F647" s="3" t="s">
        <v>657</v>
      </c>
      <c r="G647" s="3" t="s">
        <v>1093</v>
      </c>
      <c r="H647" s="3" t="s">
        <v>1171</v>
      </c>
    </row>
    <row r="648" spans="1:11" x14ac:dyDescent="0.25">
      <c r="A648" s="3" t="s">
        <v>6983</v>
      </c>
      <c r="B648" s="3" t="s">
        <v>6984</v>
      </c>
      <c r="C648" s="3" t="s">
        <v>6985</v>
      </c>
      <c r="D648" s="3" t="s">
        <v>1124</v>
      </c>
      <c r="E648" s="3">
        <v>647</v>
      </c>
      <c r="F648" s="3" t="s">
        <v>658</v>
      </c>
      <c r="G648" s="3" t="s">
        <v>13</v>
      </c>
      <c r="H648" s="3" t="s">
        <v>1172</v>
      </c>
    </row>
    <row r="649" spans="1:11" x14ac:dyDescent="0.25">
      <c r="A649" s="3" t="s">
        <v>6983</v>
      </c>
      <c r="B649" s="3" t="s">
        <v>6984</v>
      </c>
      <c r="C649" s="3" t="s">
        <v>6985</v>
      </c>
      <c r="D649" s="3" t="s">
        <v>1124</v>
      </c>
      <c r="E649" s="3">
        <v>648</v>
      </c>
      <c r="F649" s="3" t="s">
        <v>659</v>
      </c>
      <c r="G649" s="3" t="s">
        <v>13</v>
      </c>
      <c r="H649" s="3" t="s">
        <v>1173</v>
      </c>
    </row>
    <row r="650" spans="1:11" x14ac:dyDescent="0.25">
      <c r="A650" s="3" t="s">
        <v>6983</v>
      </c>
      <c r="B650" s="3" t="s">
        <v>6984</v>
      </c>
      <c r="C650" s="3" t="s">
        <v>6985</v>
      </c>
      <c r="D650" s="3" t="s">
        <v>1124</v>
      </c>
      <c r="E650" s="3">
        <v>649</v>
      </c>
      <c r="F650" s="3" t="s">
        <v>660</v>
      </c>
      <c r="G650" s="3" t="s">
        <v>9</v>
      </c>
      <c r="H650" s="3" t="s">
        <v>7021</v>
      </c>
    </row>
    <row r="651" spans="1:11" x14ac:dyDescent="0.25">
      <c r="A651" s="3" t="s">
        <v>6983</v>
      </c>
      <c r="B651" s="3" t="s">
        <v>6984</v>
      </c>
      <c r="C651" s="3" t="s">
        <v>6985</v>
      </c>
      <c r="D651" s="3" t="s">
        <v>1124</v>
      </c>
      <c r="E651" s="3">
        <v>650</v>
      </c>
      <c r="F651" s="3" t="s">
        <v>661</v>
      </c>
      <c r="G651" s="3" t="s">
        <v>1093</v>
      </c>
      <c r="H651" s="3" t="s">
        <v>1174</v>
      </c>
    </row>
    <row r="652" spans="1:11" x14ac:dyDescent="0.25">
      <c r="A652" s="3" t="s">
        <v>6983</v>
      </c>
      <c r="B652" s="3" t="s">
        <v>6984</v>
      </c>
      <c r="C652" s="3" t="s">
        <v>6985</v>
      </c>
      <c r="D652" s="3" t="s">
        <v>1124</v>
      </c>
      <c r="E652" s="3">
        <v>651</v>
      </c>
      <c r="F652" s="3" t="s">
        <v>662</v>
      </c>
      <c r="G652" s="3" t="s">
        <v>13</v>
      </c>
      <c r="H652" s="3" t="s">
        <v>1175</v>
      </c>
    </row>
    <row r="653" spans="1:11" x14ac:dyDescent="0.25">
      <c r="A653" s="3" t="s">
        <v>6983</v>
      </c>
      <c r="B653" s="3" t="s">
        <v>6984</v>
      </c>
      <c r="C653" s="3" t="s">
        <v>6985</v>
      </c>
      <c r="D653" s="3" t="s">
        <v>1124</v>
      </c>
      <c r="E653" s="3">
        <v>652</v>
      </c>
      <c r="F653" s="3" t="s">
        <v>663</v>
      </c>
      <c r="G653" s="3" t="s">
        <v>13</v>
      </c>
      <c r="H653" s="3" t="s">
        <v>1176</v>
      </c>
    </row>
    <row r="654" spans="1:11" x14ac:dyDescent="0.25">
      <c r="A654" s="3" t="s">
        <v>6983</v>
      </c>
      <c r="B654" s="3" t="s">
        <v>6984</v>
      </c>
      <c r="C654" s="3" t="s">
        <v>6985</v>
      </c>
      <c r="D654" s="3" t="s">
        <v>1124</v>
      </c>
      <c r="E654" s="3">
        <v>653</v>
      </c>
      <c r="F654" s="3" t="s">
        <v>664</v>
      </c>
      <c r="G654" s="3" t="s">
        <v>9</v>
      </c>
      <c r="H654" s="3" t="s">
        <v>7022</v>
      </c>
    </row>
    <row r="655" spans="1:11" x14ac:dyDescent="0.25">
      <c r="A655" s="3" t="s">
        <v>6983</v>
      </c>
      <c r="B655" s="3" t="s">
        <v>6984</v>
      </c>
      <c r="C655" s="3" t="s">
        <v>6985</v>
      </c>
      <c r="D655" s="3" t="s">
        <v>1124</v>
      </c>
      <c r="E655" s="3">
        <v>654</v>
      </c>
      <c r="F655" s="3" t="s">
        <v>665</v>
      </c>
      <c r="G655" s="3" t="s">
        <v>1093</v>
      </c>
      <c r="H655" s="3" t="s">
        <v>1177</v>
      </c>
    </row>
    <row r="656" spans="1:11" x14ac:dyDescent="0.25">
      <c r="A656" s="3" t="s">
        <v>6983</v>
      </c>
      <c r="B656" s="3" t="s">
        <v>6984</v>
      </c>
      <c r="C656" s="3" t="s">
        <v>6985</v>
      </c>
      <c r="D656" s="3" t="s">
        <v>1124</v>
      </c>
      <c r="E656" s="3">
        <v>655</v>
      </c>
      <c r="F656" s="3" t="s">
        <v>666</v>
      </c>
      <c r="G656" s="3" t="s">
        <v>1104</v>
      </c>
      <c r="H656" s="3" t="s">
        <v>1262</v>
      </c>
      <c r="K656" s="3" t="s">
        <v>1268</v>
      </c>
    </row>
    <row r="657" spans="1:8" x14ac:dyDescent="0.25">
      <c r="A657" s="3" t="s">
        <v>6983</v>
      </c>
      <c r="B657" s="3" t="s">
        <v>6984</v>
      </c>
      <c r="C657" s="3" t="s">
        <v>6985</v>
      </c>
      <c r="D657" s="3" t="s">
        <v>1124</v>
      </c>
      <c r="E657" s="3">
        <v>656</v>
      </c>
      <c r="F657" s="3" t="s">
        <v>667</v>
      </c>
      <c r="G657" s="3" t="s">
        <v>1104</v>
      </c>
      <c r="H657" s="3" t="s">
        <v>1263</v>
      </c>
    </row>
    <row r="658" spans="1:8" x14ac:dyDescent="0.25">
      <c r="A658" s="3" t="s">
        <v>6983</v>
      </c>
      <c r="B658" s="3" t="s">
        <v>6984</v>
      </c>
      <c r="C658" s="3" t="s">
        <v>6985</v>
      </c>
      <c r="D658" s="3" t="s">
        <v>1124</v>
      </c>
      <c r="E658" s="3">
        <v>657</v>
      </c>
      <c r="F658" s="3" t="s">
        <v>668</v>
      </c>
      <c r="G658" s="3" t="s">
        <v>1105</v>
      </c>
      <c r="H658" s="3" t="s">
        <v>1264</v>
      </c>
    </row>
    <row r="659" spans="1:8" x14ac:dyDescent="0.25">
      <c r="A659" s="3" t="s">
        <v>6983</v>
      </c>
      <c r="B659" s="3" t="s">
        <v>6984</v>
      </c>
      <c r="C659" s="3" t="s">
        <v>6985</v>
      </c>
      <c r="D659" s="3" t="s">
        <v>1124</v>
      </c>
      <c r="E659" s="3">
        <v>658</v>
      </c>
      <c r="F659" s="3" t="s">
        <v>669</v>
      </c>
      <c r="G659" s="3" t="s">
        <v>1105</v>
      </c>
      <c r="H659" s="3" t="s">
        <v>1265</v>
      </c>
    </row>
    <row r="660" spans="1:8" x14ac:dyDescent="0.25">
      <c r="A660" s="3" t="s">
        <v>6983</v>
      </c>
      <c r="B660" s="3" t="s">
        <v>6984</v>
      </c>
      <c r="C660" s="3" t="s">
        <v>6985</v>
      </c>
      <c r="D660" s="3" t="s">
        <v>1124</v>
      </c>
      <c r="E660" s="3">
        <v>659</v>
      </c>
      <c r="F660" s="3" t="s">
        <v>670</v>
      </c>
      <c r="G660" s="3" t="s">
        <v>16</v>
      </c>
      <c r="H660" s="3" t="s">
        <v>1261</v>
      </c>
    </row>
    <row r="661" spans="1:8" x14ac:dyDescent="0.25">
      <c r="A661" s="3" t="s">
        <v>6983</v>
      </c>
      <c r="B661" s="3" t="s">
        <v>6984</v>
      </c>
      <c r="C661" s="3" t="s">
        <v>6985</v>
      </c>
      <c r="D661" s="3" t="s">
        <v>1124</v>
      </c>
      <c r="E661" s="3">
        <v>660</v>
      </c>
      <c r="F661" s="3" t="s">
        <v>671</v>
      </c>
      <c r="G661" s="3" t="s">
        <v>1095</v>
      </c>
      <c r="H661" s="3" t="s">
        <v>1258</v>
      </c>
    </row>
    <row r="662" spans="1:8" x14ac:dyDescent="0.25">
      <c r="A662" s="3" t="s">
        <v>6983</v>
      </c>
      <c r="B662" s="3" t="s">
        <v>6984</v>
      </c>
      <c r="C662" s="3" t="s">
        <v>6985</v>
      </c>
      <c r="D662" s="3" t="s">
        <v>1124</v>
      </c>
      <c r="E662" s="3">
        <v>661</v>
      </c>
      <c r="F662" s="3" t="s">
        <v>672</v>
      </c>
      <c r="G662" s="3" t="s">
        <v>1096</v>
      </c>
      <c r="H662" s="3" t="s">
        <v>1259</v>
      </c>
    </row>
    <row r="663" spans="1:8" x14ac:dyDescent="0.25">
      <c r="A663" s="3" t="s">
        <v>6983</v>
      </c>
      <c r="B663" s="3" t="s">
        <v>6984</v>
      </c>
      <c r="C663" s="3" t="s">
        <v>6985</v>
      </c>
      <c r="D663" s="3" t="s">
        <v>1124</v>
      </c>
      <c r="E663" s="3">
        <v>662</v>
      </c>
      <c r="F663" s="3" t="s">
        <v>673</v>
      </c>
      <c r="G663" s="3" t="s">
        <v>1095</v>
      </c>
      <c r="H663" s="3" t="s">
        <v>1266</v>
      </c>
    </row>
    <row r="664" spans="1:8" x14ac:dyDescent="0.25">
      <c r="A664" s="3" t="s">
        <v>6983</v>
      </c>
      <c r="B664" s="3" t="s">
        <v>6984</v>
      </c>
      <c r="C664" s="3" t="s">
        <v>6985</v>
      </c>
      <c r="D664" s="3" t="s">
        <v>1124</v>
      </c>
      <c r="E664" s="3">
        <v>663</v>
      </c>
      <c r="F664" s="3" t="s">
        <v>674</v>
      </c>
      <c r="G664" s="3" t="s">
        <v>1095</v>
      </c>
      <c r="H664" s="3" t="s">
        <v>1267</v>
      </c>
    </row>
    <row r="665" spans="1:8" x14ac:dyDescent="0.25">
      <c r="A665" s="3" t="s">
        <v>6983</v>
      </c>
      <c r="B665" s="3" t="s">
        <v>6984</v>
      </c>
      <c r="C665" s="3" t="s">
        <v>6985</v>
      </c>
      <c r="D665" s="3" t="s">
        <v>1124</v>
      </c>
      <c r="E665" s="3">
        <v>664</v>
      </c>
      <c r="F665" s="3" t="s">
        <v>675</v>
      </c>
      <c r="G665" s="3" t="s">
        <v>20</v>
      </c>
      <c r="H665" s="3" t="s">
        <v>1260</v>
      </c>
    </row>
    <row r="666" spans="1:8" x14ac:dyDescent="0.25">
      <c r="A666" s="3" t="s">
        <v>6983</v>
      </c>
      <c r="B666" s="3" t="s">
        <v>6984</v>
      </c>
      <c r="C666" s="3" t="s">
        <v>6985</v>
      </c>
      <c r="D666" s="3" t="s">
        <v>1124</v>
      </c>
      <c r="E666" s="3">
        <v>665</v>
      </c>
      <c r="F666" s="3" t="s">
        <v>676</v>
      </c>
      <c r="G666" s="3" t="s">
        <v>4</v>
      </c>
      <c r="H666" s="3" t="s">
        <v>1256</v>
      </c>
    </row>
    <row r="667" spans="1:8" x14ac:dyDescent="0.25">
      <c r="A667" s="3" t="s">
        <v>6983</v>
      </c>
      <c r="B667" s="3" t="s">
        <v>6984</v>
      </c>
      <c r="C667" s="3" t="s">
        <v>6985</v>
      </c>
      <c r="D667" s="3" t="s">
        <v>1124</v>
      </c>
      <c r="E667" s="3">
        <v>666</v>
      </c>
      <c r="F667" s="3" t="s">
        <v>677</v>
      </c>
      <c r="G667" s="3" t="s">
        <v>4</v>
      </c>
      <c r="H667" s="3" t="s">
        <v>1257</v>
      </c>
    </row>
    <row r="668" spans="1:8" x14ac:dyDescent="0.25">
      <c r="A668" s="3" t="s">
        <v>6983</v>
      </c>
      <c r="B668" s="3" t="s">
        <v>6984</v>
      </c>
      <c r="C668" s="3" t="s">
        <v>6985</v>
      </c>
      <c r="D668" s="3" t="s">
        <v>1124</v>
      </c>
      <c r="E668" s="3">
        <v>667</v>
      </c>
      <c r="F668" s="5" t="s">
        <v>678</v>
      </c>
      <c r="G668" s="5" t="s">
        <v>4</v>
      </c>
      <c r="H668" s="5" t="s">
        <v>6944</v>
      </c>
    </row>
    <row r="669" spans="1:8" x14ac:dyDescent="0.25">
      <c r="A669" s="3" t="s">
        <v>6983</v>
      </c>
      <c r="B669" s="3" t="s">
        <v>6984</v>
      </c>
      <c r="C669" s="3" t="s">
        <v>6985</v>
      </c>
      <c r="D669" s="3" t="s">
        <v>1124</v>
      </c>
      <c r="E669" s="3">
        <v>668</v>
      </c>
      <c r="F669" s="5" t="s">
        <v>679</v>
      </c>
      <c r="G669" s="3" t="s">
        <v>1106</v>
      </c>
    </row>
    <row r="670" spans="1:8" x14ac:dyDescent="0.25">
      <c r="A670" s="3" t="s">
        <v>6983</v>
      </c>
      <c r="B670" s="3" t="s">
        <v>6984</v>
      </c>
      <c r="C670" s="3" t="s">
        <v>6985</v>
      </c>
      <c r="D670" s="3" t="s">
        <v>1124</v>
      </c>
      <c r="E670" s="3">
        <v>669</v>
      </c>
      <c r="F670" s="3" t="s">
        <v>680</v>
      </c>
      <c r="G670" s="3" t="s">
        <v>16</v>
      </c>
      <c r="H670" s="3" t="s">
        <v>6946</v>
      </c>
    </row>
    <row r="671" spans="1:8" x14ac:dyDescent="0.25">
      <c r="A671" s="3" t="s">
        <v>6983</v>
      </c>
      <c r="B671" s="3" t="s">
        <v>6984</v>
      </c>
      <c r="C671" s="3" t="s">
        <v>6985</v>
      </c>
      <c r="D671" s="3" t="s">
        <v>1124</v>
      </c>
      <c r="E671" s="3">
        <v>670</v>
      </c>
      <c r="F671" s="3" t="s">
        <v>681</v>
      </c>
      <c r="G671" s="3" t="s">
        <v>16</v>
      </c>
      <c r="H671" s="3" t="s">
        <v>6947</v>
      </c>
    </row>
    <row r="672" spans="1:8" x14ac:dyDescent="0.25">
      <c r="A672" s="3" t="s">
        <v>6983</v>
      </c>
      <c r="B672" s="3" t="s">
        <v>6984</v>
      </c>
      <c r="C672" s="3" t="s">
        <v>6985</v>
      </c>
      <c r="D672" s="3" t="s">
        <v>1124</v>
      </c>
      <c r="E672" s="3">
        <v>671</v>
      </c>
      <c r="F672" s="3" t="s">
        <v>682</v>
      </c>
      <c r="G672" s="3" t="s">
        <v>1093</v>
      </c>
      <c r="H672" s="3" t="s">
        <v>6973</v>
      </c>
    </row>
    <row r="673" spans="1:10" x14ac:dyDescent="0.25">
      <c r="A673" s="3" t="s">
        <v>6983</v>
      </c>
      <c r="B673" s="3" t="s">
        <v>6984</v>
      </c>
      <c r="C673" s="3" t="s">
        <v>6985</v>
      </c>
      <c r="D673" s="3" t="s">
        <v>1124</v>
      </c>
      <c r="E673" s="3">
        <v>672</v>
      </c>
      <c r="F673" s="3" t="s">
        <v>683</v>
      </c>
      <c r="G673" s="3" t="s">
        <v>17</v>
      </c>
      <c r="H673" s="3" t="s">
        <v>6945</v>
      </c>
    </row>
    <row r="674" spans="1:10" x14ac:dyDescent="0.25">
      <c r="A674" s="3" t="s">
        <v>6983</v>
      </c>
      <c r="B674" s="3" t="s">
        <v>6984</v>
      </c>
      <c r="C674" s="3" t="s">
        <v>6985</v>
      </c>
      <c r="D674" s="3" t="s">
        <v>1124</v>
      </c>
      <c r="E674" s="3">
        <v>673</v>
      </c>
      <c r="F674" s="3" t="s">
        <v>684</v>
      </c>
      <c r="G674" s="3" t="s">
        <v>17</v>
      </c>
      <c r="H674" s="3" t="s">
        <v>6945</v>
      </c>
    </row>
    <row r="675" spans="1:10" x14ac:dyDescent="0.25">
      <c r="A675" s="3" t="s">
        <v>6983</v>
      </c>
      <c r="B675" s="3" t="s">
        <v>6984</v>
      </c>
      <c r="C675" s="3" t="s">
        <v>6985</v>
      </c>
      <c r="D675" s="3" t="s">
        <v>1124</v>
      </c>
      <c r="E675" s="3">
        <v>674</v>
      </c>
      <c r="F675" s="3" t="s">
        <v>685</v>
      </c>
      <c r="G675" s="3" t="s">
        <v>31</v>
      </c>
      <c r="H675" s="3" t="s">
        <v>6963</v>
      </c>
    </row>
    <row r="676" spans="1:10" ht="14.45" customHeight="1" x14ac:dyDescent="0.25">
      <c r="A676" s="3" t="s">
        <v>6983</v>
      </c>
      <c r="B676" s="3" t="s">
        <v>6984</v>
      </c>
      <c r="C676" s="3" t="s">
        <v>6985</v>
      </c>
      <c r="D676" s="3" t="s">
        <v>1125</v>
      </c>
      <c r="E676" s="3">
        <v>675</v>
      </c>
      <c r="F676" s="3" t="s">
        <v>686</v>
      </c>
      <c r="G676" s="3" t="s">
        <v>1093</v>
      </c>
      <c r="H676" s="4" t="s">
        <v>1141</v>
      </c>
      <c r="I676" s="3" t="s">
        <v>1232</v>
      </c>
      <c r="J676" s="7"/>
    </row>
    <row r="677" spans="1:10" x14ac:dyDescent="0.25">
      <c r="A677" s="3" t="s">
        <v>6983</v>
      </c>
      <c r="B677" s="3" t="s">
        <v>6984</v>
      </c>
      <c r="C677" s="3" t="s">
        <v>6985</v>
      </c>
      <c r="D677" s="3" t="s">
        <v>1125</v>
      </c>
      <c r="E677" s="3">
        <v>676</v>
      </c>
      <c r="F677" s="3" t="s">
        <v>687</v>
      </c>
      <c r="G677" s="3" t="s">
        <v>1107</v>
      </c>
      <c r="H677" s="4" t="s">
        <v>1178</v>
      </c>
      <c r="I677" s="3" t="s">
        <v>1232</v>
      </c>
      <c r="J677" s="7"/>
    </row>
    <row r="678" spans="1:10" x14ac:dyDescent="0.25">
      <c r="A678" s="3" t="s">
        <v>6983</v>
      </c>
      <c r="B678" s="3" t="s">
        <v>6984</v>
      </c>
      <c r="C678" s="3" t="s">
        <v>6985</v>
      </c>
      <c r="D678" s="3" t="s">
        <v>1125</v>
      </c>
      <c r="E678" s="3">
        <v>677</v>
      </c>
      <c r="F678" s="3" t="s">
        <v>688</v>
      </c>
      <c r="G678" s="3" t="s">
        <v>4</v>
      </c>
      <c r="H678" s="4" t="s">
        <v>6847</v>
      </c>
      <c r="I678" s="3" t="s">
        <v>1232</v>
      </c>
      <c r="J678" s="7"/>
    </row>
    <row r="679" spans="1:10" x14ac:dyDescent="0.25">
      <c r="A679" s="3" t="s">
        <v>6983</v>
      </c>
      <c r="B679" s="3" t="s">
        <v>6984</v>
      </c>
      <c r="C679" s="3" t="s">
        <v>6985</v>
      </c>
      <c r="D679" s="3" t="s">
        <v>1125</v>
      </c>
      <c r="E679" s="3">
        <v>678</v>
      </c>
      <c r="F679" s="3" t="s">
        <v>689</v>
      </c>
      <c r="G679" s="3" t="s">
        <v>4</v>
      </c>
      <c r="H679" s="4" t="s">
        <v>6850</v>
      </c>
      <c r="I679" s="3" t="s">
        <v>1232</v>
      </c>
      <c r="J679" s="7"/>
    </row>
    <row r="680" spans="1:10" x14ac:dyDescent="0.25">
      <c r="A680" s="3" t="s">
        <v>6983</v>
      </c>
      <c r="B680" s="3" t="s">
        <v>6984</v>
      </c>
      <c r="C680" s="3" t="s">
        <v>6985</v>
      </c>
      <c r="D680" s="3" t="s">
        <v>1125</v>
      </c>
      <c r="E680" s="3">
        <v>679</v>
      </c>
      <c r="F680" s="3" t="s">
        <v>690</v>
      </c>
      <c r="G680" s="3" t="s">
        <v>4</v>
      </c>
      <c r="H680" s="4" t="s">
        <v>6849</v>
      </c>
      <c r="I680" s="3" t="s">
        <v>1232</v>
      </c>
      <c r="J680" s="7"/>
    </row>
    <row r="681" spans="1:10" x14ac:dyDescent="0.25">
      <c r="A681" s="3" t="s">
        <v>6983</v>
      </c>
      <c r="B681" s="3" t="s">
        <v>6984</v>
      </c>
      <c r="C681" s="3" t="s">
        <v>6985</v>
      </c>
      <c r="D681" s="3" t="s">
        <v>1125</v>
      </c>
      <c r="E681" s="3">
        <v>680</v>
      </c>
      <c r="F681" s="3" t="s">
        <v>691</v>
      </c>
      <c r="G681" s="3" t="s">
        <v>4</v>
      </c>
      <c r="H681" s="4" t="s">
        <v>6851</v>
      </c>
      <c r="I681" s="3" t="s">
        <v>1232</v>
      </c>
      <c r="J681" s="7"/>
    </row>
    <row r="682" spans="1:10" ht="15" customHeight="1" x14ac:dyDescent="0.25">
      <c r="A682" s="3" t="s">
        <v>6983</v>
      </c>
      <c r="B682" s="3" t="s">
        <v>6984</v>
      </c>
      <c r="C682" s="3" t="s">
        <v>6985</v>
      </c>
      <c r="D682" s="3" t="s">
        <v>1126</v>
      </c>
      <c r="E682" s="3">
        <v>681</v>
      </c>
      <c r="F682" s="3" t="s">
        <v>692</v>
      </c>
      <c r="G682" s="3" t="s">
        <v>1093</v>
      </c>
      <c r="H682" s="4" t="s">
        <v>1141</v>
      </c>
      <c r="I682" s="3" t="s">
        <v>1232</v>
      </c>
      <c r="J682" s="7"/>
    </row>
    <row r="683" spans="1:10" x14ac:dyDescent="0.25">
      <c r="A683" s="3" t="s">
        <v>6983</v>
      </c>
      <c r="B683" s="3" t="s">
        <v>6984</v>
      </c>
      <c r="C683" s="3" t="s">
        <v>6985</v>
      </c>
      <c r="D683" s="3" t="s">
        <v>1126</v>
      </c>
      <c r="E683" s="3">
        <v>682</v>
      </c>
      <c r="F683" s="3" t="s">
        <v>693</v>
      </c>
      <c r="G683" s="3" t="s">
        <v>1107</v>
      </c>
      <c r="H683" s="4" t="s">
        <v>1178</v>
      </c>
      <c r="I683" s="3" t="s">
        <v>1232</v>
      </c>
      <c r="J683" s="7"/>
    </row>
    <row r="684" spans="1:10" x14ac:dyDescent="0.25">
      <c r="A684" s="3" t="s">
        <v>6983</v>
      </c>
      <c r="B684" s="3" t="s">
        <v>6984</v>
      </c>
      <c r="C684" s="3" t="s">
        <v>6985</v>
      </c>
      <c r="D684" s="3" t="s">
        <v>1126</v>
      </c>
      <c r="E684" s="3">
        <v>683</v>
      </c>
      <c r="F684" s="3" t="s">
        <v>694</v>
      </c>
      <c r="G684" s="3" t="s">
        <v>4</v>
      </c>
      <c r="H684" s="4" t="s">
        <v>6848</v>
      </c>
      <c r="I684" s="3" t="s">
        <v>1232</v>
      </c>
      <c r="J684" s="7"/>
    </row>
    <row r="685" spans="1:10" x14ac:dyDescent="0.25">
      <c r="A685" s="3" t="s">
        <v>6983</v>
      </c>
      <c r="B685" s="3" t="s">
        <v>6984</v>
      </c>
      <c r="C685" s="3" t="s">
        <v>6985</v>
      </c>
      <c r="D685" s="3" t="s">
        <v>1126</v>
      </c>
      <c r="E685" s="3">
        <v>684</v>
      </c>
      <c r="F685" s="3" t="s">
        <v>695</v>
      </c>
      <c r="G685" s="3" t="s">
        <v>4</v>
      </c>
      <c r="H685" s="4" t="s">
        <v>6850</v>
      </c>
      <c r="I685" s="3" t="s">
        <v>1232</v>
      </c>
      <c r="J685" s="7"/>
    </row>
    <row r="686" spans="1:10" x14ac:dyDescent="0.25">
      <c r="A686" s="3" t="s">
        <v>6983</v>
      </c>
      <c r="B686" s="3" t="s">
        <v>6984</v>
      </c>
      <c r="C686" s="3" t="s">
        <v>6985</v>
      </c>
      <c r="D686" s="3" t="s">
        <v>1126</v>
      </c>
      <c r="E686" s="3">
        <v>685</v>
      </c>
      <c r="F686" s="3" t="s">
        <v>696</v>
      </c>
      <c r="G686" s="3" t="s">
        <v>4</v>
      </c>
      <c r="H686" s="4" t="s">
        <v>6849</v>
      </c>
      <c r="I686" s="3" t="s">
        <v>1232</v>
      </c>
      <c r="J686" s="7"/>
    </row>
    <row r="687" spans="1:10" x14ac:dyDescent="0.25">
      <c r="A687" s="3" t="s">
        <v>6983</v>
      </c>
      <c r="B687" s="3" t="s">
        <v>6984</v>
      </c>
      <c r="C687" s="3" t="s">
        <v>6985</v>
      </c>
      <c r="D687" s="3" t="s">
        <v>1126</v>
      </c>
      <c r="E687" s="3">
        <v>686</v>
      </c>
      <c r="F687" s="3" t="s">
        <v>697</v>
      </c>
      <c r="G687" s="3" t="s">
        <v>4</v>
      </c>
      <c r="H687" s="4" t="s">
        <v>6851</v>
      </c>
      <c r="I687" s="3" t="s">
        <v>1232</v>
      </c>
      <c r="J687" s="7"/>
    </row>
    <row r="688" spans="1:10" ht="15" customHeight="1" x14ac:dyDescent="0.25">
      <c r="A688" s="3" t="s">
        <v>6983</v>
      </c>
      <c r="B688" s="3" t="s">
        <v>6984</v>
      </c>
      <c r="C688" s="3" t="s">
        <v>6985</v>
      </c>
      <c r="D688" s="3" t="s">
        <v>1127</v>
      </c>
      <c r="E688" s="3">
        <v>687</v>
      </c>
      <c r="F688" s="3" t="s">
        <v>698</v>
      </c>
      <c r="G688" s="3" t="s">
        <v>4</v>
      </c>
      <c r="H688" s="4" t="s">
        <v>1181</v>
      </c>
      <c r="I688" s="3" t="s">
        <v>1179</v>
      </c>
      <c r="J688" s="7"/>
    </row>
    <row r="689" spans="1:10" x14ac:dyDescent="0.25">
      <c r="A689" s="3" t="s">
        <v>6983</v>
      </c>
      <c r="B689" s="3" t="s">
        <v>6984</v>
      </c>
      <c r="C689" s="3" t="s">
        <v>6985</v>
      </c>
      <c r="D689" s="3" t="s">
        <v>1127</v>
      </c>
      <c r="E689" s="3">
        <v>688</v>
      </c>
      <c r="F689" s="3" t="s">
        <v>699</v>
      </c>
      <c r="G689" s="3" t="s">
        <v>4</v>
      </c>
      <c r="H689" s="4" t="s">
        <v>1182</v>
      </c>
      <c r="I689" s="3" t="s">
        <v>1179</v>
      </c>
      <c r="J689" s="7"/>
    </row>
    <row r="690" spans="1:10" x14ac:dyDescent="0.25">
      <c r="A690" s="3" t="s">
        <v>6983</v>
      </c>
      <c r="B690" s="3" t="s">
        <v>6984</v>
      </c>
      <c r="C690" s="3" t="s">
        <v>6985</v>
      </c>
      <c r="D690" s="3" t="s">
        <v>1127</v>
      </c>
      <c r="E690" s="3">
        <v>689</v>
      </c>
      <c r="F690" s="3" t="s">
        <v>700</v>
      </c>
      <c r="G690" s="3" t="s">
        <v>1093</v>
      </c>
      <c r="H690" s="4" t="s">
        <v>1183</v>
      </c>
      <c r="I690" s="3" t="s">
        <v>1179</v>
      </c>
      <c r="J690" s="7"/>
    </row>
    <row r="691" spans="1:10" x14ac:dyDescent="0.25">
      <c r="A691" s="3" t="s">
        <v>6983</v>
      </c>
      <c r="B691" s="3" t="s">
        <v>6984</v>
      </c>
      <c r="C691" s="3" t="s">
        <v>6985</v>
      </c>
      <c r="D691" s="3" t="s">
        <v>1127</v>
      </c>
      <c r="E691" s="3">
        <v>690</v>
      </c>
      <c r="F691" s="3" t="s">
        <v>701</v>
      </c>
      <c r="G691" s="3" t="s">
        <v>1093</v>
      </c>
      <c r="H691" s="4" t="s">
        <v>1184</v>
      </c>
      <c r="I691" s="3" t="s">
        <v>1179</v>
      </c>
      <c r="J691" s="7"/>
    </row>
    <row r="692" spans="1:10" x14ac:dyDescent="0.25">
      <c r="A692" s="3" t="s">
        <v>6983</v>
      </c>
      <c r="B692" s="3" t="s">
        <v>6984</v>
      </c>
      <c r="C692" s="3" t="s">
        <v>6985</v>
      </c>
      <c r="D692" s="3" t="s">
        <v>1127</v>
      </c>
      <c r="E692" s="3">
        <v>691</v>
      </c>
      <c r="F692" s="3" t="s">
        <v>702</v>
      </c>
      <c r="G692" s="3" t="s">
        <v>1093</v>
      </c>
      <c r="H692" s="4" t="s">
        <v>1185</v>
      </c>
      <c r="I692" s="3" t="s">
        <v>1179</v>
      </c>
      <c r="J692" s="7"/>
    </row>
    <row r="693" spans="1:10" x14ac:dyDescent="0.25">
      <c r="A693" s="3" t="s">
        <v>6983</v>
      </c>
      <c r="B693" s="3" t="s">
        <v>6984</v>
      </c>
      <c r="C693" s="3" t="s">
        <v>6985</v>
      </c>
      <c r="D693" s="3" t="s">
        <v>1127</v>
      </c>
      <c r="E693" s="3">
        <v>692</v>
      </c>
      <c r="F693" s="3" t="s">
        <v>703</v>
      </c>
      <c r="G693" s="3" t="s">
        <v>1093</v>
      </c>
      <c r="H693" s="4" t="s">
        <v>1186</v>
      </c>
      <c r="I693" s="3" t="s">
        <v>1179</v>
      </c>
      <c r="J693" s="7"/>
    </row>
    <row r="694" spans="1:10" x14ac:dyDescent="0.25">
      <c r="A694" s="3" t="s">
        <v>6983</v>
      </c>
      <c r="B694" s="3" t="s">
        <v>6984</v>
      </c>
      <c r="C694" s="3" t="s">
        <v>6985</v>
      </c>
      <c r="D694" s="3" t="s">
        <v>1127</v>
      </c>
      <c r="E694" s="3">
        <v>693</v>
      </c>
      <c r="F694" s="3" t="s">
        <v>704</v>
      </c>
      <c r="G694" s="3" t="s">
        <v>1093</v>
      </c>
      <c r="H694" s="4" t="s">
        <v>1187</v>
      </c>
      <c r="I694" s="3" t="s">
        <v>1179</v>
      </c>
      <c r="J694" s="7"/>
    </row>
    <row r="695" spans="1:10" x14ac:dyDescent="0.25">
      <c r="A695" s="3" t="s">
        <v>6983</v>
      </c>
      <c r="B695" s="3" t="s">
        <v>6984</v>
      </c>
      <c r="C695" s="3" t="s">
        <v>6985</v>
      </c>
      <c r="D695" s="3" t="s">
        <v>1127</v>
      </c>
      <c r="E695" s="3">
        <v>694</v>
      </c>
      <c r="F695" s="3" t="s">
        <v>705</v>
      </c>
      <c r="G695" s="3" t="s">
        <v>1093</v>
      </c>
      <c r="H695" s="4" t="s">
        <v>2142</v>
      </c>
      <c r="I695" s="3" t="s">
        <v>1179</v>
      </c>
      <c r="J695" s="7"/>
    </row>
    <row r="696" spans="1:10" x14ac:dyDescent="0.25">
      <c r="A696" s="3" t="s">
        <v>6983</v>
      </c>
      <c r="B696" s="3" t="s">
        <v>6984</v>
      </c>
      <c r="C696" s="3" t="s">
        <v>6985</v>
      </c>
      <c r="D696" s="3" t="s">
        <v>1127</v>
      </c>
      <c r="E696" s="3">
        <v>695</v>
      </c>
      <c r="F696" s="3" t="s">
        <v>706</v>
      </c>
      <c r="G696" s="3" t="s">
        <v>1093</v>
      </c>
      <c r="H696" s="4" t="s">
        <v>1189</v>
      </c>
      <c r="I696" s="3" t="s">
        <v>1179</v>
      </c>
      <c r="J696" s="7"/>
    </row>
    <row r="697" spans="1:10" x14ac:dyDescent="0.25">
      <c r="A697" s="3" t="s">
        <v>6983</v>
      </c>
      <c r="B697" s="3" t="s">
        <v>6984</v>
      </c>
      <c r="C697" s="3" t="s">
        <v>6985</v>
      </c>
      <c r="D697" s="3" t="s">
        <v>1127</v>
      </c>
      <c r="E697" s="3">
        <v>696</v>
      </c>
      <c r="F697" s="3" t="s">
        <v>707</v>
      </c>
      <c r="G697" s="3" t="s">
        <v>9</v>
      </c>
      <c r="H697" s="4" t="s">
        <v>1188</v>
      </c>
      <c r="I697" s="3" t="s">
        <v>1179</v>
      </c>
      <c r="J697" s="7"/>
    </row>
    <row r="698" spans="1:10" x14ac:dyDescent="0.25">
      <c r="A698" s="3" t="s">
        <v>6983</v>
      </c>
      <c r="B698" s="3" t="s">
        <v>6984</v>
      </c>
      <c r="C698" s="3" t="s">
        <v>6985</v>
      </c>
      <c r="D698" s="3" t="s">
        <v>1127</v>
      </c>
      <c r="E698" s="3">
        <v>697</v>
      </c>
      <c r="F698" s="3" t="s">
        <v>708</v>
      </c>
      <c r="G698" s="3" t="s">
        <v>1093</v>
      </c>
      <c r="H698" s="4" t="s">
        <v>1293</v>
      </c>
      <c r="I698" s="3" t="s">
        <v>1179</v>
      </c>
      <c r="J698" s="7"/>
    </row>
    <row r="699" spans="1:10" x14ac:dyDescent="0.25">
      <c r="A699" s="3" t="s">
        <v>6983</v>
      </c>
      <c r="B699" s="3" t="s">
        <v>6984</v>
      </c>
      <c r="C699" s="3" t="s">
        <v>6985</v>
      </c>
      <c r="D699" s="3" t="s">
        <v>1127</v>
      </c>
      <c r="E699" s="3">
        <v>698</v>
      </c>
      <c r="F699" s="3" t="s">
        <v>709</v>
      </c>
      <c r="G699" s="3" t="s">
        <v>1093</v>
      </c>
      <c r="H699" s="4" t="s">
        <v>1294</v>
      </c>
      <c r="I699" s="3" t="s">
        <v>1179</v>
      </c>
      <c r="J699" s="7"/>
    </row>
    <row r="700" spans="1:10" x14ac:dyDescent="0.25">
      <c r="A700" s="3" t="s">
        <v>6983</v>
      </c>
      <c r="B700" s="3" t="s">
        <v>6984</v>
      </c>
      <c r="C700" s="3" t="s">
        <v>6985</v>
      </c>
      <c r="D700" s="3" t="s">
        <v>1127</v>
      </c>
      <c r="E700" s="3">
        <v>699</v>
      </c>
      <c r="F700" s="3" t="s">
        <v>710</v>
      </c>
      <c r="G700" s="3" t="s">
        <v>19</v>
      </c>
      <c r="H700" s="4" t="s">
        <v>1190</v>
      </c>
      <c r="I700" s="3" t="s">
        <v>1179</v>
      </c>
      <c r="J700" s="7"/>
    </row>
    <row r="701" spans="1:10" ht="14.45" customHeight="1" x14ac:dyDescent="0.25">
      <c r="A701" s="3" t="s">
        <v>6983</v>
      </c>
      <c r="B701" s="3" t="s">
        <v>6984</v>
      </c>
      <c r="C701" s="3" t="s">
        <v>6985</v>
      </c>
      <c r="D701" s="3" t="s">
        <v>1128</v>
      </c>
      <c r="E701" s="3">
        <v>700</v>
      </c>
      <c r="F701" s="3" t="s">
        <v>711</v>
      </c>
      <c r="G701" s="3" t="s">
        <v>4</v>
      </c>
      <c r="H701" s="4" t="s">
        <v>1191</v>
      </c>
      <c r="I701" s="3" t="s">
        <v>1179</v>
      </c>
      <c r="J701" s="7"/>
    </row>
    <row r="702" spans="1:10" x14ac:dyDescent="0.25">
      <c r="A702" s="3" t="s">
        <v>6983</v>
      </c>
      <c r="B702" s="3" t="s">
        <v>6984</v>
      </c>
      <c r="C702" s="3" t="s">
        <v>6985</v>
      </c>
      <c r="D702" s="3" t="s">
        <v>1128</v>
      </c>
      <c r="E702" s="3">
        <v>701</v>
      </c>
      <c r="F702" s="3" t="s">
        <v>712</v>
      </c>
      <c r="G702" s="3" t="s">
        <v>4</v>
      </c>
      <c r="H702" s="4" t="s">
        <v>1192</v>
      </c>
      <c r="I702" s="3" t="s">
        <v>1179</v>
      </c>
      <c r="J702" s="7"/>
    </row>
    <row r="703" spans="1:10" x14ac:dyDescent="0.25">
      <c r="A703" s="3" t="s">
        <v>6983</v>
      </c>
      <c r="B703" s="3" t="s">
        <v>6984</v>
      </c>
      <c r="C703" s="3" t="s">
        <v>6985</v>
      </c>
      <c r="D703" s="3" t="s">
        <v>1128</v>
      </c>
      <c r="E703" s="3">
        <v>702</v>
      </c>
      <c r="F703" s="3" t="s">
        <v>713</v>
      </c>
      <c r="G703" s="3" t="s">
        <v>1093</v>
      </c>
      <c r="H703" s="4" t="s">
        <v>1193</v>
      </c>
      <c r="I703" s="3" t="s">
        <v>1179</v>
      </c>
      <c r="J703" s="7"/>
    </row>
    <row r="704" spans="1:10" x14ac:dyDescent="0.25">
      <c r="A704" s="3" t="s">
        <v>6983</v>
      </c>
      <c r="B704" s="3" t="s">
        <v>6984</v>
      </c>
      <c r="C704" s="3" t="s">
        <v>6985</v>
      </c>
      <c r="D704" s="3" t="s">
        <v>1128</v>
      </c>
      <c r="E704" s="3">
        <v>703</v>
      </c>
      <c r="F704" s="3" t="s">
        <v>714</v>
      </c>
      <c r="G704" s="3" t="s">
        <v>1093</v>
      </c>
      <c r="H704" s="4" t="s">
        <v>1194</v>
      </c>
      <c r="I704" s="3" t="s">
        <v>1179</v>
      </c>
      <c r="J704" s="7"/>
    </row>
    <row r="705" spans="1:10" x14ac:dyDescent="0.25">
      <c r="A705" s="3" t="s">
        <v>6983</v>
      </c>
      <c r="B705" s="3" t="s">
        <v>6984</v>
      </c>
      <c r="C705" s="3" t="s">
        <v>6985</v>
      </c>
      <c r="D705" s="3" t="s">
        <v>1128</v>
      </c>
      <c r="E705" s="3">
        <v>704</v>
      </c>
      <c r="F705" s="3" t="s">
        <v>715</v>
      </c>
      <c r="G705" s="3" t="s">
        <v>1093</v>
      </c>
      <c r="H705" s="4" t="s">
        <v>1195</v>
      </c>
      <c r="I705" s="3" t="s">
        <v>1179</v>
      </c>
      <c r="J705" s="7"/>
    </row>
    <row r="706" spans="1:10" x14ac:dyDescent="0.25">
      <c r="A706" s="3" t="s">
        <v>6983</v>
      </c>
      <c r="B706" s="3" t="s">
        <v>6984</v>
      </c>
      <c r="C706" s="3" t="s">
        <v>6985</v>
      </c>
      <c r="D706" s="3" t="s">
        <v>1128</v>
      </c>
      <c r="E706" s="3">
        <v>705</v>
      </c>
      <c r="F706" s="3" t="s">
        <v>716</v>
      </c>
      <c r="G706" s="3" t="s">
        <v>1093</v>
      </c>
      <c r="H706" s="4" t="s">
        <v>1196</v>
      </c>
      <c r="I706" s="3" t="s">
        <v>1179</v>
      </c>
      <c r="J706" s="7"/>
    </row>
    <row r="707" spans="1:10" x14ac:dyDescent="0.25">
      <c r="A707" s="3" t="s">
        <v>6983</v>
      </c>
      <c r="B707" s="3" t="s">
        <v>6984</v>
      </c>
      <c r="C707" s="3" t="s">
        <v>6985</v>
      </c>
      <c r="D707" s="3" t="s">
        <v>1128</v>
      </c>
      <c r="E707" s="3">
        <v>706</v>
      </c>
      <c r="F707" s="3" t="s">
        <v>717</v>
      </c>
      <c r="G707" s="3" t="s">
        <v>1093</v>
      </c>
      <c r="H707" s="4" t="s">
        <v>1197</v>
      </c>
      <c r="I707" s="3" t="s">
        <v>1179</v>
      </c>
      <c r="J707" s="7"/>
    </row>
    <row r="708" spans="1:10" x14ac:dyDescent="0.25">
      <c r="A708" s="3" t="s">
        <v>6983</v>
      </c>
      <c r="B708" s="3" t="s">
        <v>6984</v>
      </c>
      <c r="C708" s="3" t="s">
        <v>6985</v>
      </c>
      <c r="D708" s="3" t="s">
        <v>1128</v>
      </c>
      <c r="E708" s="3">
        <v>707</v>
      </c>
      <c r="F708" s="3" t="s">
        <v>718</v>
      </c>
      <c r="G708" s="3" t="s">
        <v>1093</v>
      </c>
      <c r="H708" s="4" t="s">
        <v>2143</v>
      </c>
      <c r="I708" s="3" t="s">
        <v>1179</v>
      </c>
      <c r="J708" s="7"/>
    </row>
    <row r="709" spans="1:10" x14ac:dyDescent="0.25">
      <c r="A709" s="3" t="s">
        <v>6983</v>
      </c>
      <c r="B709" s="3" t="s">
        <v>6984</v>
      </c>
      <c r="C709" s="3" t="s">
        <v>6985</v>
      </c>
      <c r="D709" s="3" t="s">
        <v>1128</v>
      </c>
      <c r="E709" s="3">
        <v>708</v>
      </c>
      <c r="F709" s="3" t="s">
        <v>719</v>
      </c>
      <c r="G709" s="3" t="s">
        <v>1093</v>
      </c>
      <c r="H709" s="4" t="s">
        <v>1198</v>
      </c>
      <c r="I709" s="3" t="s">
        <v>1179</v>
      </c>
      <c r="J709" s="7"/>
    </row>
    <row r="710" spans="1:10" x14ac:dyDescent="0.25">
      <c r="A710" s="3" t="s">
        <v>6983</v>
      </c>
      <c r="B710" s="3" t="s">
        <v>6984</v>
      </c>
      <c r="C710" s="3" t="s">
        <v>6985</v>
      </c>
      <c r="D710" s="3" t="s">
        <v>1128</v>
      </c>
      <c r="E710" s="3">
        <v>709</v>
      </c>
      <c r="F710" s="3" t="s">
        <v>720</v>
      </c>
      <c r="G710" s="3" t="s">
        <v>9</v>
      </c>
      <c r="H710" s="4" t="s">
        <v>1199</v>
      </c>
      <c r="I710" s="3" t="s">
        <v>1179</v>
      </c>
      <c r="J710" s="7"/>
    </row>
    <row r="711" spans="1:10" x14ac:dyDescent="0.25">
      <c r="A711" s="3" t="s">
        <v>6983</v>
      </c>
      <c r="B711" s="3" t="s">
        <v>6984</v>
      </c>
      <c r="C711" s="3" t="s">
        <v>6985</v>
      </c>
      <c r="D711" s="3" t="s">
        <v>1128</v>
      </c>
      <c r="E711" s="3">
        <v>710</v>
      </c>
      <c r="F711" s="3" t="s">
        <v>721</v>
      </c>
      <c r="G711" s="3" t="s">
        <v>1093</v>
      </c>
      <c r="H711" s="4" t="s">
        <v>1295</v>
      </c>
      <c r="I711" s="3" t="s">
        <v>1179</v>
      </c>
      <c r="J711" s="7"/>
    </row>
    <row r="712" spans="1:10" x14ac:dyDescent="0.25">
      <c r="A712" s="3" t="s">
        <v>6983</v>
      </c>
      <c r="B712" s="3" t="s">
        <v>6984</v>
      </c>
      <c r="C712" s="3" t="s">
        <v>6985</v>
      </c>
      <c r="D712" s="3" t="s">
        <v>1128</v>
      </c>
      <c r="E712" s="3">
        <v>711</v>
      </c>
      <c r="F712" s="3" t="s">
        <v>722</v>
      </c>
      <c r="G712" s="3" t="s">
        <v>1093</v>
      </c>
      <c r="H712" s="4" t="s">
        <v>1296</v>
      </c>
      <c r="I712" s="3" t="s">
        <v>1179</v>
      </c>
      <c r="J712" s="7"/>
    </row>
    <row r="713" spans="1:10" x14ac:dyDescent="0.25">
      <c r="A713" s="3" t="s">
        <v>6983</v>
      </c>
      <c r="B713" s="3" t="s">
        <v>6984</v>
      </c>
      <c r="C713" s="3" t="s">
        <v>6985</v>
      </c>
      <c r="D713" s="3" t="s">
        <v>1128</v>
      </c>
      <c r="E713" s="3">
        <v>712</v>
      </c>
      <c r="F713" s="3" t="s">
        <v>723</v>
      </c>
      <c r="G713" s="3" t="s">
        <v>19</v>
      </c>
      <c r="H713" s="4" t="s">
        <v>1190</v>
      </c>
      <c r="I713" s="3" t="s">
        <v>1179</v>
      </c>
      <c r="J713" s="7"/>
    </row>
    <row r="714" spans="1:10" ht="14.45" customHeight="1" x14ac:dyDescent="0.25">
      <c r="A714" s="3" t="s">
        <v>6983</v>
      </c>
      <c r="B714" s="3" t="s">
        <v>6984</v>
      </c>
      <c r="C714" s="3" t="s">
        <v>6985</v>
      </c>
      <c r="D714" s="3" t="s">
        <v>1129</v>
      </c>
      <c r="E714" s="3">
        <v>713</v>
      </c>
      <c r="F714" s="3" t="s">
        <v>724</v>
      </c>
      <c r="G714" s="3" t="s">
        <v>4</v>
      </c>
      <c r="H714" s="4" t="s">
        <v>1180</v>
      </c>
      <c r="I714" s="3" t="s">
        <v>1179</v>
      </c>
      <c r="J714" s="7"/>
    </row>
    <row r="715" spans="1:10" x14ac:dyDescent="0.25">
      <c r="A715" s="3" t="s">
        <v>6983</v>
      </c>
      <c r="B715" s="3" t="s">
        <v>6984</v>
      </c>
      <c r="C715" s="3" t="s">
        <v>6985</v>
      </c>
      <c r="D715" s="3" t="s">
        <v>1129</v>
      </c>
      <c r="E715" s="3">
        <v>714</v>
      </c>
      <c r="F715" s="3" t="s">
        <v>725</v>
      </c>
      <c r="G715" s="3" t="s">
        <v>4</v>
      </c>
      <c r="H715" s="4" t="s">
        <v>1200</v>
      </c>
      <c r="I715" s="3" t="s">
        <v>1179</v>
      </c>
      <c r="J715" s="7"/>
    </row>
    <row r="716" spans="1:10" x14ac:dyDescent="0.25">
      <c r="A716" s="3" t="s">
        <v>6983</v>
      </c>
      <c r="B716" s="3" t="s">
        <v>6984</v>
      </c>
      <c r="C716" s="3" t="s">
        <v>6985</v>
      </c>
      <c r="D716" s="3" t="s">
        <v>1129</v>
      </c>
      <c r="E716" s="3">
        <v>715</v>
      </c>
      <c r="F716" s="3" t="s">
        <v>726</v>
      </c>
      <c r="G716" s="3" t="s">
        <v>1093</v>
      </c>
      <c r="H716" s="4" t="s">
        <v>1201</v>
      </c>
      <c r="I716" s="3" t="s">
        <v>1179</v>
      </c>
      <c r="J716" s="7"/>
    </row>
    <row r="717" spans="1:10" x14ac:dyDescent="0.25">
      <c r="A717" s="3" t="s">
        <v>6983</v>
      </c>
      <c r="B717" s="3" t="s">
        <v>6984</v>
      </c>
      <c r="C717" s="3" t="s">
        <v>6985</v>
      </c>
      <c r="D717" s="3" t="s">
        <v>1129</v>
      </c>
      <c r="E717" s="3">
        <v>716</v>
      </c>
      <c r="F717" s="3" t="s">
        <v>727</v>
      </c>
      <c r="G717" s="3" t="s">
        <v>1093</v>
      </c>
      <c r="H717" s="4" t="s">
        <v>1202</v>
      </c>
      <c r="I717" s="3" t="s">
        <v>1179</v>
      </c>
      <c r="J717" s="7"/>
    </row>
    <row r="718" spans="1:10" x14ac:dyDescent="0.25">
      <c r="A718" s="3" t="s">
        <v>6983</v>
      </c>
      <c r="B718" s="3" t="s">
        <v>6984</v>
      </c>
      <c r="C718" s="3" t="s">
        <v>6985</v>
      </c>
      <c r="D718" s="3" t="s">
        <v>1129</v>
      </c>
      <c r="E718" s="3">
        <v>717</v>
      </c>
      <c r="F718" s="3" t="s">
        <v>728</v>
      </c>
      <c r="G718" s="3" t="s">
        <v>1093</v>
      </c>
      <c r="H718" s="4" t="s">
        <v>1203</v>
      </c>
      <c r="I718" s="3" t="s">
        <v>1179</v>
      </c>
      <c r="J718" s="7"/>
    </row>
    <row r="719" spans="1:10" x14ac:dyDescent="0.25">
      <c r="A719" s="3" t="s">
        <v>6983</v>
      </c>
      <c r="B719" s="3" t="s">
        <v>6984</v>
      </c>
      <c r="C719" s="3" t="s">
        <v>6985</v>
      </c>
      <c r="D719" s="3" t="s">
        <v>1129</v>
      </c>
      <c r="E719" s="3">
        <v>718</v>
      </c>
      <c r="F719" s="3" t="s">
        <v>729</v>
      </c>
      <c r="G719" s="3" t="s">
        <v>1093</v>
      </c>
      <c r="H719" s="4" t="s">
        <v>1204</v>
      </c>
      <c r="I719" s="3" t="s">
        <v>1179</v>
      </c>
      <c r="J719" s="7"/>
    </row>
    <row r="720" spans="1:10" x14ac:dyDescent="0.25">
      <c r="A720" s="3" t="s">
        <v>6983</v>
      </c>
      <c r="B720" s="3" t="s">
        <v>6984</v>
      </c>
      <c r="C720" s="3" t="s">
        <v>6985</v>
      </c>
      <c r="D720" s="3" t="s">
        <v>1129</v>
      </c>
      <c r="E720" s="3">
        <v>719</v>
      </c>
      <c r="F720" s="3" t="s">
        <v>730</v>
      </c>
      <c r="G720" s="3" t="s">
        <v>9</v>
      </c>
      <c r="H720" s="4" t="s">
        <v>1205</v>
      </c>
      <c r="I720" s="3" t="s">
        <v>1179</v>
      </c>
      <c r="J720" s="7"/>
    </row>
    <row r="721" spans="1:10" x14ac:dyDescent="0.25">
      <c r="A721" s="3" t="s">
        <v>6983</v>
      </c>
      <c r="B721" s="3" t="s">
        <v>6984</v>
      </c>
      <c r="C721" s="3" t="s">
        <v>6985</v>
      </c>
      <c r="D721" s="3" t="s">
        <v>1129</v>
      </c>
      <c r="E721" s="3">
        <v>720</v>
      </c>
      <c r="F721" s="3" t="s">
        <v>731</v>
      </c>
      <c r="G721" s="3" t="s">
        <v>1093</v>
      </c>
      <c r="H721" s="4" t="s">
        <v>1206</v>
      </c>
      <c r="I721" s="3" t="s">
        <v>1179</v>
      </c>
      <c r="J721" s="7"/>
    </row>
    <row r="722" spans="1:10" x14ac:dyDescent="0.25">
      <c r="A722" s="3" t="s">
        <v>6983</v>
      </c>
      <c r="B722" s="3" t="s">
        <v>6984</v>
      </c>
      <c r="C722" s="3" t="s">
        <v>6985</v>
      </c>
      <c r="D722" s="3" t="s">
        <v>1129</v>
      </c>
      <c r="E722" s="3">
        <v>721</v>
      </c>
      <c r="F722" s="3" t="s">
        <v>732</v>
      </c>
      <c r="G722" s="3" t="s">
        <v>1093</v>
      </c>
      <c r="H722" s="4" t="s">
        <v>1207</v>
      </c>
      <c r="I722" s="3" t="s">
        <v>1179</v>
      </c>
      <c r="J722" s="7"/>
    </row>
    <row r="723" spans="1:10" x14ac:dyDescent="0.25">
      <c r="A723" s="3" t="s">
        <v>6983</v>
      </c>
      <c r="B723" s="3" t="s">
        <v>6984</v>
      </c>
      <c r="C723" s="3" t="s">
        <v>6985</v>
      </c>
      <c r="D723" s="3" t="s">
        <v>1129</v>
      </c>
      <c r="E723" s="3">
        <v>722</v>
      </c>
      <c r="F723" s="3" t="s">
        <v>733</v>
      </c>
      <c r="G723" s="3" t="s">
        <v>16</v>
      </c>
      <c r="H723" s="4" t="s">
        <v>1208</v>
      </c>
      <c r="I723" s="3" t="s">
        <v>1179</v>
      </c>
      <c r="J723" s="7"/>
    </row>
    <row r="724" spans="1:10" x14ac:dyDescent="0.25">
      <c r="A724" s="3" t="s">
        <v>6983</v>
      </c>
      <c r="B724" s="3" t="s">
        <v>6984</v>
      </c>
      <c r="C724" s="3" t="s">
        <v>6985</v>
      </c>
      <c r="D724" s="3" t="s">
        <v>1129</v>
      </c>
      <c r="E724" s="3">
        <v>723</v>
      </c>
      <c r="F724" s="3" t="s">
        <v>734</v>
      </c>
      <c r="G724" s="3" t="s">
        <v>16</v>
      </c>
      <c r="H724" s="4" t="s">
        <v>1209</v>
      </c>
      <c r="I724" s="3" t="s">
        <v>1179</v>
      </c>
      <c r="J724" s="7"/>
    </row>
    <row r="725" spans="1:10" x14ac:dyDescent="0.25">
      <c r="A725" s="3" t="s">
        <v>6983</v>
      </c>
      <c r="B725" s="3" t="s">
        <v>6984</v>
      </c>
      <c r="C725" s="3" t="s">
        <v>6985</v>
      </c>
      <c r="D725" s="3" t="s">
        <v>1129</v>
      </c>
      <c r="E725" s="3">
        <v>724</v>
      </c>
      <c r="F725" s="3" t="s">
        <v>735</v>
      </c>
      <c r="G725" s="3" t="s">
        <v>16</v>
      </c>
      <c r="H725" s="4" t="s">
        <v>1210</v>
      </c>
      <c r="I725" s="3" t="s">
        <v>1179</v>
      </c>
      <c r="J725" s="7"/>
    </row>
    <row r="726" spans="1:10" x14ac:dyDescent="0.25">
      <c r="A726" s="3" t="s">
        <v>6983</v>
      </c>
      <c r="B726" s="3" t="s">
        <v>6984</v>
      </c>
      <c r="C726" s="3" t="s">
        <v>6985</v>
      </c>
      <c r="D726" s="3" t="s">
        <v>1129</v>
      </c>
      <c r="E726" s="3">
        <v>725</v>
      </c>
      <c r="F726" s="3" t="s">
        <v>736</v>
      </c>
      <c r="G726" s="3" t="s">
        <v>17</v>
      </c>
      <c r="H726" s="4" t="s">
        <v>1211</v>
      </c>
      <c r="I726" s="3" t="s">
        <v>1179</v>
      </c>
      <c r="J726" s="7"/>
    </row>
    <row r="727" spans="1:10" x14ac:dyDescent="0.25">
      <c r="A727" s="3" t="s">
        <v>6983</v>
      </c>
      <c r="B727" s="3" t="s">
        <v>6984</v>
      </c>
      <c r="C727" s="3" t="s">
        <v>6985</v>
      </c>
      <c r="D727" s="3" t="s">
        <v>1129</v>
      </c>
      <c r="E727" s="3">
        <v>726</v>
      </c>
      <c r="F727" s="3" t="s">
        <v>737</v>
      </c>
      <c r="G727" s="3" t="s">
        <v>1104</v>
      </c>
      <c r="H727" s="5" t="s">
        <v>1297</v>
      </c>
      <c r="I727" s="3" t="s">
        <v>1179</v>
      </c>
      <c r="J727" s="7"/>
    </row>
    <row r="728" spans="1:10" x14ac:dyDescent="0.25">
      <c r="A728" s="3" t="s">
        <v>6983</v>
      </c>
      <c r="B728" s="3" t="s">
        <v>6984</v>
      </c>
      <c r="C728" s="3" t="s">
        <v>6985</v>
      </c>
      <c r="D728" s="3" t="s">
        <v>1129</v>
      </c>
      <c r="E728" s="3">
        <v>727</v>
      </c>
      <c r="F728" s="3" t="s">
        <v>738</v>
      </c>
      <c r="G728" s="3" t="s">
        <v>1093</v>
      </c>
      <c r="H728" s="4" t="s">
        <v>1213</v>
      </c>
      <c r="I728" s="3" t="s">
        <v>1179</v>
      </c>
      <c r="J728" s="7"/>
    </row>
    <row r="729" spans="1:10" x14ac:dyDescent="0.25">
      <c r="A729" s="3" t="s">
        <v>6983</v>
      </c>
      <c r="B729" s="3" t="s">
        <v>6984</v>
      </c>
      <c r="C729" s="3" t="s">
        <v>6985</v>
      </c>
      <c r="D729" s="3" t="s">
        <v>1129</v>
      </c>
      <c r="E729" s="3">
        <v>728</v>
      </c>
      <c r="F729" s="3" t="s">
        <v>739</v>
      </c>
      <c r="G729" s="3" t="s">
        <v>9</v>
      </c>
      <c r="H729" s="4" t="s">
        <v>1212</v>
      </c>
      <c r="I729" s="3" t="s">
        <v>1179</v>
      </c>
      <c r="J729" s="7"/>
    </row>
    <row r="730" spans="1:10" x14ac:dyDescent="0.25">
      <c r="A730" s="3" t="s">
        <v>6983</v>
      </c>
      <c r="B730" s="3" t="s">
        <v>6984</v>
      </c>
      <c r="C730" s="3" t="s">
        <v>6985</v>
      </c>
      <c r="D730" s="3" t="s">
        <v>1130</v>
      </c>
      <c r="E730" s="3">
        <v>729</v>
      </c>
      <c r="F730" s="3" t="s">
        <v>740</v>
      </c>
      <c r="G730" s="3" t="s">
        <v>1093</v>
      </c>
      <c r="H730" s="4" t="s">
        <v>6817</v>
      </c>
    </row>
    <row r="731" spans="1:10" x14ac:dyDescent="0.25">
      <c r="A731" s="3" t="s">
        <v>6983</v>
      </c>
      <c r="B731" s="3" t="s">
        <v>6984</v>
      </c>
      <c r="C731" s="3" t="s">
        <v>6985</v>
      </c>
      <c r="D731" s="3" t="s">
        <v>1130</v>
      </c>
      <c r="E731" s="3">
        <v>730</v>
      </c>
      <c r="F731" s="3" t="s">
        <v>741</v>
      </c>
      <c r="G731" s="3" t="s">
        <v>1093</v>
      </c>
      <c r="H731" s="4" t="s">
        <v>6818</v>
      </c>
    </row>
    <row r="732" spans="1:10" x14ac:dyDescent="0.25">
      <c r="A732" s="3" t="s">
        <v>6983</v>
      </c>
      <c r="B732" s="3" t="s">
        <v>6984</v>
      </c>
      <c r="C732" s="3" t="s">
        <v>6985</v>
      </c>
      <c r="D732" s="3" t="s">
        <v>1130</v>
      </c>
      <c r="E732" s="3">
        <v>731</v>
      </c>
      <c r="F732" s="3" t="s">
        <v>742</v>
      </c>
      <c r="G732" s="3" t="s">
        <v>17</v>
      </c>
      <c r="H732" s="4" t="s">
        <v>6819</v>
      </c>
    </row>
    <row r="733" spans="1:10" x14ac:dyDescent="0.25">
      <c r="A733" s="3" t="s">
        <v>6983</v>
      </c>
      <c r="B733" s="3" t="s">
        <v>6984</v>
      </c>
      <c r="C733" s="3" t="s">
        <v>6985</v>
      </c>
      <c r="D733" s="3" t="s">
        <v>1130</v>
      </c>
      <c r="E733" s="3">
        <v>732</v>
      </c>
      <c r="F733" s="3" t="s">
        <v>743</v>
      </c>
      <c r="G733" s="3" t="s">
        <v>1093</v>
      </c>
      <c r="H733" s="4" t="s">
        <v>1215</v>
      </c>
    </row>
    <row r="734" spans="1:10" x14ac:dyDescent="0.25">
      <c r="A734" s="3" t="s">
        <v>6983</v>
      </c>
      <c r="B734" s="3" t="s">
        <v>6984</v>
      </c>
      <c r="C734" s="3" t="s">
        <v>6985</v>
      </c>
      <c r="D734" s="3" t="s">
        <v>1130</v>
      </c>
      <c r="E734" s="3">
        <v>733</v>
      </c>
      <c r="F734" s="3" t="s">
        <v>744</v>
      </c>
      <c r="G734" s="3" t="s">
        <v>1093</v>
      </c>
      <c r="H734" s="4" t="s">
        <v>6817</v>
      </c>
    </row>
    <row r="735" spans="1:10" x14ac:dyDescent="0.25">
      <c r="A735" s="3" t="s">
        <v>6983</v>
      </c>
      <c r="B735" s="3" t="s">
        <v>6984</v>
      </c>
      <c r="C735" s="3" t="s">
        <v>6985</v>
      </c>
      <c r="D735" s="3" t="s">
        <v>1130</v>
      </c>
      <c r="E735" s="3">
        <v>734</v>
      </c>
      <c r="F735" s="3" t="s">
        <v>745</v>
      </c>
      <c r="G735" s="3" t="s">
        <v>1093</v>
      </c>
      <c r="H735" s="4" t="s">
        <v>6823</v>
      </c>
    </row>
    <row r="736" spans="1:10" x14ac:dyDescent="0.25">
      <c r="A736" s="3" t="s">
        <v>6983</v>
      </c>
      <c r="B736" s="3" t="s">
        <v>6984</v>
      </c>
      <c r="C736" s="3" t="s">
        <v>6985</v>
      </c>
      <c r="D736" s="3" t="s">
        <v>1130</v>
      </c>
      <c r="E736" s="3">
        <v>735</v>
      </c>
      <c r="F736" s="3" t="s">
        <v>746</v>
      </c>
      <c r="G736" s="3" t="s">
        <v>17</v>
      </c>
      <c r="H736" s="4" t="s">
        <v>6819</v>
      </c>
    </row>
    <row r="737" spans="1:8" x14ac:dyDescent="0.25">
      <c r="A737" s="3" t="s">
        <v>6983</v>
      </c>
      <c r="B737" s="3" t="s">
        <v>6984</v>
      </c>
      <c r="C737" s="3" t="s">
        <v>6985</v>
      </c>
      <c r="D737" s="3" t="s">
        <v>1130</v>
      </c>
      <c r="E737" s="3">
        <v>736</v>
      </c>
      <c r="F737" s="3" t="s">
        <v>747</v>
      </c>
      <c r="G737" s="3" t="s">
        <v>1093</v>
      </c>
      <c r="H737" s="4" t="s">
        <v>1216</v>
      </c>
    </row>
    <row r="738" spans="1:8" x14ac:dyDescent="0.25">
      <c r="A738" s="3" t="s">
        <v>6983</v>
      </c>
      <c r="B738" s="3" t="s">
        <v>6984</v>
      </c>
      <c r="C738" s="3" t="s">
        <v>6985</v>
      </c>
      <c r="D738" s="3" t="s">
        <v>1130</v>
      </c>
      <c r="E738" s="3">
        <v>737</v>
      </c>
      <c r="F738" s="3" t="s">
        <v>748</v>
      </c>
      <c r="G738" s="3" t="s">
        <v>1093</v>
      </c>
      <c r="H738" s="4" t="s">
        <v>6817</v>
      </c>
    </row>
    <row r="739" spans="1:8" x14ac:dyDescent="0.25">
      <c r="A739" s="3" t="s">
        <v>6983</v>
      </c>
      <c r="B739" s="3" t="s">
        <v>6984</v>
      </c>
      <c r="C739" s="3" t="s">
        <v>6985</v>
      </c>
      <c r="D739" s="3" t="s">
        <v>1130</v>
      </c>
      <c r="E739" s="3">
        <v>738</v>
      </c>
      <c r="F739" s="3" t="s">
        <v>749</v>
      </c>
      <c r="G739" s="3" t="s">
        <v>1093</v>
      </c>
      <c r="H739" s="4" t="s">
        <v>6824</v>
      </c>
    </row>
    <row r="740" spans="1:8" x14ac:dyDescent="0.25">
      <c r="A740" s="3" t="s">
        <v>6983</v>
      </c>
      <c r="B740" s="3" t="s">
        <v>6984</v>
      </c>
      <c r="C740" s="3" t="s">
        <v>6985</v>
      </c>
      <c r="D740" s="3" t="s">
        <v>1130</v>
      </c>
      <c r="E740" s="3">
        <v>739</v>
      </c>
      <c r="F740" s="3" t="s">
        <v>750</v>
      </c>
      <c r="G740" s="3" t="s">
        <v>17</v>
      </c>
      <c r="H740" s="4" t="s">
        <v>6819</v>
      </c>
    </row>
    <row r="741" spans="1:8" x14ac:dyDescent="0.25">
      <c r="A741" s="3" t="s">
        <v>6983</v>
      </c>
      <c r="B741" s="3" t="s">
        <v>6984</v>
      </c>
      <c r="C741" s="3" t="s">
        <v>6985</v>
      </c>
      <c r="D741" s="3" t="s">
        <v>1130</v>
      </c>
      <c r="E741" s="3">
        <v>740</v>
      </c>
      <c r="F741" s="3" t="s">
        <v>751</v>
      </c>
      <c r="G741" s="3" t="s">
        <v>1093</v>
      </c>
      <c r="H741" s="4" t="s">
        <v>1217</v>
      </c>
    </row>
    <row r="742" spans="1:8" x14ac:dyDescent="0.25">
      <c r="A742" s="3" t="s">
        <v>6983</v>
      </c>
      <c r="B742" s="3" t="s">
        <v>6984</v>
      </c>
      <c r="C742" s="3" t="s">
        <v>6985</v>
      </c>
      <c r="D742" s="3" t="s">
        <v>1130</v>
      </c>
      <c r="E742" s="3">
        <v>741</v>
      </c>
      <c r="F742" s="3" t="s">
        <v>752</v>
      </c>
      <c r="G742" s="3" t="s">
        <v>1093</v>
      </c>
      <c r="H742" s="4" t="s">
        <v>6817</v>
      </c>
    </row>
    <row r="743" spans="1:8" x14ac:dyDescent="0.25">
      <c r="A743" s="3" t="s">
        <v>6983</v>
      </c>
      <c r="B743" s="3" t="s">
        <v>6984</v>
      </c>
      <c r="C743" s="3" t="s">
        <v>6985</v>
      </c>
      <c r="D743" s="3" t="s">
        <v>1130</v>
      </c>
      <c r="E743" s="3">
        <v>742</v>
      </c>
      <c r="F743" s="3" t="s">
        <v>753</v>
      </c>
      <c r="G743" s="3" t="s">
        <v>1093</v>
      </c>
      <c r="H743" s="4" t="s">
        <v>6825</v>
      </c>
    </row>
    <row r="744" spans="1:8" x14ac:dyDescent="0.25">
      <c r="A744" s="3" t="s">
        <v>6983</v>
      </c>
      <c r="B744" s="3" t="s">
        <v>6984</v>
      </c>
      <c r="C744" s="3" t="s">
        <v>6985</v>
      </c>
      <c r="D744" s="3" t="s">
        <v>1130</v>
      </c>
      <c r="E744" s="3">
        <v>743</v>
      </c>
      <c r="F744" s="3" t="s">
        <v>754</v>
      </c>
      <c r="G744" s="3" t="s">
        <v>17</v>
      </c>
      <c r="H744" s="4" t="s">
        <v>6819</v>
      </c>
    </row>
    <row r="745" spans="1:8" x14ac:dyDescent="0.25">
      <c r="A745" s="3" t="s">
        <v>6983</v>
      </c>
      <c r="B745" s="3" t="s">
        <v>6984</v>
      </c>
      <c r="C745" s="3" t="s">
        <v>6985</v>
      </c>
      <c r="D745" s="3" t="s">
        <v>1130</v>
      </c>
      <c r="E745" s="3">
        <v>744</v>
      </c>
      <c r="F745" s="3" t="s">
        <v>755</v>
      </c>
      <c r="G745" s="3" t="s">
        <v>1093</v>
      </c>
      <c r="H745" s="4" t="s">
        <v>1218</v>
      </c>
    </row>
    <row r="746" spans="1:8" x14ac:dyDescent="0.25">
      <c r="A746" s="3" t="s">
        <v>6983</v>
      </c>
      <c r="B746" s="3" t="s">
        <v>6984</v>
      </c>
      <c r="C746" s="3" t="s">
        <v>6985</v>
      </c>
      <c r="D746" s="3" t="s">
        <v>1130</v>
      </c>
      <c r="E746" s="3">
        <v>745</v>
      </c>
      <c r="F746" s="3" t="s">
        <v>756</v>
      </c>
      <c r="G746" s="3" t="s">
        <v>1093</v>
      </c>
      <c r="H746" s="4" t="s">
        <v>1219</v>
      </c>
    </row>
    <row r="747" spans="1:8" x14ac:dyDescent="0.25">
      <c r="A747" s="3" t="s">
        <v>6983</v>
      </c>
      <c r="B747" s="3" t="s">
        <v>6984</v>
      </c>
      <c r="C747" s="3" t="s">
        <v>6985</v>
      </c>
      <c r="D747" s="3" t="s">
        <v>1130</v>
      </c>
      <c r="E747" s="3">
        <v>746</v>
      </c>
      <c r="F747" s="3" t="s">
        <v>757</v>
      </c>
      <c r="G747" s="3" t="s">
        <v>17</v>
      </c>
      <c r="H747" s="4" t="s">
        <v>1220</v>
      </c>
    </row>
    <row r="748" spans="1:8" x14ac:dyDescent="0.25">
      <c r="A748" s="3" t="s">
        <v>6983</v>
      </c>
      <c r="B748" s="3" t="s">
        <v>6984</v>
      </c>
      <c r="C748" s="3" t="s">
        <v>6985</v>
      </c>
      <c r="D748" s="3" t="s">
        <v>1130</v>
      </c>
      <c r="E748" s="3">
        <v>747</v>
      </c>
      <c r="F748" s="3" t="s">
        <v>758</v>
      </c>
      <c r="G748" s="3" t="s">
        <v>1093</v>
      </c>
      <c r="H748" s="4" t="s">
        <v>1214</v>
      </c>
    </row>
    <row r="749" spans="1:8" x14ac:dyDescent="0.25">
      <c r="A749" s="3" t="s">
        <v>6983</v>
      </c>
      <c r="B749" s="3" t="s">
        <v>6984</v>
      </c>
      <c r="C749" s="3" t="s">
        <v>6985</v>
      </c>
      <c r="D749" s="3" t="s">
        <v>1130</v>
      </c>
      <c r="E749" s="3">
        <v>748</v>
      </c>
      <c r="F749" s="3" t="s">
        <v>759</v>
      </c>
      <c r="G749" s="3" t="s">
        <v>4</v>
      </c>
      <c r="H749" s="4" t="s">
        <v>1404</v>
      </c>
    </row>
    <row r="750" spans="1:8" x14ac:dyDescent="0.25">
      <c r="A750" s="3" t="s">
        <v>6983</v>
      </c>
      <c r="B750" s="3" t="s">
        <v>6984</v>
      </c>
      <c r="C750" s="3" t="s">
        <v>6985</v>
      </c>
      <c r="D750" s="3" t="s">
        <v>1130</v>
      </c>
      <c r="E750" s="3">
        <v>749</v>
      </c>
      <c r="F750" s="3" t="s">
        <v>760</v>
      </c>
      <c r="G750" s="3" t="s">
        <v>4</v>
      </c>
      <c r="H750" s="4" t="s">
        <v>1405</v>
      </c>
    </row>
    <row r="751" spans="1:8" x14ac:dyDescent="0.25">
      <c r="A751" s="3" t="s">
        <v>6983</v>
      </c>
      <c r="B751" s="3" t="s">
        <v>6984</v>
      </c>
      <c r="C751" s="3" t="s">
        <v>6985</v>
      </c>
      <c r="D751" s="3" t="s">
        <v>1131</v>
      </c>
      <c r="E751" s="3">
        <v>750</v>
      </c>
      <c r="F751" s="3" t="s">
        <v>761</v>
      </c>
      <c r="G751" s="3" t="s">
        <v>1093</v>
      </c>
      <c r="H751" s="4" t="s">
        <v>1221</v>
      </c>
    </row>
    <row r="752" spans="1:8" x14ac:dyDescent="0.25">
      <c r="A752" s="3" t="s">
        <v>6983</v>
      </c>
      <c r="B752" s="3" t="s">
        <v>6984</v>
      </c>
      <c r="C752" s="3" t="s">
        <v>6985</v>
      </c>
      <c r="D752" s="3" t="s">
        <v>1133</v>
      </c>
      <c r="E752" s="3">
        <v>751</v>
      </c>
      <c r="F752" s="3" t="s">
        <v>762</v>
      </c>
      <c r="G752" s="3" t="s">
        <v>13</v>
      </c>
      <c r="H752" s="4" t="s">
        <v>1222</v>
      </c>
    </row>
    <row r="753" spans="1:8" x14ac:dyDescent="0.25">
      <c r="A753" s="3" t="s">
        <v>6983</v>
      </c>
      <c r="B753" s="3" t="s">
        <v>6984</v>
      </c>
      <c r="C753" s="3" t="s">
        <v>6985</v>
      </c>
      <c r="D753" s="3" t="s">
        <v>1133</v>
      </c>
      <c r="E753" s="3">
        <v>752</v>
      </c>
      <c r="F753" s="3" t="s">
        <v>763</v>
      </c>
      <c r="G753" s="3" t="s">
        <v>9</v>
      </c>
      <c r="H753" s="4" t="s">
        <v>1223</v>
      </c>
    </row>
    <row r="754" spans="1:8" x14ac:dyDescent="0.25">
      <c r="A754" s="3" t="s">
        <v>6983</v>
      </c>
      <c r="B754" s="3" t="s">
        <v>6984</v>
      </c>
      <c r="C754" s="3" t="s">
        <v>6985</v>
      </c>
      <c r="D754" s="3" t="s">
        <v>1133</v>
      </c>
      <c r="E754" s="3">
        <v>753</v>
      </c>
      <c r="F754" s="3" t="s">
        <v>764</v>
      </c>
      <c r="G754" s="3" t="s">
        <v>13</v>
      </c>
      <c r="H754" s="4" t="s">
        <v>6702</v>
      </c>
    </row>
    <row r="755" spans="1:8" x14ac:dyDescent="0.25">
      <c r="A755" s="3" t="s">
        <v>6983</v>
      </c>
      <c r="B755" s="3" t="s">
        <v>6984</v>
      </c>
      <c r="C755" s="3" t="s">
        <v>6985</v>
      </c>
      <c r="D755" s="3" t="s">
        <v>1133</v>
      </c>
      <c r="E755" s="3">
        <v>754</v>
      </c>
      <c r="F755" s="3" t="s">
        <v>765</v>
      </c>
      <c r="G755" s="3" t="s">
        <v>13</v>
      </c>
      <c r="H755" s="3" t="s">
        <v>6703</v>
      </c>
    </row>
    <row r="756" spans="1:8" x14ac:dyDescent="0.25">
      <c r="A756" s="3" t="s">
        <v>6983</v>
      </c>
      <c r="B756" s="3" t="s">
        <v>6984</v>
      </c>
      <c r="C756" s="3" t="s">
        <v>6985</v>
      </c>
      <c r="D756" s="3" t="s">
        <v>1133</v>
      </c>
      <c r="E756" s="3">
        <v>755</v>
      </c>
      <c r="F756" s="3" t="s">
        <v>766</v>
      </c>
      <c r="G756" s="3" t="s">
        <v>13</v>
      </c>
      <c r="H756" s="4" t="s">
        <v>6698</v>
      </c>
    </row>
    <row r="757" spans="1:8" x14ac:dyDescent="0.25">
      <c r="A757" s="3" t="s">
        <v>6983</v>
      </c>
      <c r="B757" s="3" t="s">
        <v>6984</v>
      </c>
      <c r="C757" s="3" t="s">
        <v>6985</v>
      </c>
      <c r="D757" s="3" t="s">
        <v>1133</v>
      </c>
      <c r="E757" s="3">
        <v>756</v>
      </c>
      <c r="F757" s="3" t="s">
        <v>767</v>
      </c>
      <c r="G757" s="3" t="s">
        <v>9</v>
      </c>
      <c r="H757" s="4" t="s">
        <v>6699</v>
      </c>
    </row>
    <row r="758" spans="1:8" x14ac:dyDescent="0.25">
      <c r="A758" s="3" t="s">
        <v>6983</v>
      </c>
      <c r="B758" s="3" t="s">
        <v>6984</v>
      </c>
      <c r="C758" s="3" t="s">
        <v>6985</v>
      </c>
      <c r="D758" s="3" t="s">
        <v>1133</v>
      </c>
      <c r="E758" s="3">
        <v>757</v>
      </c>
      <c r="F758" s="3" t="s">
        <v>768</v>
      </c>
      <c r="G758" s="3" t="s">
        <v>13</v>
      </c>
      <c r="H758" s="4" t="s">
        <v>6700</v>
      </c>
    </row>
    <row r="759" spans="1:8" x14ac:dyDescent="0.25">
      <c r="A759" s="3" t="s">
        <v>6983</v>
      </c>
      <c r="B759" s="3" t="s">
        <v>6984</v>
      </c>
      <c r="C759" s="3" t="s">
        <v>6985</v>
      </c>
      <c r="D759" s="3" t="s">
        <v>1133</v>
      </c>
      <c r="E759" s="3">
        <v>758</v>
      </c>
      <c r="F759" s="3" t="s">
        <v>769</v>
      </c>
      <c r="G759" s="3" t="s">
        <v>9</v>
      </c>
      <c r="H759" s="4" t="s">
        <v>6701</v>
      </c>
    </row>
    <row r="760" spans="1:8" x14ac:dyDescent="0.25">
      <c r="A760" s="3" t="s">
        <v>6983</v>
      </c>
      <c r="B760" s="3" t="s">
        <v>6984</v>
      </c>
      <c r="C760" s="3" t="s">
        <v>6985</v>
      </c>
      <c r="D760" s="3" t="s">
        <v>1133</v>
      </c>
      <c r="E760" s="3">
        <v>759</v>
      </c>
      <c r="F760" s="3" t="s">
        <v>770</v>
      </c>
      <c r="G760" s="3" t="s">
        <v>13</v>
      </c>
      <c r="H760" s="4" t="s">
        <v>1224</v>
      </c>
    </row>
    <row r="761" spans="1:8" x14ac:dyDescent="0.25">
      <c r="A761" s="3" t="s">
        <v>6983</v>
      </c>
      <c r="B761" s="3" t="s">
        <v>6984</v>
      </c>
      <c r="C761" s="3" t="s">
        <v>6985</v>
      </c>
      <c r="D761" s="3" t="s">
        <v>1133</v>
      </c>
      <c r="E761" s="3">
        <v>760</v>
      </c>
      <c r="F761" s="3" t="s">
        <v>771</v>
      </c>
      <c r="G761" s="3" t="s">
        <v>9</v>
      </c>
      <c r="H761" s="4" t="s">
        <v>1225</v>
      </c>
    </row>
    <row r="762" spans="1:8" x14ac:dyDescent="0.25">
      <c r="A762" s="3" t="s">
        <v>6983</v>
      </c>
      <c r="B762" s="3" t="s">
        <v>6984</v>
      </c>
      <c r="C762" s="3" t="s">
        <v>6985</v>
      </c>
      <c r="D762" s="3" t="s">
        <v>1133</v>
      </c>
      <c r="E762" s="3">
        <v>761</v>
      </c>
      <c r="F762" s="3" t="s">
        <v>772</v>
      </c>
      <c r="G762" s="3" t="s">
        <v>13</v>
      </c>
      <c r="H762" s="4" t="s">
        <v>6704</v>
      </c>
    </row>
    <row r="763" spans="1:8" x14ac:dyDescent="0.25">
      <c r="A763" s="3" t="s">
        <v>6983</v>
      </c>
      <c r="B763" s="3" t="s">
        <v>6984</v>
      </c>
      <c r="C763" s="3" t="s">
        <v>6985</v>
      </c>
      <c r="D763" s="3" t="s">
        <v>1133</v>
      </c>
      <c r="E763" s="3">
        <v>762</v>
      </c>
      <c r="F763" s="3" t="s">
        <v>773</v>
      </c>
      <c r="G763" s="3" t="s">
        <v>13</v>
      </c>
      <c r="H763" s="3" t="s">
        <v>6705</v>
      </c>
    </row>
    <row r="764" spans="1:8" x14ac:dyDescent="0.25">
      <c r="A764" s="3" t="s">
        <v>6983</v>
      </c>
      <c r="B764" s="3" t="s">
        <v>6984</v>
      </c>
      <c r="C764" s="3" t="s">
        <v>6985</v>
      </c>
      <c r="D764" s="3" t="s">
        <v>1133</v>
      </c>
      <c r="E764" s="3">
        <v>763</v>
      </c>
      <c r="F764" s="3" t="s">
        <v>774</v>
      </c>
      <c r="G764" s="3" t="s">
        <v>13</v>
      </c>
      <c r="H764" s="4" t="s">
        <v>6706</v>
      </c>
    </row>
    <row r="765" spans="1:8" x14ac:dyDescent="0.25">
      <c r="A765" s="3" t="s">
        <v>6983</v>
      </c>
      <c r="B765" s="3" t="s">
        <v>6984</v>
      </c>
      <c r="C765" s="3" t="s">
        <v>6985</v>
      </c>
      <c r="D765" s="3" t="s">
        <v>1133</v>
      </c>
      <c r="E765" s="3">
        <v>764</v>
      </c>
      <c r="F765" s="3" t="s">
        <v>775</v>
      </c>
      <c r="G765" s="3" t="s">
        <v>9</v>
      </c>
      <c r="H765" s="4" t="s">
        <v>6707</v>
      </c>
    </row>
    <row r="766" spans="1:8" x14ac:dyDescent="0.25">
      <c r="A766" s="3" t="s">
        <v>6983</v>
      </c>
      <c r="B766" s="3" t="s">
        <v>6984</v>
      </c>
      <c r="C766" s="3" t="s">
        <v>6985</v>
      </c>
      <c r="D766" s="3" t="s">
        <v>1133</v>
      </c>
      <c r="E766" s="3">
        <v>765</v>
      </c>
      <c r="F766" s="3" t="s">
        <v>776</v>
      </c>
      <c r="G766" s="3" t="s">
        <v>13</v>
      </c>
      <c r="H766" s="4" t="s">
        <v>6708</v>
      </c>
    </row>
    <row r="767" spans="1:8" x14ac:dyDescent="0.25">
      <c r="A767" s="3" t="s">
        <v>6983</v>
      </c>
      <c r="B767" s="3" t="s">
        <v>6984</v>
      </c>
      <c r="C767" s="3" t="s">
        <v>6985</v>
      </c>
      <c r="D767" s="3" t="s">
        <v>1133</v>
      </c>
      <c r="E767" s="3">
        <v>766</v>
      </c>
      <c r="F767" s="3" t="s">
        <v>777</v>
      </c>
      <c r="G767" s="3" t="s">
        <v>9</v>
      </c>
      <c r="H767" s="4" t="s">
        <v>6709</v>
      </c>
    </row>
    <row r="768" spans="1:8" x14ac:dyDescent="0.25">
      <c r="A768" s="3" t="s">
        <v>6983</v>
      </c>
      <c r="B768" s="3" t="s">
        <v>6984</v>
      </c>
      <c r="C768" s="3" t="s">
        <v>6985</v>
      </c>
      <c r="D768" s="3" t="s">
        <v>1133</v>
      </c>
      <c r="E768" s="3">
        <v>767</v>
      </c>
      <c r="F768" s="3" t="s">
        <v>778</v>
      </c>
      <c r="G768" s="3" t="s">
        <v>13</v>
      </c>
      <c r="H768" s="4" t="s">
        <v>6710</v>
      </c>
    </row>
    <row r="769" spans="1:8" x14ac:dyDescent="0.25">
      <c r="A769" s="3" t="s">
        <v>6983</v>
      </c>
      <c r="B769" s="3" t="s">
        <v>6984</v>
      </c>
      <c r="C769" s="3" t="s">
        <v>6985</v>
      </c>
      <c r="D769" s="3" t="s">
        <v>1133</v>
      </c>
      <c r="E769" s="3">
        <v>768</v>
      </c>
      <c r="F769" s="3" t="s">
        <v>779</v>
      </c>
      <c r="G769" s="3" t="s">
        <v>9</v>
      </c>
      <c r="H769" s="4" t="s">
        <v>6711</v>
      </c>
    </row>
    <row r="770" spans="1:8" x14ac:dyDescent="0.25">
      <c r="A770" s="3" t="s">
        <v>6983</v>
      </c>
      <c r="B770" s="3" t="s">
        <v>6984</v>
      </c>
      <c r="C770" s="3" t="s">
        <v>6985</v>
      </c>
      <c r="D770" s="3" t="s">
        <v>1133</v>
      </c>
      <c r="E770" s="3">
        <v>769</v>
      </c>
      <c r="F770" s="3" t="s">
        <v>780</v>
      </c>
      <c r="G770" s="3" t="s">
        <v>13</v>
      </c>
      <c r="H770" s="4" t="s">
        <v>6712</v>
      </c>
    </row>
    <row r="771" spans="1:8" x14ac:dyDescent="0.25">
      <c r="A771" s="3" t="s">
        <v>6983</v>
      </c>
      <c r="B771" s="3" t="s">
        <v>6984</v>
      </c>
      <c r="C771" s="3" t="s">
        <v>6985</v>
      </c>
      <c r="D771" s="3" t="s">
        <v>1133</v>
      </c>
      <c r="E771" s="3">
        <v>770</v>
      </c>
      <c r="F771" s="3" t="s">
        <v>781</v>
      </c>
      <c r="G771" s="3" t="s">
        <v>9</v>
      </c>
      <c r="H771" s="4" t="s">
        <v>6713</v>
      </c>
    </row>
    <row r="772" spans="1:8" x14ac:dyDescent="0.25">
      <c r="A772" s="3" t="s">
        <v>6983</v>
      </c>
      <c r="B772" s="3" t="s">
        <v>6984</v>
      </c>
      <c r="C772" s="3" t="s">
        <v>6985</v>
      </c>
      <c r="D772" s="3" t="s">
        <v>1133</v>
      </c>
      <c r="E772" s="3">
        <v>771</v>
      </c>
      <c r="F772" s="3" t="s">
        <v>782</v>
      </c>
      <c r="G772" s="3" t="s">
        <v>13</v>
      </c>
      <c r="H772" s="4" t="s">
        <v>6714</v>
      </c>
    </row>
    <row r="773" spans="1:8" x14ac:dyDescent="0.25">
      <c r="A773" s="3" t="s">
        <v>6983</v>
      </c>
      <c r="B773" s="3" t="s">
        <v>6984</v>
      </c>
      <c r="C773" s="3" t="s">
        <v>6985</v>
      </c>
      <c r="D773" s="3" t="s">
        <v>1133</v>
      </c>
      <c r="E773" s="3">
        <v>772</v>
      </c>
      <c r="F773" s="3" t="s">
        <v>783</v>
      </c>
      <c r="G773" s="3" t="s">
        <v>13</v>
      </c>
      <c r="H773" s="4" t="s">
        <v>6715</v>
      </c>
    </row>
    <row r="774" spans="1:8" x14ac:dyDescent="0.25">
      <c r="A774" s="3" t="s">
        <v>6983</v>
      </c>
      <c r="B774" s="3" t="s">
        <v>6984</v>
      </c>
      <c r="C774" s="3" t="s">
        <v>6985</v>
      </c>
      <c r="D774" s="3" t="s">
        <v>1133</v>
      </c>
      <c r="E774" s="3">
        <v>773</v>
      </c>
      <c r="F774" s="3" t="s">
        <v>784</v>
      </c>
      <c r="G774" s="3" t="s">
        <v>13</v>
      </c>
      <c r="H774" s="4" t="s">
        <v>6716</v>
      </c>
    </row>
    <row r="775" spans="1:8" x14ac:dyDescent="0.25">
      <c r="A775" s="3" t="s">
        <v>6983</v>
      </c>
      <c r="B775" s="3" t="s">
        <v>6984</v>
      </c>
      <c r="C775" s="3" t="s">
        <v>6985</v>
      </c>
      <c r="D775" s="3" t="s">
        <v>1133</v>
      </c>
      <c r="E775" s="3">
        <v>774</v>
      </c>
      <c r="F775" s="3" t="s">
        <v>785</v>
      </c>
      <c r="G775" s="3" t="s">
        <v>13</v>
      </c>
      <c r="H775" s="4" t="s">
        <v>6717</v>
      </c>
    </row>
    <row r="776" spans="1:8" x14ac:dyDescent="0.25">
      <c r="A776" s="3" t="s">
        <v>6983</v>
      </c>
      <c r="B776" s="3" t="s">
        <v>6984</v>
      </c>
      <c r="C776" s="3" t="s">
        <v>6985</v>
      </c>
      <c r="D776" s="3" t="s">
        <v>1132</v>
      </c>
      <c r="E776" s="3">
        <v>775</v>
      </c>
      <c r="F776" s="3" t="s">
        <v>786</v>
      </c>
      <c r="G776" s="3" t="s">
        <v>1095</v>
      </c>
      <c r="H776" s="3" t="s">
        <v>1226</v>
      </c>
    </row>
    <row r="777" spans="1:8" x14ac:dyDescent="0.25">
      <c r="A777" s="3" t="s">
        <v>6983</v>
      </c>
      <c r="B777" s="3" t="s">
        <v>6984</v>
      </c>
      <c r="C777" s="3" t="s">
        <v>6985</v>
      </c>
      <c r="D777" s="3" t="s">
        <v>1132</v>
      </c>
      <c r="E777" s="3">
        <v>776</v>
      </c>
      <c r="F777" s="3" t="s">
        <v>787</v>
      </c>
      <c r="G777" s="3" t="s">
        <v>1097</v>
      </c>
      <c r="H777" s="3" t="s">
        <v>1229</v>
      </c>
    </row>
    <row r="778" spans="1:8" x14ac:dyDescent="0.25">
      <c r="A778" s="3" t="s">
        <v>6983</v>
      </c>
      <c r="B778" s="3" t="s">
        <v>6984</v>
      </c>
      <c r="C778" s="3" t="s">
        <v>6985</v>
      </c>
      <c r="D778" s="3" t="s">
        <v>1132</v>
      </c>
      <c r="E778" s="3">
        <v>777</v>
      </c>
      <c r="F778" s="3" t="s">
        <v>788</v>
      </c>
      <c r="G778" s="3" t="s">
        <v>1095</v>
      </c>
      <c r="H778" s="3" t="s">
        <v>1227</v>
      </c>
    </row>
    <row r="779" spans="1:8" x14ac:dyDescent="0.25">
      <c r="A779" s="3" t="s">
        <v>6983</v>
      </c>
      <c r="B779" s="3" t="s">
        <v>6984</v>
      </c>
      <c r="C779" s="3" t="s">
        <v>6985</v>
      </c>
      <c r="D779" s="3" t="s">
        <v>1132</v>
      </c>
      <c r="E779" s="3">
        <v>778</v>
      </c>
      <c r="F779" s="3" t="s">
        <v>789</v>
      </c>
      <c r="G779" s="3" t="s">
        <v>1108</v>
      </c>
      <c r="H779" s="3" t="s">
        <v>1228</v>
      </c>
    </row>
    <row r="780" spans="1:8" x14ac:dyDescent="0.25">
      <c r="A780" s="3" t="s">
        <v>6983</v>
      </c>
      <c r="B780" s="3" t="s">
        <v>6984</v>
      </c>
      <c r="C780" s="3" t="s">
        <v>6985</v>
      </c>
      <c r="D780" s="3" t="s">
        <v>1132</v>
      </c>
      <c r="E780" s="3">
        <v>779</v>
      </c>
      <c r="F780" s="3" t="s">
        <v>790</v>
      </c>
      <c r="G780" s="3" t="s">
        <v>1094</v>
      </c>
      <c r="H780" s="3" t="s">
        <v>1230</v>
      </c>
    </row>
    <row r="781" spans="1:8" x14ac:dyDescent="0.25">
      <c r="A781" s="3" t="s">
        <v>6983</v>
      </c>
      <c r="B781" s="3" t="s">
        <v>6984</v>
      </c>
      <c r="C781" s="3" t="s">
        <v>6985</v>
      </c>
      <c r="D781" s="3" t="s">
        <v>1132</v>
      </c>
      <c r="E781" s="3">
        <v>780</v>
      </c>
      <c r="F781" s="3" t="s">
        <v>791</v>
      </c>
      <c r="G781" s="3" t="s">
        <v>1093</v>
      </c>
      <c r="H781" s="3" t="s">
        <v>1231</v>
      </c>
    </row>
    <row r="782" spans="1:8" x14ac:dyDescent="0.25">
      <c r="A782" s="3" t="s">
        <v>6983</v>
      </c>
      <c r="B782" s="3" t="s">
        <v>6984</v>
      </c>
      <c r="C782" s="3" t="s">
        <v>6985</v>
      </c>
      <c r="D782" s="3" t="s">
        <v>1132</v>
      </c>
      <c r="E782" s="3">
        <v>781</v>
      </c>
      <c r="F782" s="3" t="s">
        <v>792</v>
      </c>
      <c r="G782" s="3" t="s">
        <v>1109</v>
      </c>
      <c r="H782" s="3" t="s">
        <v>1248</v>
      </c>
    </row>
    <row r="783" spans="1:8" x14ac:dyDescent="0.25">
      <c r="A783" s="3" t="s">
        <v>6983</v>
      </c>
      <c r="B783" s="3" t="s">
        <v>6984</v>
      </c>
      <c r="C783" s="3" t="s">
        <v>6985</v>
      </c>
      <c r="D783" s="3" t="s">
        <v>1132</v>
      </c>
      <c r="E783" s="3">
        <v>782</v>
      </c>
      <c r="F783" s="3" t="s">
        <v>793</v>
      </c>
      <c r="G783" s="3" t="s">
        <v>1109</v>
      </c>
      <c r="H783" s="3" t="s">
        <v>1249</v>
      </c>
    </row>
    <row r="784" spans="1:8" x14ac:dyDescent="0.25">
      <c r="A784" s="3" t="s">
        <v>6983</v>
      </c>
      <c r="B784" s="3" t="s">
        <v>6984</v>
      </c>
      <c r="C784" s="3" t="s">
        <v>6985</v>
      </c>
      <c r="D784" s="3" t="s">
        <v>1132</v>
      </c>
      <c r="E784" s="3">
        <v>783</v>
      </c>
      <c r="F784" s="3" t="s">
        <v>794</v>
      </c>
      <c r="G784" s="3" t="s">
        <v>1109</v>
      </c>
      <c r="H784" s="3" t="s">
        <v>1250</v>
      </c>
    </row>
    <row r="785" spans="1:8" x14ac:dyDescent="0.25">
      <c r="A785" s="3" t="s">
        <v>6983</v>
      </c>
      <c r="B785" s="3" t="s">
        <v>6984</v>
      </c>
      <c r="C785" s="3" t="s">
        <v>6985</v>
      </c>
      <c r="D785" s="3" t="s">
        <v>1134</v>
      </c>
      <c r="E785" s="3">
        <v>784</v>
      </c>
      <c r="F785" s="3" t="s">
        <v>795</v>
      </c>
      <c r="G785" s="3" t="s">
        <v>1100</v>
      </c>
      <c r="H785" s="3" t="s">
        <v>1314</v>
      </c>
    </row>
    <row r="786" spans="1:8" x14ac:dyDescent="0.25">
      <c r="A786" s="3" t="s">
        <v>6983</v>
      </c>
      <c r="B786" s="3" t="s">
        <v>6984</v>
      </c>
      <c r="C786" s="3" t="s">
        <v>6985</v>
      </c>
      <c r="D786" s="3" t="s">
        <v>1134</v>
      </c>
      <c r="E786" s="3">
        <v>785</v>
      </c>
      <c r="F786" s="3" t="s">
        <v>796</v>
      </c>
      <c r="G786" s="3" t="s">
        <v>1100</v>
      </c>
      <c r="H786" s="3" t="s">
        <v>1315</v>
      </c>
    </row>
    <row r="787" spans="1:8" x14ac:dyDescent="0.25">
      <c r="A787" s="3" t="s">
        <v>6983</v>
      </c>
      <c r="B787" s="3" t="s">
        <v>6984</v>
      </c>
      <c r="C787" s="3" t="s">
        <v>6985</v>
      </c>
      <c r="D787" s="3" t="s">
        <v>1134</v>
      </c>
      <c r="E787" s="3">
        <v>786</v>
      </c>
      <c r="F787" s="3" t="s">
        <v>797</v>
      </c>
      <c r="G787" s="3" t="s">
        <v>1100</v>
      </c>
      <c r="H787" s="3" t="s">
        <v>1316</v>
      </c>
    </row>
    <row r="788" spans="1:8" x14ac:dyDescent="0.25">
      <c r="A788" s="3" t="s">
        <v>6983</v>
      </c>
      <c r="B788" s="3" t="s">
        <v>6984</v>
      </c>
      <c r="C788" s="3" t="s">
        <v>6985</v>
      </c>
      <c r="D788" s="3" t="s">
        <v>1134</v>
      </c>
      <c r="E788" s="3">
        <v>787</v>
      </c>
      <c r="F788" s="3" t="s">
        <v>798</v>
      </c>
      <c r="G788" s="3" t="s">
        <v>1100</v>
      </c>
      <c r="H788" s="3" t="s">
        <v>1317</v>
      </c>
    </row>
    <row r="789" spans="1:8" x14ac:dyDescent="0.25">
      <c r="A789" s="3" t="s">
        <v>6983</v>
      </c>
      <c r="B789" s="3" t="s">
        <v>6984</v>
      </c>
      <c r="C789" s="3" t="s">
        <v>6985</v>
      </c>
      <c r="D789" s="3" t="s">
        <v>1134</v>
      </c>
      <c r="E789" s="3">
        <v>788</v>
      </c>
      <c r="F789" s="3" t="s">
        <v>799</v>
      </c>
      <c r="G789" s="3" t="s">
        <v>1100</v>
      </c>
      <c r="H789" s="3" t="s">
        <v>1318</v>
      </c>
    </row>
    <row r="790" spans="1:8" x14ac:dyDescent="0.25">
      <c r="A790" s="3" t="s">
        <v>6983</v>
      </c>
      <c r="B790" s="3" t="s">
        <v>6984</v>
      </c>
      <c r="C790" s="3" t="s">
        <v>6985</v>
      </c>
      <c r="D790" s="3" t="s">
        <v>1134</v>
      </c>
      <c r="E790" s="3">
        <v>789</v>
      </c>
      <c r="F790" s="3" t="s">
        <v>800</v>
      </c>
      <c r="G790" s="3" t="s">
        <v>1100</v>
      </c>
      <c r="H790" s="3" t="s">
        <v>1319</v>
      </c>
    </row>
    <row r="791" spans="1:8" x14ac:dyDescent="0.25">
      <c r="A791" s="3" t="s">
        <v>6983</v>
      </c>
      <c r="B791" s="3" t="s">
        <v>6984</v>
      </c>
      <c r="C791" s="3" t="s">
        <v>6985</v>
      </c>
      <c r="D791" s="3" t="s">
        <v>1134</v>
      </c>
      <c r="E791" s="3">
        <v>790</v>
      </c>
      <c r="F791" s="3" t="s">
        <v>801</v>
      </c>
      <c r="G791" s="3" t="s">
        <v>1100</v>
      </c>
      <c r="H791" s="3" t="s">
        <v>1320</v>
      </c>
    </row>
    <row r="792" spans="1:8" x14ac:dyDescent="0.25">
      <c r="A792" s="3" t="s">
        <v>6983</v>
      </c>
      <c r="B792" s="3" t="s">
        <v>6984</v>
      </c>
      <c r="C792" s="3" t="s">
        <v>6985</v>
      </c>
      <c r="D792" s="3" t="s">
        <v>1134</v>
      </c>
      <c r="E792" s="3">
        <v>791</v>
      </c>
      <c r="F792" s="3" t="s">
        <v>802</v>
      </c>
      <c r="G792" s="3" t="s">
        <v>1100</v>
      </c>
      <c r="H792" s="3" t="s">
        <v>1321</v>
      </c>
    </row>
    <row r="793" spans="1:8" x14ac:dyDescent="0.25">
      <c r="A793" s="3" t="s">
        <v>6983</v>
      </c>
      <c r="B793" s="3" t="s">
        <v>6984</v>
      </c>
      <c r="C793" s="3" t="s">
        <v>6985</v>
      </c>
      <c r="D793" s="3" t="s">
        <v>1134</v>
      </c>
      <c r="E793" s="3">
        <v>792</v>
      </c>
      <c r="F793" s="3" t="s">
        <v>803</v>
      </c>
      <c r="G793" s="3" t="s">
        <v>1100</v>
      </c>
      <c r="H793" s="3" t="s">
        <v>1322</v>
      </c>
    </row>
    <row r="794" spans="1:8" x14ac:dyDescent="0.25">
      <c r="A794" s="3" t="s">
        <v>6983</v>
      </c>
      <c r="B794" s="3" t="s">
        <v>6984</v>
      </c>
      <c r="C794" s="3" t="s">
        <v>6985</v>
      </c>
      <c r="D794" s="3" t="s">
        <v>1134</v>
      </c>
      <c r="E794" s="3">
        <v>793</v>
      </c>
      <c r="F794" s="3" t="s">
        <v>804</v>
      </c>
      <c r="G794" s="3" t="s">
        <v>1100</v>
      </c>
      <c r="H794" s="3" t="s">
        <v>1323</v>
      </c>
    </row>
    <row r="795" spans="1:8" x14ac:dyDescent="0.25">
      <c r="A795" s="3" t="s">
        <v>6983</v>
      </c>
      <c r="B795" s="3" t="s">
        <v>6984</v>
      </c>
      <c r="C795" s="3" t="s">
        <v>6985</v>
      </c>
      <c r="D795" s="3" t="s">
        <v>1134</v>
      </c>
      <c r="E795" s="3">
        <v>794</v>
      </c>
      <c r="F795" s="3" t="s">
        <v>805</v>
      </c>
      <c r="G795" s="3" t="s">
        <v>1100</v>
      </c>
      <c r="H795" s="3" t="s">
        <v>1324</v>
      </c>
    </row>
    <row r="796" spans="1:8" x14ac:dyDescent="0.25">
      <c r="A796" s="3" t="s">
        <v>6983</v>
      </c>
      <c r="B796" s="3" t="s">
        <v>6984</v>
      </c>
      <c r="C796" s="3" t="s">
        <v>6985</v>
      </c>
      <c r="D796" s="3" t="s">
        <v>1134</v>
      </c>
      <c r="E796" s="3">
        <v>795</v>
      </c>
      <c r="F796" s="3" t="s">
        <v>806</v>
      </c>
      <c r="G796" s="3" t="s">
        <v>1100</v>
      </c>
      <c r="H796" s="3" t="s">
        <v>1325</v>
      </c>
    </row>
    <row r="797" spans="1:8" x14ac:dyDescent="0.25">
      <c r="A797" s="3" t="s">
        <v>6983</v>
      </c>
      <c r="B797" s="3" t="s">
        <v>6984</v>
      </c>
      <c r="C797" s="3" t="s">
        <v>6985</v>
      </c>
      <c r="D797" s="3" t="s">
        <v>1134</v>
      </c>
      <c r="E797" s="3">
        <v>796</v>
      </c>
      <c r="F797" s="3" t="s">
        <v>807</v>
      </c>
      <c r="G797" s="3" t="s">
        <v>1100</v>
      </c>
      <c r="H797" s="3" t="s">
        <v>1326</v>
      </c>
    </row>
    <row r="798" spans="1:8" x14ac:dyDescent="0.25">
      <c r="A798" s="3" t="s">
        <v>6983</v>
      </c>
      <c r="B798" s="3" t="s">
        <v>6984</v>
      </c>
      <c r="C798" s="3" t="s">
        <v>6985</v>
      </c>
      <c r="D798" s="3" t="s">
        <v>1134</v>
      </c>
      <c r="E798" s="3">
        <v>797</v>
      </c>
      <c r="F798" s="3" t="s">
        <v>808</v>
      </c>
      <c r="G798" s="3" t="s">
        <v>1100</v>
      </c>
      <c r="H798" s="3" t="s">
        <v>1327</v>
      </c>
    </row>
    <row r="799" spans="1:8" x14ac:dyDescent="0.25">
      <c r="A799" s="3" t="s">
        <v>6983</v>
      </c>
      <c r="B799" s="3" t="s">
        <v>6984</v>
      </c>
      <c r="C799" s="3" t="s">
        <v>6985</v>
      </c>
      <c r="D799" s="3" t="s">
        <v>1134</v>
      </c>
      <c r="E799" s="3">
        <v>798</v>
      </c>
      <c r="F799" s="3" t="s">
        <v>809</v>
      </c>
      <c r="G799" s="3" t="s">
        <v>1100</v>
      </c>
      <c r="H799" s="3" t="s">
        <v>1328</v>
      </c>
    </row>
    <row r="800" spans="1:8" x14ac:dyDescent="0.25">
      <c r="A800" s="3" t="s">
        <v>6983</v>
      </c>
      <c r="B800" s="3" t="s">
        <v>6984</v>
      </c>
      <c r="C800" s="3" t="s">
        <v>6985</v>
      </c>
      <c r="D800" s="3" t="s">
        <v>1134</v>
      </c>
      <c r="E800" s="3">
        <v>799</v>
      </c>
      <c r="F800" s="3" t="s">
        <v>810</v>
      </c>
      <c r="G800" s="3" t="s">
        <v>1100</v>
      </c>
      <c r="H800" s="3" t="s">
        <v>1329</v>
      </c>
    </row>
    <row r="801" spans="1:8" x14ac:dyDescent="0.25">
      <c r="A801" s="3" t="s">
        <v>6983</v>
      </c>
      <c r="B801" s="3" t="s">
        <v>6984</v>
      </c>
      <c r="C801" s="3" t="s">
        <v>6985</v>
      </c>
      <c r="D801" s="3" t="s">
        <v>1134</v>
      </c>
      <c r="E801" s="3">
        <v>800</v>
      </c>
      <c r="F801" s="3" t="s">
        <v>811</v>
      </c>
      <c r="G801" s="3" t="s">
        <v>1100</v>
      </c>
      <c r="H801" s="3" t="s">
        <v>1330</v>
      </c>
    </row>
    <row r="802" spans="1:8" x14ac:dyDescent="0.25">
      <c r="A802" s="3" t="s">
        <v>6983</v>
      </c>
      <c r="B802" s="3" t="s">
        <v>6984</v>
      </c>
      <c r="C802" s="3" t="s">
        <v>6985</v>
      </c>
      <c r="D802" s="3" t="s">
        <v>1134</v>
      </c>
      <c r="E802" s="3">
        <v>801</v>
      </c>
      <c r="F802" s="3" t="s">
        <v>812</v>
      </c>
      <c r="G802" s="3" t="s">
        <v>1100</v>
      </c>
      <c r="H802" s="3" t="s">
        <v>1331</v>
      </c>
    </row>
    <row r="803" spans="1:8" x14ac:dyDescent="0.25">
      <c r="A803" s="3" t="s">
        <v>6983</v>
      </c>
      <c r="B803" s="3" t="s">
        <v>6984</v>
      </c>
      <c r="C803" s="3" t="s">
        <v>6985</v>
      </c>
      <c r="D803" s="3" t="s">
        <v>1134</v>
      </c>
      <c r="E803" s="3">
        <v>802</v>
      </c>
      <c r="F803" s="3" t="s">
        <v>813</v>
      </c>
      <c r="G803" s="3" t="s">
        <v>1100</v>
      </c>
      <c r="H803" s="3" t="s">
        <v>1332</v>
      </c>
    </row>
    <row r="804" spans="1:8" x14ac:dyDescent="0.25">
      <c r="A804" s="3" t="s">
        <v>6983</v>
      </c>
      <c r="B804" s="3" t="s">
        <v>6984</v>
      </c>
      <c r="C804" s="3" t="s">
        <v>6985</v>
      </c>
      <c r="D804" s="3" t="s">
        <v>1134</v>
      </c>
      <c r="E804" s="3">
        <v>803</v>
      </c>
      <c r="F804" s="3" t="s">
        <v>814</v>
      </c>
      <c r="G804" s="3" t="s">
        <v>1100</v>
      </c>
      <c r="H804" s="3" t="s">
        <v>1333</v>
      </c>
    </row>
    <row r="805" spans="1:8" x14ac:dyDescent="0.25">
      <c r="A805" s="3" t="s">
        <v>6983</v>
      </c>
      <c r="B805" s="3" t="s">
        <v>6984</v>
      </c>
      <c r="C805" s="3" t="s">
        <v>6985</v>
      </c>
      <c r="D805" s="3" t="s">
        <v>1134</v>
      </c>
      <c r="E805" s="3">
        <v>804</v>
      </c>
      <c r="F805" s="3" t="s">
        <v>815</v>
      </c>
      <c r="G805" s="3" t="s">
        <v>1100</v>
      </c>
      <c r="H805" s="3" t="s">
        <v>1334</v>
      </c>
    </row>
    <row r="806" spans="1:8" x14ac:dyDescent="0.25">
      <c r="A806" s="3" t="s">
        <v>6983</v>
      </c>
      <c r="B806" s="3" t="s">
        <v>6984</v>
      </c>
      <c r="C806" s="3" t="s">
        <v>6985</v>
      </c>
      <c r="D806" s="3" t="s">
        <v>1134</v>
      </c>
      <c r="E806" s="3">
        <v>805</v>
      </c>
      <c r="F806" s="3" t="s">
        <v>816</v>
      </c>
      <c r="G806" s="3" t="s">
        <v>1100</v>
      </c>
      <c r="H806" s="3" t="s">
        <v>1335</v>
      </c>
    </row>
    <row r="807" spans="1:8" x14ac:dyDescent="0.25">
      <c r="A807" s="3" t="s">
        <v>6983</v>
      </c>
      <c r="B807" s="3" t="s">
        <v>6984</v>
      </c>
      <c r="C807" s="3" t="s">
        <v>6985</v>
      </c>
      <c r="D807" s="3" t="s">
        <v>1134</v>
      </c>
      <c r="E807" s="3">
        <v>806</v>
      </c>
      <c r="F807" s="3" t="s">
        <v>817</v>
      </c>
      <c r="G807" s="3" t="s">
        <v>1100</v>
      </c>
      <c r="H807" s="3" t="s">
        <v>1336</v>
      </c>
    </row>
    <row r="808" spans="1:8" x14ac:dyDescent="0.25">
      <c r="A808" s="3" t="s">
        <v>6983</v>
      </c>
      <c r="B808" s="3" t="s">
        <v>6984</v>
      </c>
      <c r="C808" s="3" t="s">
        <v>6985</v>
      </c>
      <c r="D808" s="3" t="s">
        <v>1134</v>
      </c>
      <c r="E808" s="3">
        <v>807</v>
      </c>
      <c r="F808" s="3" t="s">
        <v>818</v>
      </c>
      <c r="G808" s="3" t="s">
        <v>1100</v>
      </c>
      <c r="H808" s="3" t="s">
        <v>1337</v>
      </c>
    </row>
    <row r="809" spans="1:8" x14ac:dyDescent="0.25">
      <c r="A809" s="3" t="s">
        <v>6983</v>
      </c>
      <c r="B809" s="3" t="s">
        <v>6984</v>
      </c>
      <c r="C809" s="3" t="s">
        <v>6985</v>
      </c>
      <c r="D809" s="3" t="s">
        <v>1134</v>
      </c>
      <c r="E809" s="3">
        <v>808</v>
      </c>
      <c r="F809" s="3" t="s">
        <v>819</v>
      </c>
      <c r="G809" s="3" t="s">
        <v>1100</v>
      </c>
      <c r="H809" s="3" t="s">
        <v>1338</v>
      </c>
    </row>
    <row r="810" spans="1:8" x14ac:dyDescent="0.25">
      <c r="A810" s="3" t="s">
        <v>6983</v>
      </c>
      <c r="B810" s="3" t="s">
        <v>6984</v>
      </c>
      <c r="C810" s="3" t="s">
        <v>6985</v>
      </c>
      <c r="D810" s="3" t="s">
        <v>1134</v>
      </c>
      <c r="E810" s="3">
        <v>809</v>
      </c>
      <c r="F810" s="3" t="s">
        <v>820</v>
      </c>
      <c r="G810" s="3" t="s">
        <v>1100</v>
      </c>
      <c r="H810" s="3" t="s">
        <v>1339</v>
      </c>
    </row>
    <row r="811" spans="1:8" x14ac:dyDescent="0.25">
      <c r="A811" s="3" t="s">
        <v>6983</v>
      </c>
      <c r="B811" s="3" t="s">
        <v>6984</v>
      </c>
      <c r="C811" s="3" t="s">
        <v>6985</v>
      </c>
      <c r="D811" s="3" t="s">
        <v>1134</v>
      </c>
      <c r="E811" s="3">
        <v>810</v>
      </c>
      <c r="F811" s="3" t="s">
        <v>821</v>
      </c>
      <c r="G811" s="3" t="s">
        <v>1100</v>
      </c>
      <c r="H811" s="3" t="s">
        <v>1340</v>
      </c>
    </row>
    <row r="812" spans="1:8" x14ac:dyDescent="0.25">
      <c r="A812" s="3" t="s">
        <v>6983</v>
      </c>
      <c r="B812" s="3" t="s">
        <v>6984</v>
      </c>
      <c r="C812" s="3" t="s">
        <v>6985</v>
      </c>
      <c r="D812" s="3" t="s">
        <v>1134</v>
      </c>
      <c r="E812" s="3">
        <v>811</v>
      </c>
      <c r="F812" s="3" t="s">
        <v>822</v>
      </c>
      <c r="G812" s="3" t="s">
        <v>1100</v>
      </c>
      <c r="H812" s="3" t="s">
        <v>1341</v>
      </c>
    </row>
    <row r="813" spans="1:8" x14ac:dyDescent="0.25">
      <c r="A813" s="3" t="s">
        <v>6983</v>
      </c>
      <c r="B813" s="3" t="s">
        <v>6984</v>
      </c>
      <c r="C813" s="3" t="s">
        <v>6985</v>
      </c>
      <c r="D813" s="3" t="s">
        <v>1134</v>
      </c>
      <c r="E813" s="3">
        <v>812</v>
      </c>
      <c r="F813" s="3" t="s">
        <v>823</v>
      </c>
      <c r="G813" s="3" t="s">
        <v>1100</v>
      </c>
      <c r="H813" s="3" t="s">
        <v>1342</v>
      </c>
    </row>
    <row r="814" spans="1:8" x14ac:dyDescent="0.25">
      <c r="A814" s="3" t="s">
        <v>6983</v>
      </c>
      <c r="B814" s="3" t="s">
        <v>6984</v>
      </c>
      <c r="C814" s="3" t="s">
        <v>6985</v>
      </c>
      <c r="D814" s="3" t="s">
        <v>1134</v>
      </c>
      <c r="E814" s="3">
        <v>813</v>
      </c>
      <c r="F814" s="3" t="s">
        <v>824</v>
      </c>
      <c r="G814" s="3" t="s">
        <v>1100</v>
      </c>
      <c r="H814" s="3" t="s">
        <v>1343</v>
      </c>
    </row>
    <row r="815" spans="1:8" x14ac:dyDescent="0.25">
      <c r="A815" s="3" t="s">
        <v>6983</v>
      </c>
      <c r="B815" s="3" t="s">
        <v>6984</v>
      </c>
      <c r="C815" s="3" t="s">
        <v>6985</v>
      </c>
      <c r="D815" s="3" t="s">
        <v>1134</v>
      </c>
      <c r="E815" s="3">
        <v>814</v>
      </c>
      <c r="F815" s="3" t="s">
        <v>825</v>
      </c>
      <c r="G815" s="3" t="s">
        <v>1100</v>
      </c>
      <c r="H815" s="3" t="s">
        <v>1344</v>
      </c>
    </row>
    <row r="816" spans="1:8" x14ac:dyDescent="0.25">
      <c r="A816" s="3" t="s">
        <v>6983</v>
      </c>
      <c r="B816" s="3" t="s">
        <v>6984</v>
      </c>
      <c r="C816" s="3" t="s">
        <v>6985</v>
      </c>
      <c r="D816" s="3" t="s">
        <v>1134</v>
      </c>
      <c r="E816" s="3">
        <v>815</v>
      </c>
      <c r="F816" s="3" t="s">
        <v>826</v>
      </c>
      <c r="G816" s="3" t="s">
        <v>1100</v>
      </c>
      <c r="H816" s="3" t="s">
        <v>1345</v>
      </c>
    </row>
    <row r="817" spans="1:8" x14ac:dyDescent="0.25">
      <c r="A817" s="3" t="s">
        <v>6983</v>
      </c>
      <c r="B817" s="3" t="s">
        <v>6984</v>
      </c>
      <c r="C817" s="3" t="s">
        <v>6985</v>
      </c>
      <c r="D817" s="3" t="s">
        <v>1134</v>
      </c>
      <c r="E817" s="3">
        <v>816</v>
      </c>
      <c r="F817" s="3" t="s">
        <v>827</v>
      </c>
      <c r="G817" s="3" t="s">
        <v>1100</v>
      </c>
      <c r="H817" s="3" t="s">
        <v>1280</v>
      </c>
    </row>
    <row r="818" spans="1:8" x14ac:dyDescent="0.25">
      <c r="A818" s="3" t="s">
        <v>6983</v>
      </c>
      <c r="B818" s="3" t="s">
        <v>6984</v>
      </c>
      <c r="C818" s="3" t="s">
        <v>6985</v>
      </c>
      <c r="D818" s="3" t="s">
        <v>1134</v>
      </c>
      <c r="E818" s="3">
        <v>817</v>
      </c>
      <c r="F818" s="3" t="s">
        <v>828</v>
      </c>
      <c r="G818" s="3" t="s">
        <v>1106</v>
      </c>
      <c r="H818" s="3" t="s">
        <v>1279</v>
      </c>
    </row>
    <row r="819" spans="1:8" x14ac:dyDescent="0.25">
      <c r="A819" s="3" t="s">
        <v>6983</v>
      </c>
      <c r="B819" s="3" t="s">
        <v>6984</v>
      </c>
      <c r="C819" s="3" t="s">
        <v>6985</v>
      </c>
      <c r="D819" s="3" t="s">
        <v>1134</v>
      </c>
      <c r="E819" s="3">
        <v>818</v>
      </c>
      <c r="F819" s="3" t="s">
        <v>829</v>
      </c>
      <c r="G819" s="3" t="s">
        <v>1100</v>
      </c>
      <c r="H819" s="3" t="s">
        <v>1280</v>
      </c>
    </row>
    <row r="820" spans="1:8" x14ac:dyDescent="0.25">
      <c r="A820" s="3" t="s">
        <v>6983</v>
      </c>
      <c r="B820" s="3" t="s">
        <v>6984</v>
      </c>
      <c r="C820" s="3" t="s">
        <v>6985</v>
      </c>
      <c r="D820" s="3" t="s">
        <v>1134</v>
      </c>
      <c r="E820" s="3">
        <v>819</v>
      </c>
      <c r="F820" s="3" t="s">
        <v>830</v>
      </c>
      <c r="G820" s="3" t="s">
        <v>1106</v>
      </c>
      <c r="H820" s="3" t="s">
        <v>1279</v>
      </c>
    </row>
    <row r="821" spans="1:8" x14ac:dyDescent="0.25">
      <c r="A821" s="3" t="s">
        <v>6983</v>
      </c>
      <c r="B821" s="3" t="s">
        <v>6984</v>
      </c>
      <c r="C821" s="3" t="s">
        <v>6985</v>
      </c>
      <c r="D821" s="3" t="s">
        <v>1134</v>
      </c>
      <c r="E821" s="3">
        <v>820</v>
      </c>
      <c r="F821" s="3" t="s">
        <v>831</v>
      </c>
      <c r="G821" s="3" t="s">
        <v>1100</v>
      </c>
      <c r="H821" s="3" t="s">
        <v>1280</v>
      </c>
    </row>
    <row r="822" spans="1:8" x14ac:dyDescent="0.25">
      <c r="A822" s="3" t="s">
        <v>6983</v>
      </c>
      <c r="B822" s="3" t="s">
        <v>6984</v>
      </c>
      <c r="C822" s="3" t="s">
        <v>6985</v>
      </c>
      <c r="D822" s="3" t="s">
        <v>1134</v>
      </c>
      <c r="E822" s="3">
        <v>821</v>
      </c>
      <c r="F822" s="3" t="s">
        <v>832</v>
      </c>
      <c r="G822" s="3" t="s">
        <v>1106</v>
      </c>
      <c r="H822" s="3" t="s">
        <v>1279</v>
      </c>
    </row>
    <row r="823" spans="1:8" x14ac:dyDescent="0.25">
      <c r="A823" s="3" t="s">
        <v>6983</v>
      </c>
      <c r="B823" s="3" t="s">
        <v>6984</v>
      </c>
      <c r="C823" s="3" t="s">
        <v>6985</v>
      </c>
      <c r="D823" s="3" t="s">
        <v>1134</v>
      </c>
      <c r="E823" s="3">
        <v>822</v>
      </c>
      <c r="F823" s="3" t="s">
        <v>833</v>
      </c>
      <c r="G823" s="3" t="s">
        <v>1100</v>
      </c>
      <c r="H823" s="3" t="s">
        <v>1280</v>
      </c>
    </row>
    <row r="824" spans="1:8" x14ac:dyDescent="0.25">
      <c r="A824" s="3" t="s">
        <v>6983</v>
      </c>
      <c r="B824" s="3" t="s">
        <v>6984</v>
      </c>
      <c r="C824" s="3" t="s">
        <v>6985</v>
      </c>
      <c r="D824" s="3" t="s">
        <v>1134</v>
      </c>
      <c r="E824" s="3">
        <v>823</v>
      </c>
      <c r="F824" s="3" t="s">
        <v>834</v>
      </c>
      <c r="G824" s="3" t="s">
        <v>1106</v>
      </c>
      <c r="H824" s="3" t="s">
        <v>1279</v>
      </c>
    </row>
    <row r="825" spans="1:8" x14ac:dyDescent="0.25">
      <c r="A825" s="3" t="s">
        <v>6983</v>
      </c>
      <c r="B825" s="3" t="s">
        <v>6984</v>
      </c>
      <c r="C825" s="3" t="s">
        <v>6985</v>
      </c>
      <c r="D825" s="3" t="s">
        <v>1134</v>
      </c>
      <c r="E825" s="3">
        <v>824</v>
      </c>
      <c r="F825" s="3" t="s">
        <v>835</v>
      </c>
      <c r="G825" s="3" t="s">
        <v>1100</v>
      </c>
      <c r="H825" s="3" t="s">
        <v>1280</v>
      </c>
    </row>
    <row r="826" spans="1:8" x14ac:dyDescent="0.25">
      <c r="A826" s="3" t="s">
        <v>6983</v>
      </c>
      <c r="B826" s="3" t="s">
        <v>6984</v>
      </c>
      <c r="C826" s="3" t="s">
        <v>6985</v>
      </c>
      <c r="D826" s="3" t="s">
        <v>1134</v>
      </c>
      <c r="E826" s="3">
        <v>825</v>
      </c>
      <c r="F826" s="3" t="s">
        <v>836</v>
      </c>
      <c r="G826" s="3" t="s">
        <v>1106</v>
      </c>
      <c r="H826" s="3" t="s">
        <v>1279</v>
      </c>
    </row>
    <row r="827" spans="1:8" x14ac:dyDescent="0.25">
      <c r="A827" s="3" t="s">
        <v>6983</v>
      </c>
      <c r="B827" s="3" t="s">
        <v>6984</v>
      </c>
      <c r="C827" s="3" t="s">
        <v>6985</v>
      </c>
      <c r="D827" s="3" t="s">
        <v>1134</v>
      </c>
      <c r="E827" s="3">
        <v>826</v>
      </c>
      <c r="F827" s="3" t="s">
        <v>837</v>
      </c>
      <c r="G827" s="3" t="s">
        <v>1100</v>
      </c>
      <c r="H827" s="3" t="s">
        <v>1280</v>
      </c>
    </row>
    <row r="828" spans="1:8" x14ac:dyDescent="0.25">
      <c r="A828" s="3" t="s">
        <v>6983</v>
      </c>
      <c r="B828" s="3" t="s">
        <v>6984</v>
      </c>
      <c r="C828" s="3" t="s">
        <v>6985</v>
      </c>
      <c r="D828" s="3" t="s">
        <v>1134</v>
      </c>
      <c r="E828" s="3">
        <v>827</v>
      </c>
      <c r="F828" s="3" t="s">
        <v>838</v>
      </c>
      <c r="G828" s="3" t="s">
        <v>1106</v>
      </c>
      <c r="H828" s="3" t="s">
        <v>1279</v>
      </c>
    </row>
    <row r="829" spans="1:8" x14ac:dyDescent="0.25">
      <c r="A829" s="3" t="s">
        <v>6983</v>
      </c>
      <c r="B829" s="3" t="s">
        <v>6984</v>
      </c>
      <c r="C829" s="3" t="s">
        <v>6985</v>
      </c>
      <c r="D829" s="3" t="s">
        <v>1134</v>
      </c>
      <c r="E829" s="3">
        <v>828</v>
      </c>
      <c r="F829" s="3" t="s">
        <v>839</v>
      </c>
      <c r="G829" s="3" t="s">
        <v>1100</v>
      </c>
      <c r="H829" s="3" t="s">
        <v>1280</v>
      </c>
    </row>
    <row r="830" spans="1:8" x14ac:dyDescent="0.25">
      <c r="A830" s="3" t="s">
        <v>6983</v>
      </c>
      <c r="B830" s="3" t="s">
        <v>6984</v>
      </c>
      <c r="C830" s="3" t="s">
        <v>6985</v>
      </c>
      <c r="D830" s="3" t="s">
        <v>1134</v>
      </c>
      <c r="E830" s="3">
        <v>829</v>
      </c>
      <c r="F830" s="3" t="s">
        <v>840</v>
      </c>
      <c r="G830" s="3" t="s">
        <v>1106</v>
      </c>
      <c r="H830" s="3" t="s">
        <v>1279</v>
      </c>
    </row>
    <row r="831" spans="1:8" x14ac:dyDescent="0.25">
      <c r="A831" s="3" t="s">
        <v>6983</v>
      </c>
      <c r="B831" s="3" t="s">
        <v>6984</v>
      </c>
      <c r="C831" s="3" t="s">
        <v>6985</v>
      </c>
      <c r="D831" s="3" t="s">
        <v>1134</v>
      </c>
      <c r="E831" s="3">
        <v>830</v>
      </c>
      <c r="F831" s="3" t="s">
        <v>841</v>
      </c>
      <c r="G831" s="3" t="s">
        <v>1100</v>
      </c>
      <c r="H831" s="3" t="s">
        <v>1280</v>
      </c>
    </row>
    <row r="832" spans="1:8" x14ac:dyDescent="0.25">
      <c r="A832" s="3" t="s">
        <v>6983</v>
      </c>
      <c r="B832" s="3" t="s">
        <v>6984</v>
      </c>
      <c r="C832" s="3" t="s">
        <v>6985</v>
      </c>
      <c r="D832" s="3" t="s">
        <v>1134</v>
      </c>
      <c r="E832" s="3">
        <v>831</v>
      </c>
      <c r="F832" s="3" t="s">
        <v>842</v>
      </c>
      <c r="G832" s="3" t="s">
        <v>1106</v>
      </c>
      <c r="H832" s="3" t="s">
        <v>1279</v>
      </c>
    </row>
    <row r="833" spans="1:8" x14ac:dyDescent="0.25">
      <c r="A833" s="3" t="s">
        <v>6983</v>
      </c>
      <c r="B833" s="3" t="s">
        <v>6984</v>
      </c>
      <c r="C833" s="3" t="s">
        <v>6985</v>
      </c>
      <c r="D833" s="3" t="s">
        <v>1134</v>
      </c>
      <c r="E833" s="3">
        <v>832</v>
      </c>
      <c r="F833" s="3" t="s">
        <v>843</v>
      </c>
      <c r="G833" s="3" t="s">
        <v>1100</v>
      </c>
      <c r="H833" s="3" t="s">
        <v>1280</v>
      </c>
    </row>
    <row r="834" spans="1:8" x14ac:dyDescent="0.25">
      <c r="A834" s="3" t="s">
        <v>6983</v>
      </c>
      <c r="B834" s="3" t="s">
        <v>6984</v>
      </c>
      <c r="C834" s="3" t="s">
        <v>6985</v>
      </c>
      <c r="D834" s="3" t="s">
        <v>1134</v>
      </c>
      <c r="E834" s="3">
        <v>833</v>
      </c>
      <c r="F834" s="3" t="s">
        <v>844</v>
      </c>
      <c r="G834" s="3" t="s">
        <v>1106</v>
      </c>
      <c r="H834" s="3" t="s">
        <v>1279</v>
      </c>
    </row>
    <row r="835" spans="1:8" x14ac:dyDescent="0.25">
      <c r="A835" s="3" t="s">
        <v>6983</v>
      </c>
      <c r="B835" s="3" t="s">
        <v>6984</v>
      </c>
      <c r="C835" s="3" t="s">
        <v>6985</v>
      </c>
      <c r="D835" s="3" t="s">
        <v>1134</v>
      </c>
      <c r="E835" s="3">
        <v>834</v>
      </c>
      <c r="F835" s="3" t="s">
        <v>845</v>
      </c>
      <c r="G835" s="3" t="s">
        <v>1100</v>
      </c>
      <c r="H835" s="3" t="s">
        <v>1280</v>
      </c>
    </row>
    <row r="836" spans="1:8" x14ac:dyDescent="0.25">
      <c r="A836" s="3" t="s">
        <v>6983</v>
      </c>
      <c r="B836" s="3" t="s">
        <v>6984</v>
      </c>
      <c r="C836" s="3" t="s">
        <v>6985</v>
      </c>
      <c r="D836" s="3" t="s">
        <v>1134</v>
      </c>
      <c r="E836" s="3">
        <v>835</v>
      </c>
      <c r="F836" s="3" t="s">
        <v>846</v>
      </c>
      <c r="G836" s="3" t="s">
        <v>1106</v>
      </c>
      <c r="H836" s="3" t="s">
        <v>1279</v>
      </c>
    </row>
    <row r="837" spans="1:8" x14ac:dyDescent="0.25">
      <c r="A837" s="3" t="s">
        <v>6983</v>
      </c>
      <c r="B837" s="3" t="s">
        <v>6984</v>
      </c>
      <c r="C837" s="3" t="s">
        <v>6985</v>
      </c>
      <c r="D837" s="3" t="s">
        <v>1134</v>
      </c>
      <c r="E837" s="3">
        <v>836</v>
      </c>
      <c r="F837" s="3" t="s">
        <v>847</v>
      </c>
      <c r="G837" s="3" t="s">
        <v>1100</v>
      </c>
      <c r="H837" s="3" t="s">
        <v>1280</v>
      </c>
    </row>
    <row r="838" spans="1:8" x14ac:dyDescent="0.25">
      <c r="A838" s="3" t="s">
        <v>6983</v>
      </c>
      <c r="B838" s="3" t="s">
        <v>6984</v>
      </c>
      <c r="C838" s="3" t="s">
        <v>6985</v>
      </c>
      <c r="D838" s="3" t="s">
        <v>1134</v>
      </c>
      <c r="E838" s="3">
        <v>837</v>
      </c>
      <c r="F838" s="3" t="s">
        <v>848</v>
      </c>
      <c r="G838" s="3" t="s">
        <v>1106</v>
      </c>
      <c r="H838" s="3" t="s">
        <v>1279</v>
      </c>
    </row>
    <row r="839" spans="1:8" x14ac:dyDescent="0.25">
      <c r="A839" s="3" t="s">
        <v>6983</v>
      </c>
      <c r="B839" s="3" t="s">
        <v>6984</v>
      </c>
      <c r="C839" s="3" t="s">
        <v>6985</v>
      </c>
      <c r="D839" s="3" t="s">
        <v>1134</v>
      </c>
      <c r="E839" s="3">
        <v>838</v>
      </c>
      <c r="F839" s="3" t="s">
        <v>849</v>
      </c>
      <c r="G839" s="3" t="s">
        <v>1100</v>
      </c>
      <c r="H839" s="3" t="s">
        <v>1280</v>
      </c>
    </row>
    <row r="840" spans="1:8" x14ac:dyDescent="0.25">
      <c r="A840" s="3" t="s">
        <v>6983</v>
      </c>
      <c r="B840" s="3" t="s">
        <v>6984</v>
      </c>
      <c r="C840" s="3" t="s">
        <v>6985</v>
      </c>
      <c r="D840" s="3" t="s">
        <v>1134</v>
      </c>
      <c r="E840" s="3">
        <v>839</v>
      </c>
      <c r="F840" s="3" t="s">
        <v>850</v>
      </c>
      <c r="G840" s="3" t="s">
        <v>1106</v>
      </c>
      <c r="H840" s="3" t="s">
        <v>1279</v>
      </c>
    </row>
    <row r="841" spans="1:8" x14ac:dyDescent="0.25">
      <c r="A841" s="3" t="s">
        <v>6983</v>
      </c>
      <c r="B841" s="3" t="s">
        <v>6984</v>
      </c>
      <c r="C841" s="3" t="s">
        <v>6985</v>
      </c>
      <c r="D841" s="3" t="s">
        <v>1134</v>
      </c>
      <c r="E841" s="3">
        <v>840</v>
      </c>
      <c r="F841" s="3" t="s">
        <v>851</v>
      </c>
      <c r="G841" s="3" t="s">
        <v>1100</v>
      </c>
      <c r="H841" s="3" t="s">
        <v>1280</v>
      </c>
    </row>
    <row r="842" spans="1:8" x14ac:dyDescent="0.25">
      <c r="A842" s="3" t="s">
        <v>6983</v>
      </c>
      <c r="B842" s="3" t="s">
        <v>6984</v>
      </c>
      <c r="C842" s="3" t="s">
        <v>6985</v>
      </c>
      <c r="D842" s="3" t="s">
        <v>1134</v>
      </c>
      <c r="E842" s="3">
        <v>841</v>
      </c>
      <c r="F842" s="3" t="s">
        <v>852</v>
      </c>
      <c r="G842" s="3" t="s">
        <v>1106</v>
      </c>
      <c r="H842" s="3" t="s">
        <v>1279</v>
      </c>
    </row>
    <row r="843" spans="1:8" x14ac:dyDescent="0.25">
      <c r="A843" s="3" t="s">
        <v>6983</v>
      </c>
      <c r="B843" s="3" t="s">
        <v>6984</v>
      </c>
      <c r="C843" s="3" t="s">
        <v>6985</v>
      </c>
      <c r="D843" s="3" t="s">
        <v>1134</v>
      </c>
      <c r="E843" s="3">
        <v>842</v>
      </c>
      <c r="F843" s="3" t="s">
        <v>853</v>
      </c>
      <c r="G843" s="3" t="s">
        <v>1100</v>
      </c>
      <c r="H843" s="3" t="s">
        <v>1280</v>
      </c>
    </row>
    <row r="844" spans="1:8" x14ac:dyDescent="0.25">
      <c r="A844" s="3" t="s">
        <v>6983</v>
      </c>
      <c r="B844" s="3" t="s">
        <v>6984</v>
      </c>
      <c r="C844" s="3" t="s">
        <v>6985</v>
      </c>
      <c r="D844" s="3" t="s">
        <v>1134</v>
      </c>
      <c r="E844" s="3">
        <v>843</v>
      </c>
      <c r="F844" s="3" t="s">
        <v>854</v>
      </c>
      <c r="G844" s="3" t="s">
        <v>1106</v>
      </c>
      <c r="H844" s="3" t="s">
        <v>1279</v>
      </c>
    </row>
    <row r="845" spans="1:8" x14ac:dyDescent="0.25">
      <c r="A845" s="3" t="s">
        <v>6983</v>
      </c>
      <c r="B845" s="3" t="s">
        <v>6984</v>
      </c>
      <c r="C845" s="3" t="s">
        <v>6985</v>
      </c>
      <c r="D845" s="3" t="s">
        <v>1134</v>
      </c>
      <c r="E845" s="3">
        <v>844</v>
      </c>
      <c r="F845" s="3" t="s">
        <v>855</v>
      </c>
      <c r="G845" s="3" t="s">
        <v>1100</v>
      </c>
      <c r="H845" s="3" t="s">
        <v>1280</v>
      </c>
    </row>
    <row r="846" spans="1:8" x14ac:dyDescent="0.25">
      <c r="A846" s="3" t="s">
        <v>6983</v>
      </c>
      <c r="B846" s="3" t="s">
        <v>6984</v>
      </c>
      <c r="C846" s="3" t="s">
        <v>6985</v>
      </c>
      <c r="D846" s="3" t="s">
        <v>1134</v>
      </c>
      <c r="E846" s="3">
        <v>845</v>
      </c>
      <c r="F846" s="3" t="s">
        <v>856</v>
      </c>
      <c r="G846" s="3" t="s">
        <v>1106</v>
      </c>
      <c r="H846" s="3" t="s">
        <v>1279</v>
      </c>
    </row>
    <row r="847" spans="1:8" x14ac:dyDescent="0.25">
      <c r="A847" s="3" t="s">
        <v>6983</v>
      </c>
      <c r="B847" s="3" t="s">
        <v>6984</v>
      </c>
      <c r="C847" s="3" t="s">
        <v>6985</v>
      </c>
      <c r="D847" s="3" t="s">
        <v>1134</v>
      </c>
      <c r="E847" s="3">
        <v>846</v>
      </c>
      <c r="F847" s="3" t="s">
        <v>857</v>
      </c>
      <c r="G847" s="3" t="s">
        <v>1100</v>
      </c>
      <c r="H847" s="3" t="s">
        <v>1280</v>
      </c>
    </row>
    <row r="848" spans="1:8" x14ac:dyDescent="0.25">
      <c r="A848" s="3" t="s">
        <v>6983</v>
      </c>
      <c r="B848" s="3" t="s">
        <v>6984</v>
      </c>
      <c r="C848" s="3" t="s">
        <v>6985</v>
      </c>
      <c r="D848" s="3" t="s">
        <v>1134</v>
      </c>
      <c r="E848" s="3">
        <v>847</v>
      </c>
      <c r="F848" s="3" t="s">
        <v>858</v>
      </c>
      <c r="G848" s="3" t="s">
        <v>1106</v>
      </c>
      <c r="H848" s="3" t="s">
        <v>1279</v>
      </c>
    </row>
    <row r="849" spans="1:8" x14ac:dyDescent="0.25">
      <c r="A849" s="3" t="s">
        <v>6983</v>
      </c>
      <c r="B849" s="3" t="s">
        <v>6984</v>
      </c>
      <c r="C849" s="3" t="s">
        <v>6985</v>
      </c>
      <c r="D849" s="3" t="s">
        <v>1134</v>
      </c>
      <c r="E849" s="3">
        <v>848</v>
      </c>
      <c r="F849" s="3" t="s">
        <v>859</v>
      </c>
      <c r="G849" s="3" t="s">
        <v>1100</v>
      </c>
      <c r="H849" s="4" t="s">
        <v>1346</v>
      </c>
    </row>
    <row r="850" spans="1:8" x14ac:dyDescent="0.25">
      <c r="A850" s="3" t="s">
        <v>6983</v>
      </c>
      <c r="B850" s="3" t="s">
        <v>6984</v>
      </c>
      <c r="C850" s="3" t="s">
        <v>6985</v>
      </c>
      <c r="D850" s="3" t="s">
        <v>1134</v>
      </c>
      <c r="E850" s="3">
        <v>849</v>
      </c>
      <c r="F850" s="3" t="s">
        <v>1406</v>
      </c>
      <c r="G850" s="3" t="s">
        <v>4</v>
      </c>
      <c r="H850" s="4" t="s">
        <v>1347</v>
      </c>
    </row>
    <row r="851" spans="1:8" x14ac:dyDescent="0.25">
      <c r="A851" s="3" t="s">
        <v>6983</v>
      </c>
      <c r="B851" s="3" t="s">
        <v>6984</v>
      </c>
      <c r="C851" s="3" t="s">
        <v>6985</v>
      </c>
      <c r="D851" s="3" t="s">
        <v>1134</v>
      </c>
      <c r="E851" s="3">
        <v>850</v>
      </c>
      <c r="F851" s="3" t="s">
        <v>860</v>
      </c>
      <c r="G851" s="3" t="s">
        <v>1100</v>
      </c>
      <c r="H851" s="3" t="s">
        <v>1348</v>
      </c>
    </row>
    <row r="852" spans="1:8" x14ac:dyDescent="0.25">
      <c r="A852" s="3" t="s">
        <v>6983</v>
      </c>
      <c r="B852" s="3" t="s">
        <v>6984</v>
      </c>
      <c r="C852" s="3" t="s">
        <v>6985</v>
      </c>
      <c r="D852" s="3" t="s">
        <v>1134</v>
      </c>
      <c r="E852" s="3">
        <v>851</v>
      </c>
      <c r="F852" s="3" t="s">
        <v>1407</v>
      </c>
      <c r="G852" s="3" t="s">
        <v>4</v>
      </c>
      <c r="H852" s="3" t="s">
        <v>1349</v>
      </c>
    </row>
    <row r="853" spans="1:8" x14ac:dyDescent="0.25">
      <c r="A853" s="3" t="s">
        <v>6983</v>
      </c>
      <c r="B853" s="3" t="s">
        <v>6984</v>
      </c>
      <c r="C853" s="3" t="s">
        <v>6985</v>
      </c>
      <c r="D853" s="3" t="s">
        <v>1134</v>
      </c>
      <c r="E853" s="3">
        <v>852</v>
      </c>
      <c r="F853" s="3" t="s">
        <v>861</v>
      </c>
      <c r="G853" s="3" t="s">
        <v>1100</v>
      </c>
      <c r="H853" s="3" t="s">
        <v>1351</v>
      </c>
    </row>
    <row r="854" spans="1:8" x14ac:dyDescent="0.25">
      <c r="A854" s="3" t="s">
        <v>6983</v>
      </c>
      <c r="B854" s="3" t="s">
        <v>6984</v>
      </c>
      <c r="C854" s="3" t="s">
        <v>6985</v>
      </c>
      <c r="D854" s="3" t="s">
        <v>1134</v>
      </c>
      <c r="E854" s="3">
        <v>853</v>
      </c>
      <c r="F854" s="3" t="s">
        <v>1408</v>
      </c>
      <c r="G854" s="3" t="s">
        <v>4</v>
      </c>
      <c r="H854" s="3" t="s">
        <v>1350</v>
      </c>
    </row>
    <row r="855" spans="1:8" x14ac:dyDescent="0.25">
      <c r="A855" s="3" t="s">
        <v>6983</v>
      </c>
      <c r="B855" s="3" t="s">
        <v>6984</v>
      </c>
      <c r="C855" s="3" t="s">
        <v>6985</v>
      </c>
      <c r="D855" s="3" t="s">
        <v>1134</v>
      </c>
      <c r="E855" s="3">
        <v>854</v>
      </c>
      <c r="F855" s="3" t="s">
        <v>862</v>
      </c>
      <c r="G855" s="3" t="s">
        <v>1100</v>
      </c>
      <c r="H855" s="3" t="s">
        <v>1352</v>
      </c>
    </row>
    <row r="856" spans="1:8" x14ac:dyDescent="0.25">
      <c r="A856" s="3" t="s">
        <v>6983</v>
      </c>
      <c r="B856" s="3" t="s">
        <v>6984</v>
      </c>
      <c r="C856" s="3" t="s">
        <v>6985</v>
      </c>
      <c r="D856" s="3" t="s">
        <v>1134</v>
      </c>
      <c r="E856" s="3">
        <v>855</v>
      </c>
      <c r="F856" s="3" t="s">
        <v>1409</v>
      </c>
      <c r="G856" s="3" t="s">
        <v>4</v>
      </c>
      <c r="H856" s="3" t="s">
        <v>1410</v>
      </c>
    </row>
    <row r="857" spans="1:8" x14ac:dyDescent="0.25">
      <c r="A857" s="3" t="s">
        <v>6983</v>
      </c>
      <c r="B857" s="3" t="s">
        <v>6984</v>
      </c>
      <c r="C857" s="3" t="s">
        <v>6985</v>
      </c>
      <c r="D857" s="3" t="s">
        <v>1134</v>
      </c>
      <c r="E857" s="3">
        <v>856</v>
      </c>
      <c r="F857" s="3" t="s">
        <v>863</v>
      </c>
      <c r="G857" s="3" t="s">
        <v>1100</v>
      </c>
      <c r="H857" s="3" t="s">
        <v>1353</v>
      </c>
    </row>
    <row r="858" spans="1:8" x14ac:dyDescent="0.25">
      <c r="A858" s="3" t="s">
        <v>6983</v>
      </c>
      <c r="B858" s="3" t="s">
        <v>6984</v>
      </c>
      <c r="C858" s="3" t="s">
        <v>6985</v>
      </c>
      <c r="D858" s="3" t="s">
        <v>1134</v>
      </c>
      <c r="E858" s="3">
        <v>857</v>
      </c>
      <c r="F858" s="3" t="s">
        <v>1411</v>
      </c>
      <c r="G858" s="3" t="s">
        <v>4</v>
      </c>
      <c r="H858" s="3" t="s">
        <v>1412</v>
      </c>
    </row>
    <row r="859" spans="1:8" x14ac:dyDescent="0.25">
      <c r="A859" s="3" t="s">
        <v>6983</v>
      </c>
      <c r="B859" s="3" t="s">
        <v>6984</v>
      </c>
      <c r="C859" s="3" t="s">
        <v>6985</v>
      </c>
      <c r="D859" s="3" t="s">
        <v>1134</v>
      </c>
      <c r="E859" s="3">
        <v>858</v>
      </c>
      <c r="F859" s="3" t="s">
        <v>864</v>
      </c>
      <c r="G859" s="3" t="s">
        <v>1100</v>
      </c>
      <c r="H859" s="3" t="s">
        <v>1354</v>
      </c>
    </row>
    <row r="860" spans="1:8" x14ac:dyDescent="0.25">
      <c r="A860" s="3" t="s">
        <v>6983</v>
      </c>
      <c r="B860" s="3" t="s">
        <v>6984</v>
      </c>
      <c r="C860" s="3" t="s">
        <v>6985</v>
      </c>
      <c r="D860" s="3" t="s">
        <v>1134</v>
      </c>
      <c r="E860" s="3">
        <v>859</v>
      </c>
      <c r="F860" s="3" t="s">
        <v>1413</v>
      </c>
      <c r="G860" s="3" t="s">
        <v>4</v>
      </c>
      <c r="H860" s="3" t="s">
        <v>1414</v>
      </c>
    </row>
    <row r="861" spans="1:8" x14ac:dyDescent="0.25">
      <c r="A861" s="3" t="s">
        <v>6983</v>
      </c>
      <c r="B861" s="3" t="s">
        <v>6984</v>
      </c>
      <c r="C861" s="3" t="s">
        <v>6985</v>
      </c>
      <c r="D861" s="3" t="s">
        <v>1134</v>
      </c>
      <c r="E861" s="3">
        <v>860</v>
      </c>
      <c r="F861" s="3" t="s">
        <v>865</v>
      </c>
      <c r="G861" s="3" t="s">
        <v>1100</v>
      </c>
      <c r="H861" s="3" t="s">
        <v>1355</v>
      </c>
    </row>
    <row r="862" spans="1:8" x14ac:dyDescent="0.25">
      <c r="A862" s="3" t="s">
        <v>6983</v>
      </c>
      <c r="B862" s="3" t="s">
        <v>6984</v>
      </c>
      <c r="C862" s="3" t="s">
        <v>6985</v>
      </c>
      <c r="D862" s="3" t="s">
        <v>1134</v>
      </c>
      <c r="E862" s="3">
        <v>861</v>
      </c>
      <c r="F862" s="3" t="s">
        <v>1415</v>
      </c>
      <c r="G862" s="3" t="s">
        <v>4</v>
      </c>
      <c r="H862" s="3" t="s">
        <v>1416</v>
      </c>
    </row>
    <row r="863" spans="1:8" x14ac:dyDescent="0.25">
      <c r="A863" s="3" t="s">
        <v>6983</v>
      </c>
      <c r="B863" s="3" t="s">
        <v>6984</v>
      </c>
      <c r="C863" s="3" t="s">
        <v>6985</v>
      </c>
      <c r="D863" s="3" t="s">
        <v>1134</v>
      </c>
      <c r="E863" s="3">
        <v>862</v>
      </c>
      <c r="F863" s="3" t="s">
        <v>866</v>
      </c>
      <c r="G863" s="3" t="s">
        <v>1100</v>
      </c>
      <c r="H863" s="3" t="s">
        <v>1356</v>
      </c>
    </row>
    <row r="864" spans="1:8" x14ac:dyDescent="0.25">
      <c r="A864" s="3" t="s">
        <v>6983</v>
      </c>
      <c r="B864" s="3" t="s">
        <v>6984</v>
      </c>
      <c r="C864" s="3" t="s">
        <v>6985</v>
      </c>
      <c r="D864" s="3" t="s">
        <v>1134</v>
      </c>
      <c r="E864" s="3">
        <v>863</v>
      </c>
      <c r="F864" s="3" t="s">
        <v>1417</v>
      </c>
      <c r="G864" s="3" t="s">
        <v>4</v>
      </c>
      <c r="H864" s="3" t="s">
        <v>1418</v>
      </c>
    </row>
    <row r="865" spans="1:8" x14ac:dyDescent="0.25">
      <c r="A865" s="3" t="s">
        <v>6983</v>
      </c>
      <c r="B865" s="3" t="s">
        <v>6984</v>
      </c>
      <c r="C865" s="3" t="s">
        <v>6985</v>
      </c>
      <c r="D865" s="3" t="s">
        <v>1134</v>
      </c>
      <c r="E865" s="3">
        <v>864</v>
      </c>
      <c r="F865" s="3" t="s">
        <v>867</v>
      </c>
      <c r="G865" s="3" t="s">
        <v>1100</v>
      </c>
      <c r="H865" s="3" t="s">
        <v>1357</v>
      </c>
    </row>
    <row r="866" spans="1:8" x14ac:dyDescent="0.25">
      <c r="A866" s="3" t="s">
        <v>6983</v>
      </c>
      <c r="B866" s="3" t="s">
        <v>6984</v>
      </c>
      <c r="C866" s="3" t="s">
        <v>6985</v>
      </c>
      <c r="D866" s="3" t="s">
        <v>1134</v>
      </c>
      <c r="E866" s="3">
        <v>865</v>
      </c>
      <c r="F866" s="3" t="s">
        <v>1419</v>
      </c>
      <c r="G866" s="3" t="s">
        <v>4</v>
      </c>
      <c r="H866" s="3" t="s">
        <v>1420</v>
      </c>
    </row>
    <row r="867" spans="1:8" x14ac:dyDescent="0.25">
      <c r="A867" s="3" t="s">
        <v>6983</v>
      </c>
      <c r="B867" s="3" t="s">
        <v>6984</v>
      </c>
      <c r="C867" s="3" t="s">
        <v>6985</v>
      </c>
      <c r="D867" s="3" t="s">
        <v>1134</v>
      </c>
      <c r="E867" s="3">
        <v>866</v>
      </c>
      <c r="F867" s="3" t="s">
        <v>868</v>
      </c>
      <c r="G867" s="3" t="s">
        <v>1100</v>
      </c>
      <c r="H867" s="3" t="s">
        <v>1358</v>
      </c>
    </row>
    <row r="868" spans="1:8" x14ac:dyDescent="0.25">
      <c r="A868" s="3" t="s">
        <v>6983</v>
      </c>
      <c r="B868" s="3" t="s">
        <v>6984</v>
      </c>
      <c r="C868" s="3" t="s">
        <v>6985</v>
      </c>
      <c r="D868" s="3" t="s">
        <v>1134</v>
      </c>
      <c r="E868" s="3">
        <v>867</v>
      </c>
      <c r="F868" s="3" t="s">
        <v>1421</v>
      </c>
      <c r="G868" s="3" t="s">
        <v>4</v>
      </c>
      <c r="H868" s="3" t="s">
        <v>1422</v>
      </c>
    </row>
    <row r="869" spans="1:8" x14ac:dyDescent="0.25">
      <c r="A869" s="3" t="s">
        <v>6983</v>
      </c>
      <c r="B869" s="3" t="s">
        <v>6984</v>
      </c>
      <c r="C869" s="3" t="s">
        <v>6985</v>
      </c>
      <c r="D869" s="3" t="s">
        <v>1134</v>
      </c>
      <c r="E869" s="3">
        <v>868</v>
      </c>
      <c r="F869" s="3" t="s">
        <v>869</v>
      </c>
      <c r="G869" s="3" t="s">
        <v>1100</v>
      </c>
      <c r="H869" s="3" t="s">
        <v>1359</v>
      </c>
    </row>
    <row r="870" spans="1:8" x14ac:dyDescent="0.25">
      <c r="A870" s="3" t="s">
        <v>6983</v>
      </c>
      <c r="B870" s="3" t="s">
        <v>6984</v>
      </c>
      <c r="C870" s="3" t="s">
        <v>6985</v>
      </c>
      <c r="D870" s="3" t="s">
        <v>1134</v>
      </c>
      <c r="E870" s="3">
        <v>869</v>
      </c>
      <c r="F870" s="3" t="s">
        <v>1423</v>
      </c>
      <c r="G870" s="3" t="s">
        <v>4</v>
      </c>
      <c r="H870" s="3" t="s">
        <v>1424</v>
      </c>
    </row>
    <row r="871" spans="1:8" x14ac:dyDescent="0.25">
      <c r="A871" s="3" t="s">
        <v>6983</v>
      </c>
      <c r="B871" s="3" t="s">
        <v>6984</v>
      </c>
      <c r="C871" s="3" t="s">
        <v>6985</v>
      </c>
      <c r="D871" s="3" t="s">
        <v>1134</v>
      </c>
      <c r="E871" s="3">
        <v>870</v>
      </c>
      <c r="F871" s="3" t="s">
        <v>870</v>
      </c>
      <c r="G871" s="3" t="s">
        <v>1100</v>
      </c>
      <c r="H871" s="3" t="s">
        <v>1360</v>
      </c>
    </row>
    <row r="872" spans="1:8" x14ac:dyDescent="0.25">
      <c r="A872" s="3" t="s">
        <v>6983</v>
      </c>
      <c r="B872" s="3" t="s">
        <v>6984</v>
      </c>
      <c r="C872" s="3" t="s">
        <v>6985</v>
      </c>
      <c r="D872" s="3" t="s">
        <v>1134</v>
      </c>
      <c r="E872" s="3">
        <v>871</v>
      </c>
      <c r="F872" s="3" t="s">
        <v>1425</v>
      </c>
      <c r="G872" s="3" t="s">
        <v>4</v>
      </c>
      <c r="H872" s="3" t="s">
        <v>1426</v>
      </c>
    </row>
    <row r="873" spans="1:8" x14ac:dyDescent="0.25">
      <c r="A873" s="3" t="s">
        <v>6983</v>
      </c>
      <c r="B873" s="3" t="s">
        <v>6984</v>
      </c>
      <c r="C873" s="3" t="s">
        <v>6985</v>
      </c>
      <c r="D873" s="3" t="s">
        <v>1134</v>
      </c>
      <c r="E873" s="3">
        <v>872</v>
      </c>
      <c r="F873" s="3" t="s">
        <v>871</v>
      </c>
      <c r="G873" s="3" t="s">
        <v>1100</v>
      </c>
      <c r="H873" s="3" t="s">
        <v>1361</v>
      </c>
    </row>
    <row r="874" spans="1:8" x14ac:dyDescent="0.25">
      <c r="A874" s="3" t="s">
        <v>6983</v>
      </c>
      <c r="B874" s="3" t="s">
        <v>6984</v>
      </c>
      <c r="C874" s="3" t="s">
        <v>6985</v>
      </c>
      <c r="D874" s="3" t="s">
        <v>1134</v>
      </c>
      <c r="E874" s="3">
        <v>873</v>
      </c>
      <c r="F874" s="3" t="s">
        <v>1427</v>
      </c>
      <c r="G874" s="3" t="s">
        <v>4</v>
      </c>
      <c r="H874" s="3" t="s">
        <v>1428</v>
      </c>
    </row>
    <row r="875" spans="1:8" x14ac:dyDescent="0.25">
      <c r="A875" s="3" t="s">
        <v>6983</v>
      </c>
      <c r="B875" s="3" t="s">
        <v>6984</v>
      </c>
      <c r="C875" s="3" t="s">
        <v>6985</v>
      </c>
      <c r="D875" s="3" t="s">
        <v>1134</v>
      </c>
      <c r="E875" s="3">
        <v>874</v>
      </c>
      <c r="F875" s="3" t="s">
        <v>872</v>
      </c>
      <c r="G875" s="3" t="s">
        <v>1100</v>
      </c>
      <c r="H875" s="3" t="s">
        <v>1362</v>
      </c>
    </row>
    <row r="876" spans="1:8" x14ac:dyDescent="0.25">
      <c r="A876" s="3" t="s">
        <v>6983</v>
      </c>
      <c r="B876" s="3" t="s">
        <v>6984</v>
      </c>
      <c r="C876" s="3" t="s">
        <v>6985</v>
      </c>
      <c r="D876" s="3" t="s">
        <v>1134</v>
      </c>
      <c r="E876" s="3">
        <v>875</v>
      </c>
      <c r="F876" s="3" t="s">
        <v>1429</v>
      </c>
      <c r="G876" s="3" t="s">
        <v>4</v>
      </c>
      <c r="H876" s="3" t="s">
        <v>1430</v>
      </c>
    </row>
    <row r="877" spans="1:8" x14ac:dyDescent="0.25">
      <c r="A877" s="3" t="s">
        <v>6983</v>
      </c>
      <c r="B877" s="3" t="s">
        <v>6984</v>
      </c>
      <c r="C877" s="3" t="s">
        <v>6985</v>
      </c>
      <c r="D877" s="3" t="s">
        <v>1134</v>
      </c>
      <c r="E877" s="3">
        <v>876</v>
      </c>
      <c r="F877" s="3" t="s">
        <v>873</v>
      </c>
      <c r="G877" s="3" t="s">
        <v>1100</v>
      </c>
      <c r="H877" s="3" t="s">
        <v>1363</v>
      </c>
    </row>
    <row r="878" spans="1:8" x14ac:dyDescent="0.25">
      <c r="A878" s="3" t="s">
        <v>6983</v>
      </c>
      <c r="B878" s="3" t="s">
        <v>6984</v>
      </c>
      <c r="C878" s="3" t="s">
        <v>6985</v>
      </c>
      <c r="D878" s="3" t="s">
        <v>1134</v>
      </c>
      <c r="E878" s="3">
        <v>877</v>
      </c>
      <c r="F878" s="3" t="s">
        <v>1431</v>
      </c>
      <c r="G878" s="3" t="s">
        <v>4</v>
      </c>
      <c r="H878" s="3" t="s">
        <v>1432</v>
      </c>
    </row>
    <row r="879" spans="1:8" x14ac:dyDescent="0.25">
      <c r="A879" s="3" t="s">
        <v>6983</v>
      </c>
      <c r="B879" s="3" t="s">
        <v>6984</v>
      </c>
      <c r="C879" s="3" t="s">
        <v>6985</v>
      </c>
      <c r="D879" s="3" t="s">
        <v>1134</v>
      </c>
      <c r="E879" s="3">
        <v>878</v>
      </c>
      <c r="F879" s="3" t="s">
        <v>874</v>
      </c>
      <c r="G879" s="3" t="s">
        <v>1100</v>
      </c>
      <c r="H879" s="3" t="s">
        <v>1364</v>
      </c>
    </row>
    <row r="880" spans="1:8" x14ac:dyDescent="0.25">
      <c r="A880" s="3" t="s">
        <v>6983</v>
      </c>
      <c r="B880" s="3" t="s">
        <v>6984</v>
      </c>
      <c r="C880" s="3" t="s">
        <v>6985</v>
      </c>
      <c r="D880" s="3" t="s">
        <v>1134</v>
      </c>
      <c r="E880" s="3">
        <v>879</v>
      </c>
      <c r="F880" s="3" t="s">
        <v>1433</v>
      </c>
      <c r="G880" s="3" t="s">
        <v>4</v>
      </c>
      <c r="H880" s="3" t="s">
        <v>1434</v>
      </c>
    </row>
    <row r="881" spans="1:8" x14ac:dyDescent="0.25">
      <c r="A881" s="3" t="s">
        <v>6983</v>
      </c>
      <c r="B881" s="3" t="s">
        <v>6984</v>
      </c>
      <c r="C881" s="3" t="s">
        <v>6985</v>
      </c>
      <c r="D881" s="3" t="s">
        <v>1135</v>
      </c>
      <c r="E881" s="3">
        <v>880</v>
      </c>
      <c r="F881" s="3" t="s">
        <v>875</v>
      </c>
      <c r="G881" s="3" t="s">
        <v>1106</v>
      </c>
      <c r="H881" s="3" t="s">
        <v>6979</v>
      </c>
    </row>
    <row r="882" spans="1:8" x14ac:dyDescent="0.25">
      <c r="A882" s="3" t="s">
        <v>6983</v>
      </c>
      <c r="B882" s="3" t="s">
        <v>6984</v>
      </c>
      <c r="C882" s="3" t="s">
        <v>6985</v>
      </c>
      <c r="D882" s="3" t="s">
        <v>1135</v>
      </c>
      <c r="E882" s="3">
        <v>881</v>
      </c>
      <c r="F882" s="3" t="s">
        <v>876</v>
      </c>
      <c r="G882" s="3" t="s">
        <v>9</v>
      </c>
      <c r="H882" s="3" t="s">
        <v>6960</v>
      </c>
    </row>
    <row r="883" spans="1:8" x14ac:dyDescent="0.25">
      <c r="A883" s="3" t="s">
        <v>6983</v>
      </c>
      <c r="B883" s="3" t="s">
        <v>6984</v>
      </c>
      <c r="C883" s="3" t="s">
        <v>6985</v>
      </c>
      <c r="D883" s="3" t="s">
        <v>1135</v>
      </c>
      <c r="E883" s="3">
        <v>882</v>
      </c>
      <c r="F883" s="3" t="s">
        <v>877</v>
      </c>
      <c r="G883" s="3" t="s">
        <v>17</v>
      </c>
      <c r="H883" s="3" t="s">
        <v>6959</v>
      </c>
    </row>
    <row r="884" spans="1:8" x14ac:dyDescent="0.25">
      <c r="A884" s="3" t="s">
        <v>6983</v>
      </c>
      <c r="B884" s="3" t="s">
        <v>6984</v>
      </c>
      <c r="C884" s="3" t="s">
        <v>6985</v>
      </c>
      <c r="D884" s="3" t="s">
        <v>1135</v>
      </c>
      <c r="E884" s="3">
        <v>883</v>
      </c>
      <c r="F884" s="3" t="s">
        <v>878</v>
      </c>
      <c r="G884" s="3" t="s">
        <v>16</v>
      </c>
      <c r="H884" s="4" t="s">
        <v>6954</v>
      </c>
    </row>
    <row r="885" spans="1:8" x14ac:dyDescent="0.25">
      <c r="A885" s="3" t="s">
        <v>6983</v>
      </c>
      <c r="B885" s="3" t="s">
        <v>6984</v>
      </c>
      <c r="C885" s="3" t="s">
        <v>6985</v>
      </c>
      <c r="D885" s="3" t="s">
        <v>1135</v>
      </c>
      <c r="E885" s="3">
        <v>884</v>
      </c>
      <c r="F885" s="3" t="s">
        <v>879</v>
      </c>
      <c r="G885" s="3" t="s">
        <v>1110</v>
      </c>
      <c r="H885" s="4" t="s">
        <v>6955</v>
      </c>
    </row>
    <row r="886" spans="1:8" x14ac:dyDescent="0.25">
      <c r="A886" s="3" t="s">
        <v>6983</v>
      </c>
      <c r="B886" s="3" t="s">
        <v>6984</v>
      </c>
      <c r="C886" s="3" t="s">
        <v>6985</v>
      </c>
      <c r="D886" s="3" t="s">
        <v>1135</v>
      </c>
      <c r="E886" s="3">
        <v>885</v>
      </c>
      <c r="F886" s="3" t="s">
        <v>880</v>
      </c>
      <c r="G886" s="3" t="s">
        <v>1110</v>
      </c>
      <c r="H886" s="4" t="s">
        <v>6956</v>
      </c>
    </row>
    <row r="887" spans="1:8" x14ac:dyDescent="0.25">
      <c r="A887" s="3" t="s">
        <v>6983</v>
      </c>
      <c r="B887" s="3" t="s">
        <v>6984</v>
      </c>
      <c r="C887" s="3" t="s">
        <v>6985</v>
      </c>
      <c r="D887" s="3" t="s">
        <v>1133</v>
      </c>
      <c r="E887" s="3">
        <v>886</v>
      </c>
      <c r="F887" s="3" t="s">
        <v>881</v>
      </c>
      <c r="G887" s="3" t="s">
        <v>13</v>
      </c>
      <c r="H887" s="4" t="s">
        <v>1251</v>
      </c>
    </row>
    <row r="888" spans="1:8" x14ac:dyDescent="0.25">
      <c r="A888" s="3" t="s">
        <v>6983</v>
      </c>
      <c r="B888" s="3" t="s">
        <v>6984</v>
      </c>
      <c r="C888" s="3" t="s">
        <v>6985</v>
      </c>
      <c r="D888" s="3" t="s">
        <v>1133</v>
      </c>
      <c r="E888" s="3">
        <v>887</v>
      </c>
      <c r="F888" s="3" t="s">
        <v>882</v>
      </c>
      <c r="G888" s="3" t="s">
        <v>13</v>
      </c>
      <c r="H888" s="4" t="s">
        <v>1252</v>
      </c>
    </row>
    <row r="889" spans="1:8" x14ac:dyDescent="0.25">
      <c r="A889" s="3" t="s">
        <v>6983</v>
      </c>
      <c r="B889" s="3" t="s">
        <v>6984</v>
      </c>
      <c r="C889" s="3" t="s">
        <v>6985</v>
      </c>
      <c r="D889" s="3" t="s">
        <v>1133</v>
      </c>
      <c r="E889" s="3">
        <v>888</v>
      </c>
      <c r="F889" s="3" t="s">
        <v>883</v>
      </c>
      <c r="G889" s="3" t="s">
        <v>13</v>
      </c>
      <c r="H889" s="4" t="s">
        <v>1254</v>
      </c>
    </row>
    <row r="890" spans="1:8" x14ac:dyDescent="0.25">
      <c r="A890" s="3" t="s">
        <v>6983</v>
      </c>
      <c r="B890" s="3" t="s">
        <v>6984</v>
      </c>
      <c r="C890" s="3" t="s">
        <v>6985</v>
      </c>
      <c r="D890" s="3" t="s">
        <v>1133</v>
      </c>
      <c r="E890" s="3">
        <v>889</v>
      </c>
      <c r="F890" s="3" t="s">
        <v>884</v>
      </c>
      <c r="G890" s="3" t="s">
        <v>13</v>
      </c>
      <c r="H890" s="4" t="s">
        <v>1253</v>
      </c>
    </row>
    <row r="891" spans="1:8" x14ac:dyDescent="0.25">
      <c r="A891" s="3" t="s">
        <v>6983</v>
      </c>
      <c r="B891" s="3" t="s">
        <v>6984</v>
      </c>
      <c r="C891" s="3" t="s">
        <v>6985</v>
      </c>
      <c r="D891" s="3" t="s">
        <v>1133</v>
      </c>
      <c r="E891" s="3">
        <v>890</v>
      </c>
      <c r="F891" s="3" t="s">
        <v>885</v>
      </c>
      <c r="G891" s="3" t="s">
        <v>13</v>
      </c>
      <c r="H891" s="4" t="s">
        <v>1255</v>
      </c>
    </row>
    <row r="892" spans="1:8" x14ac:dyDescent="0.25">
      <c r="A892" s="3" t="s">
        <v>6983</v>
      </c>
      <c r="B892" s="3" t="s">
        <v>6984</v>
      </c>
      <c r="C892" s="3" t="s">
        <v>6985</v>
      </c>
      <c r="D892" s="3" t="s">
        <v>1136</v>
      </c>
      <c r="E892" s="3">
        <v>891</v>
      </c>
      <c r="F892" s="3" t="s">
        <v>886</v>
      </c>
      <c r="G892" s="3" t="s">
        <v>1093</v>
      </c>
      <c r="H892" s="3" t="str">
        <f>_xlfn.CONCAT("Data QA applied on ",_xlfn.TEXTAFTER(F892, "MAS "), ", computed by BMT WinMon.")</f>
        <v>Data QA applied on North Draft, computed by BMT WinMon.</v>
      </c>
    </row>
    <row r="893" spans="1:8" x14ac:dyDescent="0.25">
      <c r="A893" s="3" t="s">
        <v>6983</v>
      </c>
      <c r="B893" s="3" t="s">
        <v>6984</v>
      </c>
      <c r="C893" s="3" t="s">
        <v>6985</v>
      </c>
      <c r="D893" s="3" t="s">
        <v>1136</v>
      </c>
      <c r="E893" s="3">
        <v>892</v>
      </c>
      <c r="F893" s="3" t="s">
        <v>887</v>
      </c>
      <c r="G893" s="3" t="s">
        <v>1093</v>
      </c>
      <c r="H893" s="3" t="str">
        <f t="shared" ref="H893:H956" si="8">_xlfn.CONCAT("Data QA applied on ",_xlfn.TEXTAFTER(F893, "MAS "), ", computed by BMT WinMon.")</f>
        <v>Data QA applied on East Draft, computed by BMT WinMon.</v>
      </c>
    </row>
    <row r="894" spans="1:8" x14ac:dyDescent="0.25">
      <c r="A894" s="3" t="s">
        <v>6983</v>
      </c>
      <c r="B894" s="3" t="s">
        <v>6984</v>
      </c>
      <c r="C894" s="3" t="s">
        <v>6985</v>
      </c>
      <c r="D894" s="3" t="s">
        <v>1136</v>
      </c>
      <c r="E894" s="3">
        <v>893</v>
      </c>
      <c r="F894" s="3" t="s">
        <v>888</v>
      </c>
      <c r="G894" s="3" t="s">
        <v>1093</v>
      </c>
      <c r="H894" s="3" t="str">
        <f t="shared" si="8"/>
        <v>Data QA applied on South Draft, computed by BMT WinMon.</v>
      </c>
    </row>
    <row r="895" spans="1:8" x14ac:dyDescent="0.25">
      <c r="A895" s="3" t="s">
        <v>6983</v>
      </c>
      <c r="B895" s="3" t="s">
        <v>6984</v>
      </c>
      <c r="C895" s="3" t="s">
        <v>6985</v>
      </c>
      <c r="D895" s="3" t="s">
        <v>1136</v>
      </c>
      <c r="E895" s="3">
        <v>894</v>
      </c>
      <c r="F895" s="3" t="s">
        <v>889</v>
      </c>
      <c r="G895" s="3" t="s">
        <v>1093</v>
      </c>
      <c r="H895" s="3" t="str">
        <f t="shared" si="8"/>
        <v>Data QA applied on West Draft, computed by BMT WinMon.</v>
      </c>
    </row>
    <row r="896" spans="1:8" x14ac:dyDescent="0.25">
      <c r="A896" s="3" t="s">
        <v>6983</v>
      </c>
      <c r="B896" s="3" t="s">
        <v>6984</v>
      </c>
      <c r="C896" s="3" t="s">
        <v>6985</v>
      </c>
      <c r="D896" s="3" t="s">
        <v>1136</v>
      </c>
      <c r="E896" s="3">
        <v>895</v>
      </c>
      <c r="F896" s="3" t="s">
        <v>890</v>
      </c>
      <c r="G896" s="3" t="s">
        <v>4</v>
      </c>
      <c r="H896" s="3" t="str">
        <f t="shared" si="8"/>
        <v>Data QA applied on List from Airgaps, computed by BMT WinMon.</v>
      </c>
    </row>
    <row r="897" spans="1:8" x14ac:dyDescent="0.25">
      <c r="A897" s="3" t="s">
        <v>6983</v>
      </c>
      <c r="B897" s="3" t="s">
        <v>6984</v>
      </c>
      <c r="C897" s="3" t="s">
        <v>6985</v>
      </c>
      <c r="D897" s="3" t="s">
        <v>1136</v>
      </c>
      <c r="E897" s="3">
        <v>896</v>
      </c>
      <c r="F897" s="3" t="s">
        <v>891</v>
      </c>
      <c r="G897" s="3" t="s">
        <v>4</v>
      </c>
      <c r="H897" s="3" t="str">
        <f t="shared" si="8"/>
        <v>Data QA applied on Trim Fr Airgaps, computed by BMT WinMon.</v>
      </c>
    </row>
    <row r="898" spans="1:8" x14ac:dyDescent="0.25">
      <c r="A898" s="3" t="s">
        <v>6983</v>
      </c>
      <c r="B898" s="3" t="s">
        <v>6984</v>
      </c>
      <c r="C898" s="3" t="s">
        <v>6985</v>
      </c>
      <c r="D898" s="3" t="s">
        <v>1136</v>
      </c>
      <c r="E898" s="3">
        <v>897</v>
      </c>
      <c r="F898" s="3" t="s">
        <v>892</v>
      </c>
      <c r="G898" s="3" t="s">
        <v>13</v>
      </c>
      <c r="H898" s="3" t="str">
        <f t="shared" si="8"/>
        <v>Data QA applied on Best Wind Spd, computed by BMT WinMon.</v>
      </c>
    </row>
    <row r="899" spans="1:8" x14ac:dyDescent="0.25">
      <c r="A899" s="3" t="s">
        <v>6983</v>
      </c>
      <c r="B899" s="3" t="s">
        <v>6984</v>
      </c>
      <c r="C899" s="3" t="s">
        <v>6985</v>
      </c>
      <c r="D899" s="3" t="s">
        <v>1136</v>
      </c>
      <c r="E899" s="3">
        <v>898</v>
      </c>
      <c r="F899" s="3" t="s">
        <v>893</v>
      </c>
      <c r="G899" s="3" t="s">
        <v>9</v>
      </c>
      <c r="H899" s="3" t="str">
        <f t="shared" si="8"/>
        <v>Data QA applied on Best Wind Dir, computed by BMT WinMon.</v>
      </c>
    </row>
    <row r="900" spans="1:8" x14ac:dyDescent="0.25">
      <c r="A900" s="3" t="s">
        <v>6983</v>
      </c>
      <c r="B900" s="3" t="s">
        <v>6984</v>
      </c>
      <c r="C900" s="3" t="s">
        <v>6985</v>
      </c>
      <c r="D900" s="3" t="s">
        <v>1136</v>
      </c>
      <c r="E900" s="3">
        <v>899</v>
      </c>
      <c r="F900" s="3" t="s">
        <v>894</v>
      </c>
      <c r="G900" s="3" t="s">
        <v>1093</v>
      </c>
      <c r="H900" s="3" t="str">
        <f t="shared" si="8"/>
        <v>Data QA applied on CL Draft Fr Airgaps, computed by BMT WinMon.</v>
      </c>
    </row>
    <row r="901" spans="1:8" x14ac:dyDescent="0.25">
      <c r="A901" s="3" t="s">
        <v>6983</v>
      </c>
      <c r="B901" s="3" t="s">
        <v>6984</v>
      </c>
      <c r="C901" s="3" t="s">
        <v>6985</v>
      </c>
      <c r="D901" s="3" t="s">
        <v>1136</v>
      </c>
      <c r="E901" s="3">
        <v>900</v>
      </c>
      <c r="F901" s="3" t="s">
        <v>895</v>
      </c>
      <c r="G901" s="3" t="s">
        <v>1093</v>
      </c>
      <c r="H901" s="3" t="str">
        <f t="shared" si="8"/>
        <v>Data QA applied on Platform PQ Northings, computed by BMT WinMon.</v>
      </c>
    </row>
    <row r="902" spans="1:8" x14ac:dyDescent="0.25">
      <c r="A902" s="3" t="s">
        <v>6983</v>
      </c>
      <c r="B902" s="3" t="s">
        <v>6984</v>
      </c>
      <c r="C902" s="3" t="s">
        <v>6985</v>
      </c>
      <c r="D902" s="3" t="s">
        <v>1136</v>
      </c>
      <c r="E902" s="3">
        <v>901</v>
      </c>
      <c r="F902" s="3" t="s">
        <v>896</v>
      </c>
      <c r="G902" s="3" t="s">
        <v>1093</v>
      </c>
      <c r="H902" s="3" t="str">
        <f t="shared" si="8"/>
        <v>Data QA applied on Platform PQ Eastings, computed by BMT WinMon.</v>
      </c>
    </row>
    <row r="903" spans="1:8" x14ac:dyDescent="0.25">
      <c r="A903" s="3" t="s">
        <v>6983</v>
      </c>
      <c r="B903" s="3" t="s">
        <v>6984</v>
      </c>
      <c r="C903" s="3" t="s">
        <v>6985</v>
      </c>
      <c r="D903" s="3" t="s">
        <v>1136</v>
      </c>
      <c r="E903" s="3">
        <v>902</v>
      </c>
      <c r="F903" s="3" t="s">
        <v>897</v>
      </c>
      <c r="G903" s="3" t="s">
        <v>9</v>
      </c>
      <c r="H903" s="3" t="str">
        <f t="shared" si="8"/>
        <v>Data QA applied on Platform Heading, computed by BMT WinMon.</v>
      </c>
    </row>
    <row r="904" spans="1:8" x14ac:dyDescent="0.25">
      <c r="A904" s="3" t="s">
        <v>6983</v>
      </c>
      <c r="B904" s="3" t="s">
        <v>6984</v>
      </c>
      <c r="C904" s="3" t="s">
        <v>6985</v>
      </c>
      <c r="D904" s="3" t="s">
        <v>1136</v>
      </c>
      <c r="E904" s="3">
        <v>903</v>
      </c>
      <c r="F904" s="3" t="s">
        <v>898</v>
      </c>
      <c r="G904" s="3" t="s">
        <v>1093</v>
      </c>
      <c r="H904" s="3" t="str">
        <f t="shared" si="8"/>
        <v>Data QA applied on Sig Wave Height, computed by BMT WinMon.</v>
      </c>
    </row>
    <row r="905" spans="1:8" x14ac:dyDescent="0.25">
      <c r="A905" s="3" t="s">
        <v>6983</v>
      </c>
      <c r="B905" s="3" t="s">
        <v>6984</v>
      </c>
      <c r="C905" s="3" t="s">
        <v>6985</v>
      </c>
      <c r="D905" s="3" t="s">
        <v>1136</v>
      </c>
      <c r="E905" s="3">
        <v>904</v>
      </c>
      <c r="F905" s="3" t="s">
        <v>899</v>
      </c>
      <c r="G905" s="3" t="s">
        <v>17</v>
      </c>
      <c r="H905" s="3" t="str">
        <f t="shared" si="8"/>
        <v>Data QA applied on Wave Period, computed by BMT WinMon.</v>
      </c>
    </row>
    <row r="906" spans="1:8" x14ac:dyDescent="0.25">
      <c r="A906" s="3" t="s">
        <v>6983</v>
      </c>
      <c r="B906" s="3" t="s">
        <v>6984</v>
      </c>
      <c r="C906" s="3" t="s">
        <v>6985</v>
      </c>
      <c r="D906" s="3" t="s">
        <v>1136</v>
      </c>
      <c r="E906" s="3">
        <v>905</v>
      </c>
      <c r="F906" s="3" t="s">
        <v>900</v>
      </c>
      <c r="G906" s="3" t="s">
        <v>4</v>
      </c>
      <c r="H906" s="3" t="str">
        <f t="shared" si="8"/>
        <v>Data QA applied on Wave Dir, computed by BMT WinMon.</v>
      </c>
    </row>
    <row r="907" spans="1:8" x14ac:dyDescent="0.25">
      <c r="A907" s="3" t="s">
        <v>6983</v>
      </c>
      <c r="B907" s="3" t="s">
        <v>6984</v>
      </c>
      <c r="C907" s="3" t="s">
        <v>6985</v>
      </c>
      <c r="D907" s="3" t="s">
        <v>1136</v>
      </c>
      <c r="E907" s="3">
        <v>906</v>
      </c>
      <c r="F907" s="3" t="s">
        <v>901</v>
      </c>
      <c r="G907" s="3" t="s">
        <v>13</v>
      </c>
      <c r="H907" s="3" t="str">
        <f t="shared" si="8"/>
        <v>Data QA applied on VADCP Max Current Spd, computed by BMT WinMon.</v>
      </c>
    </row>
    <row r="908" spans="1:8" x14ac:dyDescent="0.25">
      <c r="A908" s="3" t="s">
        <v>6983</v>
      </c>
      <c r="B908" s="3" t="s">
        <v>6984</v>
      </c>
      <c r="C908" s="3" t="s">
        <v>6985</v>
      </c>
      <c r="D908" s="3" t="s">
        <v>1136</v>
      </c>
      <c r="E908" s="3">
        <v>907</v>
      </c>
      <c r="F908" s="3" t="s">
        <v>902</v>
      </c>
      <c r="G908" s="3" t="s">
        <v>9</v>
      </c>
      <c r="H908" s="3" t="str">
        <f t="shared" si="8"/>
        <v>Data QA applied on VADCP Max Current Dir, computed by BMT WinMon.</v>
      </c>
    </row>
    <row r="909" spans="1:8" x14ac:dyDescent="0.25">
      <c r="A909" s="3" t="s">
        <v>6983</v>
      </c>
      <c r="B909" s="3" t="s">
        <v>6984</v>
      </c>
      <c r="C909" s="3" t="s">
        <v>6985</v>
      </c>
      <c r="D909" s="3" t="s">
        <v>1136</v>
      </c>
      <c r="E909" s="3">
        <v>908</v>
      </c>
      <c r="F909" s="3" t="s">
        <v>903</v>
      </c>
      <c r="G909" s="3" t="s">
        <v>13</v>
      </c>
      <c r="H909" s="3" t="str">
        <f t="shared" si="8"/>
        <v>Data QA applied on HADCP Surface Curr Spd, computed by BMT WinMon.</v>
      </c>
    </row>
    <row r="910" spans="1:8" x14ac:dyDescent="0.25">
      <c r="A910" s="3" t="s">
        <v>6983</v>
      </c>
      <c r="B910" s="3" t="s">
        <v>6984</v>
      </c>
      <c r="C910" s="3" t="s">
        <v>6985</v>
      </c>
      <c r="D910" s="3" t="s">
        <v>1136</v>
      </c>
      <c r="E910" s="3">
        <v>909</v>
      </c>
      <c r="F910" s="3" t="s">
        <v>904</v>
      </c>
      <c r="G910" s="3" t="s">
        <v>9</v>
      </c>
      <c r="H910" s="3" t="str">
        <f t="shared" si="8"/>
        <v>Data QA applied on HADCP Surface Curr Dir, computed by BMT WinMon.</v>
      </c>
    </row>
    <row r="911" spans="1:8" x14ac:dyDescent="0.25">
      <c r="A911" s="3" t="s">
        <v>6983</v>
      </c>
      <c r="B911" s="3" t="s">
        <v>6984</v>
      </c>
      <c r="C911" s="3" t="s">
        <v>6985</v>
      </c>
      <c r="D911" s="3" t="s">
        <v>1136</v>
      </c>
      <c r="E911" s="3">
        <v>910</v>
      </c>
      <c r="F911" s="3" t="s">
        <v>905</v>
      </c>
      <c r="G911" s="3" t="s">
        <v>13</v>
      </c>
      <c r="H911" s="3" t="str">
        <f t="shared" si="8"/>
        <v>Data QA applied on Surface Current Spd, computed by BMT WinMon.</v>
      </c>
    </row>
    <row r="912" spans="1:8" x14ac:dyDescent="0.25">
      <c r="A912" s="3" t="s">
        <v>6983</v>
      </c>
      <c r="B912" s="3" t="s">
        <v>6984</v>
      </c>
      <c r="C912" s="3" t="s">
        <v>6985</v>
      </c>
      <c r="D912" s="3" t="s">
        <v>1136</v>
      </c>
      <c r="E912" s="3">
        <v>911</v>
      </c>
      <c r="F912" s="3" t="s">
        <v>906</v>
      </c>
      <c r="G912" s="3" t="s">
        <v>4</v>
      </c>
      <c r="H912" s="3" t="str">
        <f t="shared" si="8"/>
        <v>Data QA applied on Surface Current Dir, computed by BMT WinMon.</v>
      </c>
    </row>
    <row r="913" spans="1:8" x14ac:dyDescent="0.25">
      <c r="A913" s="3" t="s">
        <v>6983</v>
      </c>
      <c r="B913" s="3" t="s">
        <v>6984</v>
      </c>
      <c r="C913" s="3" t="s">
        <v>6985</v>
      </c>
      <c r="D913" s="3" t="s">
        <v>1136</v>
      </c>
      <c r="E913" s="3">
        <v>912</v>
      </c>
      <c r="F913" s="3" t="s">
        <v>907</v>
      </c>
      <c r="G913" s="3" t="s">
        <v>1093</v>
      </c>
      <c r="H913" s="3" t="str">
        <f t="shared" si="8"/>
        <v>Data QA applied on NPW-BN Level, computed by BMT WinMon.</v>
      </c>
    </row>
    <row r="914" spans="1:8" x14ac:dyDescent="0.25">
      <c r="A914" s="3" t="s">
        <v>6983</v>
      </c>
      <c r="B914" s="3" t="s">
        <v>6984</v>
      </c>
      <c r="C914" s="3" t="s">
        <v>6985</v>
      </c>
      <c r="D914" s="3" t="s">
        <v>1136</v>
      </c>
      <c r="E914" s="3">
        <v>913</v>
      </c>
      <c r="F914" s="3" t="s">
        <v>908</v>
      </c>
      <c r="G914" s="3" t="s">
        <v>1093</v>
      </c>
      <c r="H914" s="3" t="str">
        <f t="shared" si="8"/>
        <v>Data QA applied on NPW-BS Level, computed by BMT WinMon.</v>
      </c>
    </row>
    <row r="915" spans="1:8" x14ac:dyDescent="0.25">
      <c r="A915" s="3" t="s">
        <v>6983</v>
      </c>
      <c r="B915" s="3" t="s">
        <v>6984</v>
      </c>
      <c r="C915" s="3" t="s">
        <v>6985</v>
      </c>
      <c r="D915" s="3" t="s">
        <v>1136</v>
      </c>
      <c r="E915" s="3">
        <v>914</v>
      </c>
      <c r="F915" s="3" t="s">
        <v>909</v>
      </c>
      <c r="G915" s="3" t="s">
        <v>1093</v>
      </c>
      <c r="H915" s="3" t="str">
        <f t="shared" si="8"/>
        <v>Data QA applied on NPE-BN Level, computed by BMT WinMon.</v>
      </c>
    </row>
    <row r="916" spans="1:8" x14ac:dyDescent="0.25">
      <c r="A916" s="3" t="s">
        <v>6983</v>
      </c>
      <c r="B916" s="3" t="s">
        <v>6984</v>
      </c>
      <c r="C916" s="3" t="s">
        <v>6985</v>
      </c>
      <c r="D916" s="3" t="s">
        <v>1136</v>
      </c>
      <c r="E916" s="3">
        <v>915</v>
      </c>
      <c r="F916" s="3" t="s">
        <v>910</v>
      </c>
      <c r="G916" s="3" t="s">
        <v>1093</v>
      </c>
      <c r="H916" s="3" t="str">
        <f t="shared" si="8"/>
        <v>Data QA applied on NPE-BS Level, computed by BMT WinMon.</v>
      </c>
    </row>
    <row r="917" spans="1:8" x14ac:dyDescent="0.25">
      <c r="A917" s="3" t="s">
        <v>6983</v>
      </c>
      <c r="B917" s="3" t="s">
        <v>6984</v>
      </c>
      <c r="C917" s="3" t="s">
        <v>6985</v>
      </c>
      <c r="D917" s="3" t="s">
        <v>1136</v>
      </c>
      <c r="E917" s="3">
        <v>916</v>
      </c>
      <c r="F917" s="3" t="s">
        <v>911</v>
      </c>
      <c r="G917" s="3" t="s">
        <v>1093</v>
      </c>
      <c r="H917" s="3" t="str">
        <f t="shared" si="8"/>
        <v>Data QA applied on EPN-BW Level, computed by BMT WinMon.</v>
      </c>
    </row>
    <row r="918" spans="1:8" x14ac:dyDescent="0.25">
      <c r="A918" s="3" t="s">
        <v>6983</v>
      </c>
      <c r="B918" s="3" t="s">
        <v>6984</v>
      </c>
      <c r="C918" s="3" t="s">
        <v>6985</v>
      </c>
      <c r="D918" s="3" t="s">
        <v>1136</v>
      </c>
      <c r="E918" s="3">
        <v>917</v>
      </c>
      <c r="F918" s="3" t="s">
        <v>912</v>
      </c>
      <c r="G918" s="3" t="s">
        <v>1093</v>
      </c>
      <c r="H918" s="3" t="str">
        <f t="shared" si="8"/>
        <v>Data QA applied on EPN-BE Level, computed by BMT WinMon.</v>
      </c>
    </row>
    <row r="919" spans="1:8" x14ac:dyDescent="0.25">
      <c r="A919" s="3" t="s">
        <v>6983</v>
      </c>
      <c r="B919" s="3" t="s">
        <v>6984</v>
      </c>
      <c r="C919" s="3" t="s">
        <v>6985</v>
      </c>
      <c r="D919" s="3" t="s">
        <v>1136</v>
      </c>
      <c r="E919" s="3">
        <v>918</v>
      </c>
      <c r="F919" s="3" t="s">
        <v>913</v>
      </c>
      <c r="G919" s="3" t="s">
        <v>1093</v>
      </c>
      <c r="H919" s="3" t="str">
        <f t="shared" si="8"/>
        <v>Data QA applied on EPS-BW Level, computed by BMT WinMon.</v>
      </c>
    </row>
    <row r="920" spans="1:8" x14ac:dyDescent="0.25">
      <c r="A920" s="3" t="s">
        <v>6983</v>
      </c>
      <c r="B920" s="3" t="s">
        <v>6984</v>
      </c>
      <c r="C920" s="3" t="s">
        <v>6985</v>
      </c>
      <c r="D920" s="3" t="s">
        <v>1136</v>
      </c>
      <c r="E920" s="3">
        <v>919</v>
      </c>
      <c r="F920" s="3" t="s">
        <v>914</v>
      </c>
      <c r="G920" s="3" t="s">
        <v>1093</v>
      </c>
      <c r="H920" s="3" t="str">
        <f t="shared" si="8"/>
        <v>Data QA applied on EPS-BE Level, computed by BMT WinMon.</v>
      </c>
    </row>
    <row r="921" spans="1:8" x14ac:dyDescent="0.25">
      <c r="A921" s="3" t="s">
        <v>6983</v>
      </c>
      <c r="B921" s="3" t="s">
        <v>6984</v>
      </c>
      <c r="C921" s="3" t="s">
        <v>6985</v>
      </c>
      <c r="D921" s="3" t="s">
        <v>1136</v>
      </c>
      <c r="E921" s="3">
        <v>920</v>
      </c>
      <c r="F921" s="3" t="s">
        <v>915</v>
      </c>
      <c r="G921" s="3" t="s">
        <v>1093</v>
      </c>
      <c r="H921" s="3" t="str">
        <f t="shared" si="8"/>
        <v>Data QA applied on NW0-B Level, computed by BMT WinMon.</v>
      </c>
    </row>
    <row r="922" spans="1:8" x14ac:dyDescent="0.25">
      <c r="A922" s="3" t="s">
        <v>6983</v>
      </c>
      <c r="B922" s="3" t="s">
        <v>6984</v>
      </c>
      <c r="C922" s="3" t="s">
        <v>6985</v>
      </c>
      <c r="D922" s="3" t="s">
        <v>1136</v>
      </c>
      <c r="E922" s="3">
        <v>921</v>
      </c>
      <c r="F922" s="3" t="s">
        <v>916</v>
      </c>
      <c r="G922" s="3" t="s">
        <v>1093</v>
      </c>
      <c r="H922" s="3" t="str">
        <f t="shared" si="8"/>
        <v>Data QA applied on NE0-B Level, computed by BMT WinMon.</v>
      </c>
    </row>
    <row r="923" spans="1:8" x14ac:dyDescent="0.25">
      <c r="A923" s="3" t="s">
        <v>6983</v>
      </c>
      <c r="B923" s="3" t="s">
        <v>6984</v>
      </c>
      <c r="C923" s="3" t="s">
        <v>6985</v>
      </c>
      <c r="D923" s="3" t="s">
        <v>1136</v>
      </c>
      <c r="E923" s="3">
        <v>922</v>
      </c>
      <c r="F923" s="3" t="s">
        <v>917</v>
      </c>
      <c r="G923" s="3" t="s">
        <v>1093</v>
      </c>
      <c r="H923" s="3" t="str">
        <f t="shared" si="8"/>
        <v>Data QA applied on SPE-BN Level, computed by BMT WinMon.</v>
      </c>
    </row>
    <row r="924" spans="1:8" x14ac:dyDescent="0.25">
      <c r="A924" s="3" t="s">
        <v>6983</v>
      </c>
      <c r="B924" s="3" t="s">
        <v>6984</v>
      </c>
      <c r="C924" s="3" t="s">
        <v>6985</v>
      </c>
      <c r="D924" s="3" t="s">
        <v>1136</v>
      </c>
      <c r="E924" s="3">
        <v>923</v>
      </c>
      <c r="F924" s="3" t="s">
        <v>918</v>
      </c>
      <c r="G924" s="3" t="s">
        <v>1093</v>
      </c>
      <c r="H924" s="3" t="str">
        <f t="shared" si="8"/>
        <v>Data QA applied on SPE-BS Level, computed by BMT WinMon.</v>
      </c>
    </row>
    <row r="925" spans="1:8" x14ac:dyDescent="0.25">
      <c r="A925" s="3" t="s">
        <v>6983</v>
      </c>
      <c r="B925" s="3" t="s">
        <v>6984</v>
      </c>
      <c r="C925" s="3" t="s">
        <v>6985</v>
      </c>
      <c r="D925" s="3" t="s">
        <v>1136</v>
      </c>
      <c r="E925" s="3">
        <v>924</v>
      </c>
      <c r="F925" s="3" t="s">
        <v>919</v>
      </c>
      <c r="G925" s="3" t="s">
        <v>1093</v>
      </c>
      <c r="H925" s="3" t="str">
        <f t="shared" si="8"/>
        <v>Data QA applied on SPW-BN Level, computed by BMT WinMon.</v>
      </c>
    </row>
    <row r="926" spans="1:8" x14ac:dyDescent="0.25">
      <c r="A926" s="3" t="s">
        <v>6983</v>
      </c>
      <c r="B926" s="3" t="s">
        <v>6984</v>
      </c>
      <c r="C926" s="3" t="s">
        <v>6985</v>
      </c>
      <c r="D926" s="3" t="s">
        <v>1136</v>
      </c>
      <c r="E926" s="3">
        <v>925</v>
      </c>
      <c r="F926" s="3" t="s">
        <v>920</v>
      </c>
      <c r="G926" s="3" t="s">
        <v>1093</v>
      </c>
      <c r="H926" s="3" t="str">
        <f t="shared" si="8"/>
        <v>Data QA applied on SPW-BS Level, computed by BMT WinMon.</v>
      </c>
    </row>
    <row r="927" spans="1:8" x14ac:dyDescent="0.25">
      <c r="A927" s="3" t="s">
        <v>6983</v>
      </c>
      <c r="B927" s="3" t="s">
        <v>6984</v>
      </c>
      <c r="C927" s="3" t="s">
        <v>6985</v>
      </c>
      <c r="D927" s="3" t="s">
        <v>1136</v>
      </c>
      <c r="E927" s="3">
        <v>926</v>
      </c>
      <c r="F927" s="3" t="s">
        <v>921</v>
      </c>
      <c r="G927" s="3" t="s">
        <v>1093</v>
      </c>
      <c r="H927" s="3" t="str">
        <f t="shared" si="8"/>
        <v>Data QA applied on WPS-BW Level, computed by BMT WinMon.</v>
      </c>
    </row>
    <row r="928" spans="1:8" x14ac:dyDescent="0.25">
      <c r="A928" s="3" t="s">
        <v>6983</v>
      </c>
      <c r="B928" s="3" t="s">
        <v>6984</v>
      </c>
      <c r="C928" s="3" t="s">
        <v>6985</v>
      </c>
      <c r="D928" s="3" t="s">
        <v>1136</v>
      </c>
      <c r="E928" s="3">
        <v>927</v>
      </c>
      <c r="F928" s="3" t="s">
        <v>922</v>
      </c>
      <c r="G928" s="3" t="s">
        <v>1093</v>
      </c>
      <c r="H928" s="3" t="str">
        <f t="shared" si="8"/>
        <v>Data QA applied on WPS-BE Level, computed by BMT WinMon.</v>
      </c>
    </row>
    <row r="929" spans="1:8" x14ac:dyDescent="0.25">
      <c r="A929" s="3" t="s">
        <v>6983</v>
      </c>
      <c r="B929" s="3" t="s">
        <v>6984</v>
      </c>
      <c r="C929" s="3" t="s">
        <v>6985</v>
      </c>
      <c r="D929" s="3" t="s">
        <v>1136</v>
      </c>
      <c r="E929" s="3">
        <v>928</v>
      </c>
      <c r="F929" s="3" t="s">
        <v>923</v>
      </c>
      <c r="G929" s="3" t="s">
        <v>1093</v>
      </c>
      <c r="H929" s="3" t="str">
        <f t="shared" si="8"/>
        <v>Data QA applied on WPN-BW Level, computed by BMT WinMon.</v>
      </c>
    </row>
    <row r="930" spans="1:8" x14ac:dyDescent="0.25">
      <c r="A930" s="3" t="s">
        <v>6983</v>
      </c>
      <c r="B930" s="3" t="s">
        <v>6984</v>
      </c>
      <c r="C930" s="3" t="s">
        <v>6985</v>
      </c>
      <c r="D930" s="3" t="s">
        <v>1136</v>
      </c>
      <c r="E930" s="3">
        <v>929</v>
      </c>
      <c r="F930" s="3" t="s">
        <v>924</v>
      </c>
      <c r="G930" s="3" t="s">
        <v>1093</v>
      </c>
      <c r="H930" s="3" t="str">
        <f t="shared" si="8"/>
        <v>Data QA applied on WPN-BE Level, computed by BMT WinMon.</v>
      </c>
    </row>
    <row r="931" spans="1:8" x14ac:dyDescent="0.25">
      <c r="A931" s="3" t="s">
        <v>6983</v>
      </c>
      <c r="B931" s="3" t="s">
        <v>6984</v>
      </c>
      <c r="C931" s="3" t="s">
        <v>6985</v>
      </c>
      <c r="D931" s="3" t="s">
        <v>1136</v>
      </c>
      <c r="E931" s="3">
        <v>930</v>
      </c>
      <c r="F931" s="3" t="s">
        <v>925</v>
      </c>
      <c r="G931" s="3" t="s">
        <v>1093</v>
      </c>
      <c r="H931" s="3" t="str">
        <f t="shared" si="8"/>
        <v>Data QA applied on SW0-B Level, computed by BMT WinMon.</v>
      </c>
    </row>
    <row r="932" spans="1:8" x14ac:dyDescent="0.25">
      <c r="A932" s="3" t="s">
        <v>6983</v>
      </c>
      <c r="B932" s="3" t="s">
        <v>6984</v>
      </c>
      <c r="C932" s="3" t="s">
        <v>6985</v>
      </c>
      <c r="D932" s="3" t="s">
        <v>1136</v>
      </c>
      <c r="E932" s="3">
        <v>931</v>
      </c>
      <c r="F932" s="3" t="s">
        <v>926</v>
      </c>
      <c r="G932" s="3" t="s">
        <v>1093</v>
      </c>
      <c r="H932" s="3" t="str">
        <f t="shared" si="8"/>
        <v>Data QA applied on SE0-B Level, computed by BMT WinMon.</v>
      </c>
    </row>
    <row r="933" spans="1:8" x14ac:dyDescent="0.25">
      <c r="A933" s="3" t="s">
        <v>6983</v>
      </c>
      <c r="B933" s="3" t="s">
        <v>6984</v>
      </c>
      <c r="C933" s="3" t="s">
        <v>6985</v>
      </c>
      <c r="D933" s="3" t="s">
        <v>1136</v>
      </c>
      <c r="E933" s="3">
        <v>932</v>
      </c>
      <c r="F933" s="3" t="s">
        <v>927</v>
      </c>
      <c r="G933" s="3" t="s">
        <v>1093</v>
      </c>
      <c r="H933" s="3" t="str">
        <f t="shared" si="8"/>
        <v>Data QA applied on Diesel Tank Level, computed by BMT WinMon.</v>
      </c>
    </row>
    <row r="934" spans="1:8" x14ac:dyDescent="0.25">
      <c r="A934" s="3" t="s">
        <v>6983</v>
      </c>
      <c r="B934" s="3" t="s">
        <v>6984</v>
      </c>
      <c r="C934" s="3" t="s">
        <v>6985</v>
      </c>
      <c r="D934" s="3" t="s">
        <v>1136</v>
      </c>
      <c r="E934" s="3">
        <v>933</v>
      </c>
      <c r="F934" s="3" t="s">
        <v>928</v>
      </c>
      <c r="G934" s="3" t="s">
        <v>1093</v>
      </c>
      <c r="H934" s="3" t="str">
        <f t="shared" si="8"/>
        <v>Data QA applied on Methanol Tank Level, computed by BMT WinMon.</v>
      </c>
    </row>
    <row r="935" spans="1:8" x14ac:dyDescent="0.25">
      <c r="A935" s="3" t="s">
        <v>6983</v>
      </c>
      <c r="B935" s="3" t="s">
        <v>6984</v>
      </c>
      <c r="C935" s="3" t="s">
        <v>6985</v>
      </c>
      <c r="D935" s="3" t="s">
        <v>1136</v>
      </c>
      <c r="E935" s="3">
        <v>934</v>
      </c>
      <c r="F935" s="3" t="s">
        <v>929</v>
      </c>
      <c r="G935" s="3" t="s">
        <v>1093</v>
      </c>
      <c r="H935" s="3" t="str">
        <f t="shared" si="8"/>
        <v>Data QA applied on Potable Water Tank Lev, computed by BMT WinMon.</v>
      </c>
    </row>
    <row r="936" spans="1:8" x14ac:dyDescent="0.25">
      <c r="A936" s="3" t="s">
        <v>6983</v>
      </c>
      <c r="B936" s="3" t="s">
        <v>6984</v>
      </c>
      <c r="C936" s="3" t="s">
        <v>6985</v>
      </c>
      <c r="D936" s="3" t="s">
        <v>1136</v>
      </c>
      <c r="E936" s="3">
        <v>935</v>
      </c>
      <c r="F936" s="3" t="s">
        <v>930</v>
      </c>
      <c r="G936" s="3" t="s">
        <v>1093</v>
      </c>
      <c r="H936" s="3" t="str">
        <f t="shared" si="8"/>
        <v>Data QA applied on NW1-VNW Void, computed by BMT WinMon.</v>
      </c>
    </row>
    <row r="937" spans="1:8" x14ac:dyDescent="0.25">
      <c r="A937" s="3" t="s">
        <v>6983</v>
      </c>
      <c r="B937" s="3" t="s">
        <v>6984</v>
      </c>
      <c r="C937" s="3" t="s">
        <v>6985</v>
      </c>
      <c r="D937" s="3" t="s">
        <v>1136</v>
      </c>
      <c r="E937" s="3">
        <v>936</v>
      </c>
      <c r="F937" s="3" t="s">
        <v>931</v>
      </c>
      <c r="G937" s="3" t="s">
        <v>1093</v>
      </c>
      <c r="H937" s="3" t="str">
        <f t="shared" si="8"/>
        <v>Data QA applied on NW1-VE Void, computed by BMT WinMon.</v>
      </c>
    </row>
    <row r="938" spans="1:8" x14ac:dyDescent="0.25">
      <c r="A938" s="3" t="s">
        <v>6983</v>
      </c>
      <c r="B938" s="3" t="s">
        <v>6984</v>
      </c>
      <c r="C938" s="3" t="s">
        <v>6985</v>
      </c>
      <c r="D938" s="3" t="s">
        <v>1136</v>
      </c>
      <c r="E938" s="3">
        <v>937</v>
      </c>
      <c r="F938" s="3" t="s">
        <v>932</v>
      </c>
      <c r="G938" s="3" t="s">
        <v>1093</v>
      </c>
      <c r="H938" s="3" t="str">
        <f t="shared" si="8"/>
        <v>Data QA applied on NW1-VS Void, computed by BMT WinMon.</v>
      </c>
    </row>
    <row r="939" spans="1:8" x14ac:dyDescent="0.25">
      <c r="A939" s="3" t="s">
        <v>6983</v>
      </c>
      <c r="B939" s="3" t="s">
        <v>6984</v>
      </c>
      <c r="C939" s="3" t="s">
        <v>6985</v>
      </c>
      <c r="D939" s="3" t="s">
        <v>1136</v>
      </c>
      <c r="E939" s="3">
        <v>938</v>
      </c>
      <c r="F939" s="3" t="s">
        <v>933</v>
      </c>
      <c r="G939" s="3" t="s">
        <v>1093</v>
      </c>
      <c r="H939" s="3" t="str">
        <f t="shared" si="8"/>
        <v>Data QA applied on NE1-VNE Void, computed by BMT WinMon.</v>
      </c>
    </row>
    <row r="940" spans="1:8" x14ac:dyDescent="0.25">
      <c r="A940" s="3" t="s">
        <v>6983</v>
      </c>
      <c r="B940" s="3" t="s">
        <v>6984</v>
      </c>
      <c r="C940" s="3" t="s">
        <v>6985</v>
      </c>
      <c r="D940" s="3" t="s">
        <v>1136</v>
      </c>
      <c r="E940" s="3">
        <v>939</v>
      </c>
      <c r="F940" s="3" t="s">
        <v>934</v>
      </c>
      <c r="G940" s="3" t="s">
        <v>1093</v>
      </c>
      <c r="H940" s="3" t="str">
        <f t="shared" si="8"/>
        <v>Data QA applied on NE1-VW Void, computed by BMT WinMon.</v>
      </c>
    </row>
    <row r="941" spans="1:8" x14ac:dyDescent="0.25">
      <c r="A941" s="3" t="s">
        <v>6983</v>
      </c>
      <c r="B941" s="3" t="s">
        <v>6984</v>
      </c>
      <c r="C941" s="3" t="s">
        <v>6985</v>
      </c>
      <c r="D941" s="3" t="s">
        <v>1136</v>
      </c>
      <c r="E941" s="3">
        <v>940</v>
      </c>
      <c r="F941" s="3" t="s">
        <v>935</v>
      </c>
      <c r="G941" s="3" t="s">
        <v>1093</v>
      </c>
      <c r="H941" s="3" t="str">
        <f t="shared" si="8"/>
        <v>Data QA applied on NE1-VS Void, computed by BMT WinMon.</v>
      </c>
    </row>
    <row r="942" spans="1:8" x14ac:dyDescent="0.25">
      <c r="A942" s="3" t="s">
        <v>6983</v>
      </c>
      <c r="B942" s="3" t="s">
        <v>6984</v>
      </c>
      <c r="C942" s="3" t="s">
        <v>6985</v>
      </c>
      <c r="D942" s="3" t="s">
        <v>1136</v>
      </c>
      <c r="E942" s="3">
        <v>941</v>
      </c>
      <c r="F942" s="3" t="s">
        <v>936</v>
      </c>
      <c r="G942" s="3" t="s">
        <v>1093</v>
      </c>
      <c r="H942" s="3" t="str">
        <f t="shared" si="8"/>
        <v>Data QA applied on SE1-VN Void, computed by BMT WinMon.</v>
      </c>
    </row>
    <row r="943" spans="1:8" x14ac:dyDescent="0.25">
      <c r="A943" s="3" t="s">
        <v>6983</v>
      </c>
      <c r="B943" s="3" t="s">
        <v>6984</v>
      </c>
      <c r="C943" s="3" t="s">
        <v>6985</v>
      </c>
      <c r="D943" s="3" t="s">
        <v>1136</v>
      </c>
      <c r="E943" s="3">
        <v>942</v>
      </c>
      <c r="F943" s="3" t="s">
        <v>937</v>
      </c>
      <c r="G943" s="3" t="s">
        <v>1093</v>
      </c>
      <c r="H943" s="3" t="str">
        <f t="shared" si="8"/>
        <v>Data QA applied on SE1-VE Void, computed by BMT WinMon.</v>
      </c>
    </row>
    <row r="944" spans="1:8" x14ac:dyDescent="0.25">
      <c r="A944" s="3" t="s">
        <v>6983</v>
      </c>
      <c r="B944" s="3" t="s">
        <v>6984</v>
      </c>
      <c r="C944" s="3" t="s">
        <v>6985</v>
      </c>
      <c r="D944" s="3" t="s">
        <v>1136</v>
      </c>
      <c r="E944" s="3">
        <v>943</v>
      </c>
      <c r="F944" s="3" t="s">
        <v>938</v>
      </c>
      <c r="G944" s="3" t="s">
        <v>1093</v>
      </c>
      <c r="H944" s="3" t="str">
        <f t="shared" si="8"/>
        <v>Data QA applied on SE1-VS Void, computed by BMT WinMon.</v>
      </c>
    </row>
    <row r="945" spans="1:8" x14ac:dyDescent="0.25">
      <c r="A945" s="3" t="s">
        <v>6983</v>
      </c>
      <c r="B945" s="3" t="s">
        <v>6984</v>
      </c>
      <c r="C945" s="3" t="s">
        <v>6985</v>
      </c>
      <c r="D945" s="3" t="s">
        <v>1136</v>
      </c>
      <c r="E945" s="3">
        <v>944</v>
      </c>
      <c r="F945" s="3" t="s">
        <v>939</v>
      </c>
      <c r="G945" s="3" t="s">
        <v>1093</v>
      </c>
      <c r="H945" s="3" t="str">
        <f t="shared" si="8"/>
        <v>Data QA applied on SE1-VW Void, computed by BMT WinMon.</v>
      </c>
    </row>
    <row r="946" spans="1:8" x14ac:dyDescent="0.25">
      <c r="A946" s="3" t="s">
        <v>6983</v>
      </c>
      <c r="B946" s="3" t="s">
        <v>6984</v>
      </c>
      <c r="C946" s="3" t="s">
        <v>6985</v>
      </c>
      <c r="D946" s="3" t="s">
        <v>1136</v>
      </c>
      <c r="E946" s="3">
        <v>945</v>
      </c>
      <c r="F946" s="3" t="s">
        <v>940</v>
      </c>
      <c r="G946" s="3" t="s">
        <v>1093</v>
      </c>
      <c r="H946" s="3" t="str">
        <f t="shared" si="8"/>
        <v>Data QA applied on SW1-VN Void, computed by BMT WinMon.</v>
      </c>
    </row>
    <row r="947" spans="1:8" x14ac:dyDescent="0.25">
      <c r="A947" s="3" t="s">
        <v>6983</v>
      </c>
      <c r="B947" s="3" t="s">
        <v>6984</v>
      </c>
      <c r="C947" s="3" t="s">
        <v>6985</v>
      </c>
      <c r="D947" s="3" t="s">
        <v>1136</v>
      </c>
      <c r="E947" s="3">
        <v>946</v>
      </c>
      <c r="F947" s="3" t="s">
        <v>941</v>
      </c>
      <c r="G947" s="3" t="s">
        <v>1093</v>
      </c>
      <c r="H947" s="3" t="str">
        <f t="shared" si="8"/>
        <v>Data QA applied on SW1-VE Void, computed by BMT WinMon.</v>
      </c>
    </row>
    <row r="948" spans="1:8" x14ac:dyDescent="0.25">
      <c r="A948" s="3" t="s">
        <v>6983</v>
      </c>
      <c r="B948" s="3" t="s">
        <v>6984</v>
      </c>
      <c r="C948" s="3" t="s">
        <v>6985</v>
      </c>
      <c r="D948" s="3" t="s">
        <v>1136</v>
      </c>
      <c r="E948" s="3">
        <v>947</v>
      </c>
      <c r="F948" s="3" t="s">
        <v>942</v>
      </c>
      <c r="G948" s="3" t="s">
        <v>1093</v>
      </c>
      <c r="H948" s="3" t="str">
        <f t="shared" si="8"/>
        <v>Data QA applied on SW1-VS Void, computed by BMT WinMon.</v>
      </c>
    </row>
    <row r="949" spans="1:8" x14ac:dyDescent="0.25">
      <c r="A949" s="3" t="s">
        <v>6983</v>
      </c>
      <c r="B949" s="3" t="s">
        <v>6984</v>
      </c>
      <c r="C949" s="3" t="s">
        <v>6985</v>
      </c>
      <c r="D949" s="3" t="s">
        <v>1136</v>
      </c>
      <c r="E949" s="3">
        <v>948</v>
      </c>
      <c r="F949" s="3" t="s">
        <v>943</v>
      </c>
      <c r="G949" s="3" t="s">
        <v>1093</v>
      </c>
      <c r="H949" s="3" t="str">
        <f t="shared" si="8"/>
        <v>Data QA applied on SW1-VW Void, computed by BMT WinMon.</v>
      </c>
    </row>
    <row r="950" spans="1:8" x14ac:dyDescent="0.25">
      <c r="A950" s="3" t="s">
        <v>6983</v>
      </c>
      <c r="B950" s="3" t="s">
        <v>6984</v>
      </c>
      <c r="C950" s="3" t="s">
        <v>6985</v>
      </c>
      <c r="D950" s="3" t="s">
        <v>1136</v>
      </c>
      <c r="E950" s="3">
        <v>949</v>
      </c>
      <c r="F950" s="3" t="s">
        <v>944</v>
      </c>
      <c r="G950" s="3" t="s">
        <v>1093</v>
      </c>
      <c r="H950" s="3" t="str">
        <f t="shared" si="8"/>
        <v>Data QA applied on NW2-VNW Void, computed by BMT WinMon.</v>
      </c>
    </row>
    <row r="951" spans="1:8" x14ac:dyDescent="0.25">
      <c r="A951" s="3" t="s">
        <v>6983</v>
      </c>
      <c r="B951" s="3" t="s">
        <v>6984</v>
      </c>
      <c r="C951" s="3" t="s">
        <v>6985</v>
      </c>
      <c r="D951" s="3" t="s">
        <v>1136</v>
      </c>
      <c r="E951" s="3">
        <v>950</v>
      </c>
      <c r="F951" s="3" t="s">
        <v>945</v>
      </c>
      <c r="G951" s="3" t="s">
        <v>1093</v>
      </c>
      <c r="H951" s="3" t="str">
        <f t="shared" si="8"/>
        <v>Data QA applied on NW2-VE Void, computed by BMT WinMon.</v>
      </c>
    </row>
    <row r="952" spans="1:8" x14ac:dyDescent="0.25">
      <c r="A952" s="3" t="s">
        <v>6983</v>
      </c>
      <c r="B952" s="3" t="s">
        <v>6984</v>
      </c>
      <c r="C952" s="3" t="s">
        <v>6985</v>
      </c>
      <c r="D952" s="3" t="s">
        <v>1136</v>
      </c>
      <c r="E952" s="3">
        <v>951</v>
      </c>
      <c r="F952" s="3" t="s">
        <v>946</v>
      </c>
      <c r="G952" s="3" t="s">
        <v>1093</v>
      </c>
      <c r="H952" s="3" t="str">
        <f t="shared" si="8"/>
        <v>Data QA applied on NW2-VS Void, computed by BMT WinMon.</v>
      </c>
    </row>
    <row r="953" spans="1:8" x14ac:dyDescent="0.25">
      <c r="A953" s="3" t="s">
        <v>6983</v>
      </c>
      <c r="B953" s="3" t="s">
        <v>6984</v>
      </c>
      <c r="C953" s="3" t="s">
        <v>6985</v>
      </c>
      <c r="D953" s="3" t="s">
        <v>1136</v>
      </c>
      <c r="E953" s="3">
        <v>952</v>
      </c>
      <c r="F953" s="3" t="s">
        <v>947</v>
      </c>
      <c r="G953" s="3" t="s">
        <v>1093</v>
      </c>
      <c r="H953" s="3" t="str">
        <f t="shared" si="8"/>
        <v>Data QA applied on NE2-VNE Void, computed by BMT WinMon.</v>
      </c>
    </row>
    <row r="954" spans="1:8" x14ac:dyDescent="0.25">
      <c r="A954" s="3" t="s">
        <v>6983</v>
      </c>
      <c r="B954" s="3" t="s">
        <v>6984</v>
      </c>
      <c r="C954" s="3" t="s">
        <v>6985</v>
      </c>
      <c r="D954" s="3" t="s">
        <v>1136</v>
      </c>
      <c r="E954" s="3">
        <v>953</v>
      </c>
      <c r="F954" s="3" t="s">
        <v>948</v>
      </c>
      <c r="G954" s="3" t="s">
        <v>1093</v>
      </c>
      <c r="H954" s="3" t="str">
        <f t="shared" si="8"/>
        <v>Data QA applied on NE2-VW Void, computed by BMT WinMon.</v>
      </c>
    </row>
    <row r="955" spans="1:8" x14ac:dyDescent="0.25">
      <c r="A955" s="3" t="s">
        <v>6983</v>
      </c>
      <c r="B955" s="3" t="s">
        <v>6984</v>
      </c>
      <c r="C955" s="3" t="s">
        <v>6985</v>
      </c>
      <c r="D955" s="3" t="s">
        <v>1136</v>
      </c>
      <c r="E955" s="3">
        <v>954</v>
      </c>
      <c r="F955" s="3" t="s">
        <v>949</v>
      </c>
      <c r="G955" s="3" t="s">
        <v>1093</v>
      </c>
      <c r="H955" s="3" t="str">
        <f t="shared" si="8"/>
        <v>Data QA applied on NE2-VS Void, computed by BMT WinMon.</v>
      </c>
    </row>
    <row r="956" spans="1:8" x14ac:dyDescent="0.25">
      <c r="A956" s="3" t="s">
        <v>6983</v>
      </c>
      <c r="B956" s="3" t="s">
        <v>6984</v>
      </c>
      <c r="C956" s="3" t="s">
        <v>6985</v>
      </c>
      <c r="D956" s="3" t="s">
        <v>1136</v>
      </c>
      <c r="E956" s="3">
        <v>955</v>
      </c>
      <c r="F956" s="3" t="s">
        <v>950</v>
      </c>
      <c r="G956" s="3" t="s">
        <v>1093</v>
      </c>
      <c r="H956" s="3" t="str">
        <f t="shared" si="8"/>
        <v>Data QA applied on SE2-VN Void, computed by BMT WinMon.</v>
      </c>
    </row>
    <row r="957" spans="1:8" x14ac:dyDescent="0.25">
      <c r="A957" s="3" t="s">
        <v>6983</v>
      </c>
      <c r="B957" s="3" t="s">
        <v>6984</v>
      </c>
      <c r="C957" s="3" t="s">
        <v>6985</v>
      </c>
      <c r="D957" s="3" t="s">
        <v>1136</v>
      </c>
      <c r="E957" s="3">
        <v>956</v>
      </c>
      <c r="F957" s="3" t="s">
        <v>951</v>
      </c>
      <c r="G957" s="3" t="s">
        <v>1093</v>
      </c>
      <c r="H957" s="3" t="str">
        <f t="shared" ref="H957:H1020" si="9">_xlfn.CONCAT("Data QA applied on ",_xlfn.TEXTAFTER(F957, "MAS "), ", computed by BMT WinMon.")</f>
        <v>Data QA applied on SE2-VE Void, computed by BMT WinMon.</v>
      </c>
    </row>
    <row r="958" spans="1:8" x14ac:dyDescent="0.25">
      <c r="A958" s="3" t="s">
        <v>6983</v>
      </c>
      <c r="B958" s="3" t="s">
        <v>6984</v>
      </c>
      <c r="C958" s="3" t="s">
        <v>6985</v>
      </c>
      <c r="D958" s="3" t="s">
        <v>1136</v>
      </c>
      <c r="E958" s="3">
        <v>957</v>
      </c>
      <c r="F958" s="3" t="s">
        <v>952</v>
      </c>
      <c r="G958" s="3" t="s">
        <v>1093</v>
      </c>
      <c r="H958" s="3" t="str">
        <f t="shared" si="9"/>
        <v>Data QA applied on SE2-VS Void, computed by BMT WinMon.</v>
      </c>
    </row>
    <row r="959" spans="1:8" x14ac:dyDescent="0.25">
      <c r="A959" s="3" t="s">
        <v>6983</v>
      </c>
      <c r="B959" s="3" t="s">
        <v>6984</v>
      </c>
      <c r="C959" s="3" t="s">
        <v>6985</v>
      </c>
      <c r="D959" s="3" t="s">
        <v>1136</v>
      </c>
      <c r="E959" s="3">
        <v>958</v>
      </c>
      <c r="F959" s="3" t="s">
        <v>953</v>
      </c>
      <c r="G959" s="3" t="s">
        <v>1093</v>
      </c>
      <c r="H959" s="3" t="str">
        <f t="shared" si="9"/>
        <v>Data QA applied on SE2-VW Void, computed by BMT WinMon.</v>
      </c>
    </row>
    <row r="960" spans="1:8" x14ac:dyDescent="0.25">
      <c r="A960" s="3" t="s">
        <v>6983</v>
      </c>
      <c r="B960" s="3" t="s">
        <v>6984</v>
      </c>
      <c r="C960" s="3" t="s">
        <v>6985</v>
      </c>
      <c r="D960" s="3" t="s">
        <v>1136</v>
      </c>
      <c r="E960" s="3">
        <v>959</v>
      </c>
      <c r="F960" s="3" t="s">
        <v>954</v>
      </c>
      <c r="G960" s="3" t="s">
        <v>1093</v>
      </c>
      <c r="H960" s="3" t="str">
        <f t="shared" si="9"/>
        <v>Data QA applied on SW2-VN Void, computed by BMT WinMon.</v>
      </c>
    </row>
    <row r="961" spans="1:8" x14ac:dyDescent="0.25">
      <c r="A961" s="3" t="s">
        <v>6983</v>
      </c>
      <c r="B961" s="3" t="s">
        <v>6984</v>
      </c>
      <c r="C961" s="3" t="s">
        <v>6985</v>
      </c>
      <c r="D961" s="3" t="s">
        <v>1136</v>
      </c>
      <c r="E961" s="3">
        <v>960</v>
      </c>
      <c r="F961" s="3" t="s">
        <v>955</v>
      </c>
      <c r="G961" s="3" t="s">
        <v>1093</v>
      </c>
      <c r="H961" s="3" t="str">
        <f t="shared" si="9"/>
        <v>Data QA applied on SW2-VE Void, computed by BMT WinMon.</v>
      </c>
    </row>
    <row r="962" spans="1:8" x14ac:dyDescent="0.25">
      <c r="A962" s="3" t="s">
        <v>6983</v>
      </c>
      <c r="B962" s="3" t="s">
        <v>6984</v>
      </c>
      <c r="C962" s="3" t="s">
        <v>6985</v>
      </c>
      <c r="D962" s="3" t="s">
        <v>1136</v>
      </c>
      <c r="E962" s="3">
        <v>961</v>
      </c>
      <c r="F962" s="3" t="s">
        <v>956</v>
      </c>
      <c r="G962" s="3" t="s">
        <v>1093</v>
      </c>
      <c r="H962" s="3" t="str">
        <f t="shared" si="9"/>
        <v>Data QA applied on SW2-VS Void, computed by BMT WinMon.</v>
      </c>
    </row>
    <row r="963" spans="1:8" x14ac:dyDescent="0.25">
      <c r="A963" s="3" t="s">
        <v>6983</v>
      </c>
      <c r="B963" s="3" t="s">
        <v>6984</v>
      </c>
      <c r="C963" s="3" t="s">
        <v>6985</v>
      </c>
      <c r="D963" s="3" t="s">
        <v>1136</v>
      </c>
      <c r="E963" s="3">
        <v>962</v>
      </c>
      <c r="F963" s="3" t="s">
        <v>957</v>
      </c>
      <c r="G963" s="3" t="s">
        <v>1093</v>
      </c>
      <c r="H963" s="3" t="str">
        <f t="shared" si="9"/>
        <v>Data QA applied on SW2-VW Void, computed by BMT WinMon.</v>
      </c>
    </row>
    <row r="964" spans="1:8" x14ac:dyDescent="0.25">
      <c r="A964" s="3" t="s">
        <v>6983</v>
      </c>
      <c r="B964" s="3" t="s">
        <v>6984</v>
      </c>
      <c r="C964" s="3" t="s">
        <v>6985</v>
      </c>
      <c r="D964" s="3" t="s">
        <v>1136</v>
      </c>
      <c r="E964" s="3">
        <v>963</v>
      </c>
      <c r="F964" s="3" t="s">
        <v>958</v>
      </c>
      <c r="G964" s="3" t="s">
        <v>1093</v>
      </c>
      <c r="H964" s="3" t="str">
        <f t="shared" si="9"/>
        <v>Data QA applied on NW3-V Void, computed by BMT WinMon.</v>
      </c>
    </row>
    <row r="965" spans="1:8" x14ac:dyDescent="0.25">
      <c r="A965" s="3" t="s">
        <v>6983</v>
      </c>
      <c r="B965" s="3" t="s">
        <v>6984</v>
      </c>
      <c r="C965" s="3" t="s">
        <v>6985</v>
      </c>
      <c r="D965" s="3" t="s">
        <v>1136</v>
      </c>
      <c r="E965" s="3">
        <v>964</v>
      </c>
      <c r="F965" s="3" t="s">
        <v>959</v>
      </c>
      <c r="G965" s="3" t="s">
        <v>1093</v>
      </c>
      <c r="H965" s="3" t="str">
        <f t="shared" si="9"/>
        <v>Data QA applied on NE3-V Void, computed by BMT WinMon.</v>
      </c>
    </row>
    <row r="966" spans="1:8" x14ac:dyDescent="0.25">
      <c r="A966" s="3" t="s">
        <v>6983</v>
      </c>
      <c r="B966" s="3" t="s">
        <v>6984</v>
      </c>
      <c r="C966" s="3" t="s">
        <v>6985</v>
      </c>
      <c r="D966" s="3" t="s">
        <v>1136</v>
      </c>
      <c r="E966" s="3">
        <v>965</v>
      </c>
      <c r="F966" s="3" t="s">
        <v>960</v>
      </c>
      <c r="G966" s="3" t="s">
        <v>1093</v>
      </c>
      <c r="H966" s="3" t="str">
        <f t="shared" si="9"/>
        <v>Data QA applied on SE3-V Void, computed by BMT WinMon.</v>
      </c>
    </row>
    <row r="967" spans="1:8" x14ac:dyDescent="0.25">
      <c r="A967" s="3" t="s">
        <v>6983</v>
      </c>
      <c r="B967" s="3" t="s">
        <v>6984</v>
      </c>
      <c r="C967" s="3" t="s">
        <v>6985</v>
      </c>
      <c r="D967" s="3" t="s">
        <v>1136</v>
      </c>
      <c r="E967" s="3">
        <v>966</v>
      </c>
      <c r="F967" s="3" t="s">
        <v>961</v>
      </c>
      <c r="G967" s="3" t="s">
        <v>1093</v>
      </c>
      <c r="H967" s="3" t="str">
        <f t="shared" si="9"/>
        <v>Data QA applied on SW3-V Void, computed by BMT WinMon.</v>
      </c>
    </row>
    <row r="968" spans="1:8" x14ac:dyDescent="0.25">
      <c r="A968" s="3" t="s">
        <v>6983</v>
      </c>
      <c r="B968" s="3" t="s">
        <v>6984</v>
      </c>
      <c r="C968" s="3" t="s">
        <v>6985</v>
      </c>
      <c r="D968" s="3" t="s">
        <v>1136</v>
      </c>
      <c r="E968" s="3">
        <v>967</v>
      </c>
      <c r="F968" s="3" t="s">
        <v>962</v>
      </c>
      <c r="G968" s="3" t="s">
        <v>1093</v>
      </c>
      <c r="H968" s="3" t="str">
        <f t="shared" si="9"/>
        <v>Data QA applied on NWA-VC Void, computed by BMT WinMon.</v>
      </c>
    </row>
    <row r="969" spans="1:8" x14ac:dyDescent="0.25">
      <c r="A969" s="3" t="s">
        <v>6983</v>
      </c>
      <c r="B969" s="3" t="s">
        <v>6984</v>
      </c>
      <c r="C969" s="3" t="s">
        <v>6985</v>
      </c>
      <c r="D969" s="3" t="s">
        <v>1136</v>
      </c>
      <c r="E969" s="3">
        <v>968</v>
      </c>
      <c r="F969" s="3" t="s">
        <v>963</v>
      </c>
      <c r="G969" s="3" t="s">
        <v>1093</v>
      </c>
      <c r="H969" s="3" t="str">
        <f t="shared" si="9"/>
        <v>Data QA applied on NEA-VC Void, computed by BMT WinMon.</v>
      </c>
    </row>
    <row r="970" spans="1:8" x14ac:dyDescent="0.25">
      <c r="A970" s="3" t="s">
        <v>6983</v>
      </c>
      <c r="B970" s="3" t="s">
        <v>6984</v>
      </c>
      <c r="C970" s="3" t="s">
        <v>6985</v>
      </c>
      <c r="D970" s="3" t="s">
        <v>1136</v>
      </c>
      <c r="E970" s="3">
        <v>969</v>
      </c>
      <c r="F970" s="3" t="s">
        <v>964</v>
      </c>
      <c r="G970" s="3" t="s">
        <v>1093</v>
      </c>
      <c r="H970" s="3" t="str">
        <f t="shared" si="9"/>
        <v>Data QA applied on SEA-VC Void, computed by BMT WinMon.</v>
      </c>
    </row>
    <row r="971" spans="1:8" x14ac:dyDescent="0.25">
      <c r="A971" s="3" t="s">
        <v>6983</v>
      </c>
      <c r="B971" s="3" t="s">
        <v>6984</v>
      </c>
      <c r="C971" s="3" t="s">
        <v>6985</v>
      </c>
      <c r="D971" s="3" t="s">
        <v>1136</v>
      </c>
      <c r="E971" s="3">
        <v>970</v>
      </c>
      <c r="F971" s="3" t="s">
        <v>965</v>
      </c>
      <c r="G971" s="3" t="s">
        <v>1093</v>
      </c>
      <c r="H971" s="3" t="str">
        <f t="shared" si="9"/>
        <v>Data QA applied on SWA-VC Void, computed by BMT WinMon.</v>
      </c>
    </row>
    <row r="972" spans="1:8" x14ac:dyDescent="0.25">
      <c r="A972" s="3" t="s">
        <v>6983</v>
      </c>
      <c r="B972" s="3" t="s">
        <v>6984</v>
      </c>
      <c r="C972" s="3" t="s">
        <v>6985</v>
      </c>
      <c r="D972" s="3" t="s">
        <v>1136</v>
      </c>
      <c r="E972" s="3">
        <v>971</v>
      </c>
      <c r="F972" s="3" t="s">
        <v>966</v>
      </c>
      <c r="G972" s="3" t="s">
        <v>1100</v>
      </c>
      <c r="H972" s="3" t="str">
        <f t="shared" si="9"/>
        <v>Data QA applied on ML 1 Tension, computed by BMT WinMon.</v>
      </c>
    </row>
    <row r="973" spans="1:8" x14ac:dyDescent="0.25">
      <c r="A973" s="3" t="s">
        <v>6983</v>
      </c>
      <c r="B973" s="3" t="s">
        <v>6984</v>
      </c>
      <c r="C973" s="3" t="s">
        <v>6985</v>
      </c>
      <c r="D973" s="3" t="s">
        <v>1136</v>
      </c>
      <c r="E973" s="3">
        <v>972</v>
      </c>
      <c r="F973" s="3" t="s">
        <v>967</v>
      </c>
      <c r="G973" s="3" t="s">
        <v>1093</v>
      </c>
      <c r="H973" s="3" t="str">
        <f t="shared" si="9"/>
        <v>Data QA applied on ML 1 Payout, computed by BMT WinMon.</v>
      </c>
    </row>
    <row r="974" spans="1:8" x14ac:dyDescent="0.25">
      <c r="A974" s="3" t="s">
        <v>6983</v>
      </c>
      <c r="B974" s="3" t="s">
        <v>6984</v>
      </c>
      <c r="C974" s="3" t="s">
        <v>6985</v>
      </c>
      <c r="D974" s="3" t="s">
        <v>1136</v>
      </c>
      <c r="E974" s="3">
        <v>973</v>
      </c>
      <c r="F974" s="3" t="s">
        <v>968</v>
      </c>
      <c r="G974" s="3" t="s">
        <v>4</v>
      </c>
      <c r="H974" s="3" t="str">
        <f t="shared" si="9"/>
        <v>Data QA applied on ML 1 Angle, computed by BMT WinMon.</v>
      </c>
    </row>
    <row r="975" spans="1:8" x14ac:dyDescent="0.25">
      <c r="A975" s="3" t="s">
        <v>6983</v>
      </c>
      <c r="B975" s="3" t="s">
        <v>6984</v>
      </c>
      <c r="C975" s="3" t="s">
        <v>6985</v>
      </c>
      <c r="D975" s="3" t="s">
        <v>1136</v>
      </c>
      <c r="E975" s="3">
        <v>974</v>
      </c>
      <c r="F975" s="3" t="s">
        <v>969</v>
      </c>
      <c r="G975" s="3" t="s">
        <v>1100</v>
      </c>
      <c r="H975" s="3" t="str">
        <f t="shared" si="9"/>
        <v>Data QA applied on ML 2 Tension, computed by BMT WinMon.</v>
      </c>
    </row>
    <row r="976" spans="1:8" x14ac:dyDescent="0.25">
      <c r="A976" s="3" t="s">
        <v>6983</v>
      </c>
      <c r="B976" s="3" t="s">
        <v>6984</v>
      </c>
      <c r="C976" s="3" t="s">
        <v>6985</v>
      </c>
      <c r="D976" s="3" t="s">
        <v>1136</v>
      </c>
      <c r="E976" s="3">
        <v>975</v>
      </c>
      <c r="F976" s="3" t="s">
        <v>970</v>
      </c>
      <c r="G976" s="3" t="s">
        <v>1093</v>
      </c>
      <c r="H976" s="3" t="str">
        <f t="shared" si="9"/>
        <v>Data QA applied on ML 2 Payout, computed by BMT WinMon.</v>
      </c>
    </row>
    <row r="977" spans="1:8" x14ac:dyDescent="0.25">
      <c r="A977" s="3" t="s">
        <v>6983</v>
      </c>
      <c r="B977" s="3" t="s">
        <v>6984</v>
      </c>
      <c r="C977" s="3" t="s">
        <v>6985</v>
      </c>
      <c r="D977" s="3" t="s">
        <v>1136</v>
      </c>
      <c r="E977" s="3">
        <v>976</v>
      </c>
      <c r="F977" s="3" t="s">
        <v>971</v>
      </c>
      <c r="G977" s="3" t="s">
        <v>4</v>
      </c>
      <c r="H977" s="3" t="str">
        <f t="shared" si="9"/>
        <v>Data QA applied on ML 2 Angle, computed by BMT WinMon.</v>
      </c>
    </row>
    <row r="978" spans="1:8" x14ac:dyDescent="0.25">
      <c r="A978" s="3" t="s">
        <v>6983</v>
      </c>
      <c r="B978" s="3" t="s">
        <v>6984</v>
      </c>
      <c r="C978" s="3" t="s">
        <v>6985</v>
      </c>
      <c r="D978" s="3" t="s">
        <v>1136</v>
      </c>
      <c r="E978" s="3">
        <v>977</v>
      </c>
      <c r="F978" s="3" t="s">
        <v>972</v>
      </c>
      <c r="G978" s="3" t="s">
        <v>1100</v>
      </c>
      <c r="H978" s="3" t="str">
        <f t="shared" si="9"/>
        <v>Data QA applied on ML 3 Tension, computed by BMT WinMon.</v>
      </c>
    </row>
    <row r="979" spans="1:8" x14ac:dyDescent="0.25">
      <c r="A979" s="3" t="s">
        <v>6983</v>
      </c>
      <c r="B979" s="3" t="s">
        <v>6984</v>
      </c>
      <c r="C979" s="3" t="s">
        <v>6985</v>
      </c>
      <c r="D979" s="3" t="s">
        <v>1136</v>
      </c>
      <c r="E979" s="3">
        <v>978</v>
      </c>
      <c r="F979" s="3" t="s">
        <v>973</v>
      </c>
      <c r="G979" s="3" t="s">
        <v>1093</v>
      </c>
      <c r="H979" s="3" t="str">
        <f t="shared" si="9"/>
        <v>Data QA applied on ML 3 Payout, computed by BMT WinMon.</v>
      </c>
    </row>
    <row r="980" spans="1:8" x14ac:dyDescent="0.25">
      <c r="A980" s="3" t="s">
        <v>6983</v>
      </c>
      <c r="B980" s="3" t="s">
        <v>6984</v>
      </c>
      <c r="C980" s="3" t="s">
        <v>6985</v>
      </c>
      <c r="D980" s="3" t="s">
        <v>1136</v>
      </c>
      <c r="E980" s="3">
        <v>979</v>
      </c>
      <c r="F980" s="3" t="s">
        <v>974</v>
      </c>
      <c r="G980" s="3" t="s">
        <v>4</v>
      </c>
      <c r="H980" s="3" t="str">
        <f t="shared" si="9"/>
        <v>Data QA applied on ML 3 Angle, computed by BMT WinMon.</v>
      </c>
    </row>
    <row r="981" spans="1:8" x14ac:dyDescent="0.25">
      <c r="A981" s="3" t="s">
        <v>6983</v>
      </c>
      <c r="B981" s="3" t="s">
        <v>6984</v>
      </c>
      <c r="C981" s="3" t="s">
        <v>6985</v>
      </c>
      <c r="D981" s="3" t="s">
        <v>1136</v>
      </c>
      <c r="E981" s="3">
        <v>980</v>
      </c>
      <c r="F981" s="3" t="s">
        <v>975</v>
      </c>
      <c r="G981" s="3" t="s">
        <v>1100</v>
      </c>
      <c r="H981" s="3" t="str">
        <f t="shared" si="9"/>
        <v>Data QA applied on ML 4 Tension, computed by BMT WinMon.</v>
      </c>
    </row>
    <row r="982" spans="1:8" x14ac:dyDescent="0.25">
      <c r="A982" s="3" t="s">
        <v>6983</v>
      </c>
      <c r="B982" s="3" t="s">
        <v>6984</v>
      </c>
      <c r="C982" s="3" t="s">
        <v>6985</v>
      </c>
      <c r="D982" s="3" t="s">
        <v>1136</v>
      </c>
      <c r="E982" s="3">
        <v>981</v>
      </c>
      <c r="F982" s="3" t="s">
        <v>976</v>
      </c>
      <c r="G982" s="3" t="s">
        <v>1093</v>
      </c>
      <c r="H982" s="3" t="str">
        <f t="shared" si="9"/>
        <v>Data QA applied on ML 4 Payout, computed by BMT WinMon.</v>
      </c>
    </row>
    <row r="983" spans="1:8" x14ac:dyDescent="0.25">
      <c r="A983" s="3" t="s">
        <v>6983</v>
      </c>
      <c r="B983" s="3" t="s">
        <v>6984</v>
      </c>
      <c r="C983" s="3" t="s">
        <v>6985</v>
      </c>
      <c r="D983" s="3" t="s">
        <v>1136</v>
      </c>
      <c r="E983" s="3">
        <v>982</v>
      </c>
      <c r="F983" s="3" t="s">
        <v>977</v>
      </c>
      <c r="G983" s="3" t="s">
        <v>4</v>
      </c>
      <c r="H983" s="3" t="str">
        <f t="shared" si="9"/>
        <v>Data QA applied on ML 4 Angle, computed by BMT WinMon.</v>
      </c>
    </row>
    <row r="984" spans="1:8" x14ac:dyDescent="0.25">
      <c r="A984" s="3" t="s">
        <v>6983</v>
      </c>
      <c r="B984" s="3" t="s">
        <v>6984</v>
      </c>
      <c r="C984" s="3" t="s">
        <v>6985</v>
      </c>
      <c r="D984" s="3" t="s">
        <v>1136</v>
      </c>
      <c r="E984" s="3">
        <v>983</v>
      </c>
      <c r="F984" s="3" t="s">
        <v>978</v>
      </c>
      <c r="G984" s="3" t="s">
        <v>1100</v>
      </c>
      <c r="H984" s="3" t="str">
        <f t="shared" si="9"/>
        <v>Data QA applied on ML 5 Tension, computed by BMT WinMon.</v>
      </c>
    </row>
    <row r="985" spans="1:8" x14ac:dyDescent="0.25">
      <c r="A985" s="3" t="s">
        <v>6983</v>
      </c>
      <c r="B985" s="3" t="s">
        <v>6984</v>
      </c>
      <c r="C985" s="3" t="s">
        <v>6985</v>
      </c>
      <c r="D985" s="3" t="s">
        <v>1136</v>
      </c>
      <c r="E985" s="3">
        <v>984</v>
      </c>
      <c r="F985" s="3" t="s">
        <v>979</v>
      </c>
      <c r="G985" s="3" t="s">
        <v>1093</v>
      </c>
      <c r="H985" s="3" t="str">
        <f t="shared" si="9"/>
        <v>Data QA applied on ML 5 Payout, computed by BMT WinMon.</v>
      </c>
    </row>
    <row r="986" spans="1:8" x14ac:dyDescent="0.25">
      <c r="A986" s="3" t="s">
        <v>6983</v>
      </c>
      <c r="B986" s="3" t="s">
        <v>6984</v>
      </c>
      <c r="C986" s="3" t="s">
        <v>6985</v>
      </c>
      <c r="D986" s="3" t="s">
        <v>1136</v>
      </c>
      <c r="E986" s="3">
        <v>985</v>
      </c>
      <c r="F986" s="3" t="s">
        <v>980</v>
      </c>
      <c r="G986" s="3" t="s">
        <v>4</v>
      </c>
      <c r="H986" s="3" t="str">
        <f t="shared" si="9"/>
        <v>Data QA applied on ML 5 Angle, computed by BMT WinMon.</v>
      </c>
    </row>
    <row r="987" spans="1:8" x14ac:dyDescent="0.25">
      <c r="A987" s="3" t="s">
        <v>6983</v>
      </c>
      <c r="B987" s="3" t="s">
        <v>6984</v>
      </c>
      <c r="C987" s="3" t="s">
        <v>6985</v>
      </c>
      <c r="D987" s="3" t="s">
        <v>1136</v>
      </c>
      <c r="E987" s="3">
        <v>986</v>
      </c>
      <c r="F987" s="3" t="s">
        <v>981</v>
      </c>
      <c r="G987" s="3" t="s">
        <v>1100</v>
      </c>
      <c r="H987" s="3" t="str">
        <f t="shared" si="9"/>
        <v>Data QA applied on ML 6 Tension, computed by BMT WinMon.</v>
      </c>
    </row>
    <row r="988" spans="1:8" x14ac:dyDescent="0.25">
      <c r="A988" s="3" t="s">
        <v>6983</v>
      </c>
      <c r="B988" s="3" t="s">
        <v>6984</v>
      </c>
      <c r="C988" s="3" t="s">
        <v>6985</v>
      </c>
      <c r="D988" s="3" t="s">
        <v>1136</v>
      </c>
      <c r="E988" s="3">
        <v>987</v>
      </c>
      <c r="F988" s="3" t="s">
        <v>982</v>
      </c>
      <c r="G988" s="3" t="s">
        <v>1093</v>
      </c>
      <c r="H988" s="3" t="str">
        <f t="shared" si="9"/>
        <v>Data QA applied on ML 6 Payout, computed by BMT WinMon.</v>
      </c>
    </row>
    <row r="989" spans="1:8" x14ac:dyDescent="0.25">
      <c r="A989" s="3" t="s">
        <v>6983</v>
      </c>
      <c r="B989" s="3" t="s">
        <v>6984</v>
      </c>
      <c r="C989" s="3" t="s">
        <v>6985</v>
      </c>
      <c r="D989" s="3" t="s">
        <v>1136</v>
      </c>
      <c r="E989" s="3">
        <v>988</v>
      </c>
      <c r="F989" s="3" t="s">
        <v>983</v>
      </c>
      <c r="G989" s="3" t="s">
        <v>4</v>
      </c>
      <c r="H989" s="3" t="str">
        <f t="shared" si="9"/>
        <v>Data QA applied on ML 6 Angle, computed by BMT WinMon.</v>
      </c>
    </row>
    <row r="990" spans="1:8" x14ac:dyDescent="0.25">
      <c r="A990" s="3" t="s">
        <v>6983</v>
      </c>
      <c r="B990" s="3" t="s">
        <v>6984</v>
      </c>
      <c r="C990" s="3" t="s">
        <v>6985</v>
      </c>
      <c r="D990" s="3" t="s">
        <v>1136</v>
      </c>
      <c r="E990" s="3">
        <v>989</v>
      </c>
      <c r="F990" s="3" t="s">
        <v>984</v>
      </c>
      <c r="G990" s="3" t="s">
        <v>1100</v>
      </c>
      <c r="H990" s="3" t="str">
        <f t="shared" si="9"/>
        <v>Data QA applied on ML 7 Tension, computed by BMT WinMon.</v>
      </c>
    </row>
    <row r="991" spans="1:8" x14ac:dyDescent="0.25">
      <c r="A991" s="3" t="s">
        <v>6983</v>
      </c>
      <c r="B991" s="3" t="s">
        <v>6984</v>
      </c>
      <c r="C991" s="3" t="s">
        <v>6985</v>
      </c>
      <c r="D991" s="3" t="s">
        <v>1136</v>
      </c>
      <c r="E991" s="3">
        <v>990</v>
      </c>
      <c r="F991" s="3" t="s">
        <v>985</v>
      </c>
      <c r="G991" s="3" t="s">
        <v>1093</v>
      </c>
      <c r="H991" s="3" t="str">
        <f t="shared" si="9"/>
        <v>Data QA applied on ML 7 Payout, computed by BMT WinMon.</v>
      </c>
    </row>
    <row r="992" spans="1:8" x14ac:dyDescent="0.25">
      <c r="A992" s="3" t="s">
        <v>6983</v>
      </c>
      <c r="B992" s="3" t="s">
        <v>6984</v>
      </c>
      <c r="C992" s="3" t="s">
        <v>6985</v>
      </c>
      <c r="D992" s="3" t="s">
        <v>1136</v>
      </c>
      <c r="E992" s="3">
        <v>991</v>
      </c>
      <c r="F992" s="3" t="s">
        <v>986</v>
      </c>
      <c r="G992" s="3" t="s">
        <v>4</v>
      </c>
      <c r="H992" s="3" t="str">
        <f t="shared" si="9"/>
        <v>Data QA applied on ML 7 Angle, computed by BMT WinMon.</v>
      </c>
    </row>
    <row r="993" spans="1:8" x14ac:dyDescent="0.25">
      <c r="A993" s="3" t="s">
        <v>6983</v>
      </c>
      <c r="B993" s="3" t="s">
        <v>6984</v>
      </c>
      <c r="C993" s="3" t="s">
        <v>6985</v>
      </c>
      <c r="D993" s="3" t="s">
        <v>1136</v>
      </c>
      <c r="E993" s="3">
        <v>992</v>
      </c>
      <c r="F993" s="3" t="s">
        <v>987</v>
      </c>
      <c r="G993" s="3" t="s">
        <v>1100</v>
      </c>
      <c r="H993" s="3" t="str">
        <f t="shared" si="9"/>
        <v>Data QA applied on ML 8 Tension, computed by BMT WinMon.</v>
      </c>
    </row>
    <row r="994" spans="1:8" x14ac:dyDescent="0.25">
      <c r="A994" s="3" t="s">
        <v>6983</v>
      </c>
      <c r="B994" s="3" t="s">
        <v>6984</v>
      </c>
      <c r="C994" s="3" t="s">
        <v>6985</v>
      </c>
      <c r="D994" s="3" t="s">
        <v>1136</v>
      </c>
      <c r="E994" s="3">
        <v>993</v>
      </c>
      <c r="F994" s="3" t="s">
        <v>988</v>
      </c>
      <c r="G994" s="3" t="s">
        <v>1093</v>
      </c>
      <c r="H994" s="3" t="str">
        <f t="shared" si="9"/>
        <v>Data QA applied on ML 8 Payout, computed by BMT WinMon.</v>
      </c>
    </row>
    <row r="995" spans="1:8" x14ac:dyDescent="0.25">
      <c r="A995" s="3" t="s">
        <v>6983</v>
      </c>
      <c r="B995" s="3" t="s">
        <v>6984</v>
      </c>
      <c r="C995" s="3" t="s">
        <v>6985</v>
      </c>
      <c r="D995" s="3" t="s">
        <v>1136</v>
      </c>
      <c r="E995" s="3">
        <v>994</v>
      </c>
      <c r="F995" s="3" t="s">
        <v>989</v>
      </c>
      <c r="G995" s="3" t="s">
        <v>4</v>
      </c>
      <c r="H995" s="3" t="str">
        <f t="shared" si="9"/>
        <v>Data QA applied on ML 8 Angle, computed by BMT WinMon.</v>
      </c>
    </row>
    <row r="996" spans="1:8" x14ac:dyDescent="0.25">
      <c r="A996" s="3" t="s">
        <v>6983</v>
      </c>
      <c r="B996" s="3" t="s">
        <v>6984</v>
      </c>
      <c r="C996" s="3" t="s">
        <v>6985</v>
      </c>
      <c r="D996" s="3" t="s">
        <v>1136</v>
      </c>
      <c r="E996" s="3">
        <v>995</v>
      </c>
      <c r="F996" s="3" t="s">
        <v>990</v>
      </c>
      <c r="G996" s="3" t="s">
        <v>1100</v>
      </c>
      <c r="H996" s="3" t="str">
        <f t="shared" si="9"/>
        <v>Data QA applied on ML 9 Tension, computed by BMT WinMon.</v>
      </c>
    </row>
    <row r="997" spans="1:8" x14ac:dyDescent="0.25">
      <c r="A997" s="3" t="s">
        <v>6983</v>
      </c>
      <c r="B997" s="3" t="s">
        <v>6984</v>
      </c>
      <c r="C997" s="3" t="s">
        <v>6985</v>
      </c>
      <c r="D997" s="3" t="s">
        <v>1136</v>
      </c>
      <c r="E997" s="3">
        <v>996</v>
      </c>
      <c r="F997" s="3" t="s">
        <v>991</v>
      </c>
      <c r="G997" s="3" t="s">
        <v>1093</v>
      </c>
      <c r="H997" s="3" t="str">
        <f t="shared" si="9"/>
        <v>Data QA applied on ML 9 Payout, computed by BMT WinMon.</v>
      </c>
    </row>
    <row r="998" spans="1:8" x14ac:dyDescent="0.25">
      <c r="A998" s="3" t="s">
        <v>6983</v>
      </c>
      <c r="B998" s="3" t="s">
        <v>6984</v>
      </c>
      <c r="C998" s="3" t="s">
        <v>6985</v>
      </c>
      <c r="D998" s="3" t="s">
        <v>1136</v>
      </c>
      <c r="E998" s="3">
        <v>997</v>
      </c>
      <c r="F998" s="3" t="s">
        <v>992</v>
      </c>
      <c r="G998" s="3" t="s">
        <v>4</v>
      </c>
      <c r="H998" s="3" t="str">
        <f t="shared" si="9"/>
        <v>Data QA applied on ML 9 Angle, computed by BMT WinMon.</v>
      </c>
    </row>
    <row r="999" spans="1:8" x14ac:dyDescent="0.25">
      <c r="A999" s="3" t="s">
        <v>6983</v>
      </c>
      <c r="B999" s="3" t="s">
        <v>6984</v>
      </c>
      <c r="C999" s="3" t="s">
        <v>6985</v>
      </c>
      <c r="D999" s="3" t="s">
        <v>1136</v>
      </c>
      <c r="E999" s="3">
        <v>998</v>
      </c>
      <c r="F999" s="3" t="s">
        <v>993</v>
      </c>
      <c r="G999" s="3" t="s">
        <v>1100</v>
      </c>
      <c r="H999" s="3" t="str">
        <f t="shared" si="9"/>
        <v>Data QA applied on ML 10 Tension, computed by BMT WinMon.</v>
      </c>
    </row>
    <row r="1000" spans="1:8" x14ac:dyDescent="0.25">
      <c r="A1000" s="3" t="s">
        <v>6983</v>
      </c>
      <c r="B1000" s="3" t="s">
        <v>6984</v>
      </c>
      <c r="C1000" s="3" t="s">
        <v>6985</v>
      </c>
      <c r="D1000" s="3" t="s">
        <v>1136</v>
      </c>
      <c r="E1000" s="3">
        <v>999</v>
      </c>
      <c r="F1000" s="3" t="s">
        <v>994</v>
      </c>
      <c r="G1000" s="3" t="s">
        <v>1093</v>
      </c>
      <c r="H1000" s="3" t="str">
        <f t="shared" si="9"/>
        <v>Data QA applied on ML 10 Payout, computed by BMT WinMon.</v>
      </c>
    </row>
    <row r="1001" spans="1:8" x14ac:dyDescent="0.25">
      <c r="A1001" s="3" t="s">
        <v>6983</v>
      </c>
      <c r="B1001" s="3" t="s">
        <v>6984</v>
      </c>
      <c r="C1001" s="3" t="s">
        <v>6985</v>
      </c>
      <c r="D1001" s="3" t="s">
        <v>1136</v>
      </c>
      <c r="E1001" s="3">
        <v>1000</v>
      </c>
      <c r="F1001" s="3" t="s">
        <v>995</v>
      </c>
      <c r="G1001" s="3" t="s">
        <v>4</v>
      </c>
      <c r="H1001" s="3" t="str">
        <f t="shared" si="9"/>
        <v>Data QA applied on ML 10 Angle, computed by BMT WinMon.</v>
      </c>
    </row>
    <row r="1002" spans="1:8" x14ac:dyDescent="0.25">
      <c r="A1002" s="3" t="s">
        <v>6983</v>
      </c>
      <c r="B1002" s="3" t="s">
        <v>6984</v>
      </c>
      <c r="C1002" s="3" t="s">
        <v>6985</v>
      </c>
      <c r="D1002" s="3" t="s">
        <v>1136</v>
      </c>
      <c r="E1002" s="3">
        <v>1001</v>
      </c>
      <c r="F1002" s="3" t="s">
        <v>996</v>
      </c>
      <c r="G1002" s="3" t="s">
        <v>1100</v>
      </c>
      <c r="H1002" s="3" t="str">
        <f t="shared" si="9"/>
        <v>Data QA applied on ML 11 Tension, computed by BMT WinMon.</v>
      </c>
    </row>
    <row r="1003" spans="1:8" x14ac:dyDescent="0.25">
      <c r="A1003" s="3" t="s">
        <v>6983</v>
      </c>
      <c r="B1003" s="3" t="s">
        <v>6984</v>
      </c>
      <c r="C1003" s="3" t="s">
        <v>6985</v>
      </c>
      <c r="D1003" s="3" t="s">
        <v>1136</v>
      </c>
      <c r="E1003" s="3">
        <v>1002</v>
      </c>
      <c r="F1003" s="3" t="s">
        <v>997</v>
      </c>
      <c r="G1003" s="3" t="s">
        <v>1093</v>
      </c>
      <c r="H1003" s="3" t="str">
        <f t="shared" si="9"/>
        <v>Data QA applied on ML 11 Payout, computed by BMT WinMon.</v>
      </c>
    </row>
    <row r="1004" spans="1:8" x14ac:dyDescent="0.25">
      <c r="A1004" s="3" t="s">
        <v>6983</v>
      </c>
      <c r="B1004" s="3" t="s">
        <v>6984</v>
      </c>
      <c r="C1004" s="3" t="s">
        <v>6985</v>
      </c>
      <c r="D1004" s="3" t="s">
        <v>1136</v>
      </c>
      <c r="E1004" s="3">
        <v>1003</v>
      </c>
      <c r="F1004" s="3" t="s">
        <v>998</v>
      </c>
      <c r="G1004" s="3" t="s">
        <v>4</v>
      </c>
      <c r="H1004" s="3" t="str">
        <f t="shared" si="9"/>
        <v>Data QA applied on ML 11 Angle, computed by BMT WinMon.</v>
      </c>
    </row>
    <row r="1005" spans="1:8" x14ac:dyDescent="0.25">
      <c r="A1005" s="3" t="s">
        <v>6983</v>
      </c>
      <c r="B1005" s="3" t="s">
        <v>6984</v>
      </c>
      <c r="C1005" s="3" t="s">
        <v>6985</v>
      </c>
      <c r="D1005" s="3" t="s">
        <v>1136</v>
      </c>
      <c r="E1005" s="3">
        <v>1004</v>
      </c>
      <c r="F1005" s="3" t="s">
        <v>999</v>
      </c>
      <c r="G1005" s="3" t="s">
        <v>1100</v>
      </c>
      <c r="H1005" s="3" t="str">
        <f t="shared" si="9"/>
        <v>Data QA applied on ML 12 Tension, computed by BMT WinMon.</v>
      </c>
    </row>
    <row r="1006" spans="1:8" x14ac:dyDescent="0.25">
      <c r="A1006" s="3" t="s">
        <v>6983</v>
      </c>
      <c r="B1006" s="3" t="s">
        <v>6984</v>
      </c>
      <c r="C1006" s="3" t="s">
        <v>6985</v>
      </c>
      <c r="D1006" s="3" t="s">
        <v>1136</v>
      </c>
      <c r="E1006" s="3">
        <v>1005</v>
      </c>
      <c r="F1006" s="3" t="s">
        <v>1000</v>
      </c>
      <c r="G1006" s="3" t="s">
        <v>1093</v>
      </c>
      <c r="H1006" s="3" t="str">
        <f t="shared" si="9"/>
        <v>Data QA applied on ML 12 Payout, computed by BMT WinMon.</v>
      </c>
    </row>
    <row r="1007" spans="1:8" x14ac:dyDescent="0.25">
      <c r="A1007" s="3" t="s">
        <v>6983</v>
      </c>
      <c r="B1007" s="3" t="s">
        <v>6984</v>
      </c>
      <c r="C1007" s="3" t="s">
        <v>6985</v>
      </c>
      <c r="D1007" s="3" t="s">
        <v>1136</v>
      </c>
      <c r="E1007" s="3">
        <v>1006</v>
      </c>
      <c r="F1007" s="3" t="s">
        <v>1001</v>
      </c>
      <c r="G1007" s="3" t="s">
        <v>4</v>
      </c>
      <c r="H1007" s="3" t="str">
        <f t="shared" si="9"/>
        <v>Data QA applied on ML 12 Angle, computed by BMT WinMon.</v>
      </c>
    </row>
    <row r="1008" spans="1:8" x14ac:dyDescent="0.25">
      <c r="A1008" s="3" t="s">
        <v>6983</v>
      </c>
      <c r="B1008" s="3" t="s">
        <v>6984</v>
      </c>
      <c r="C1008" s="3" t="s">
        <v>6985</v>
      </c>
      <c r="D1008" s="3" t="s">
        <v>1136</v>
      </c>
      <c r="E1008" s="3">
        <v>1007</v>
      </c>
      <c r="F1008" s="3" t="s">
        <v>1002</v>
      </c>
      <c r="G1008" s="3" t="s">
        <v>1100</v>
      </c>
      <c r="H1008" s="3" t="str">
        <f t="shared" si="9"/>
        <v>Data QA applied on ML 13 Tension, computed by BMT WinMon.</v>
      </c>
    </row>
    <row r="1009" spans="1:8" x14ac:dyDescent="0.25">
      <c r="A1009" s="3" t="s">
        <v>6983</v>
      </c>
      <c r="B1009" s="3" t="s">
        <v>6984</v>
      </c>
      <c r="C1009" s="3" t="s">
        <v>6985</v>
      </c>
      <c r="D1009" s="3" t="s">
        <v>1136</v>
      </c>
      <c r="E1009" s="3">
        <v>1008</v>
      </c>
      <c r="F1009" s="3" t="s">
        <v>1003</v>
      </c>
      <c r="G1009" s="3" t="s">
        <v>1093</v>
      </c>
      <c r="H1009" s="3" t="str">
        <f t="shared" si="9"/>
        <v>Data QA applied on ML 13 Payout, computed by BMT WinMon.</v>
      </c>
    </row>
    <row r="1010" spans="1:8" x14ac:dyDescent="0.25">
      <c r="A1010" s="3" t="s">
        <v>6983</v>
      </c>
      <c r="B1010" s="3" t="s">
        <v>6984</v>
      </c>
      <c r="C1010" s="3" t="s">
        <v>6985</v>
      </c>
      <c r="D1010" s="3" t="s">
        <v>1136</v>
      </c>
      <c r="E1010" s="3">
        <v>1009</v>
      </c>
      <c r="F1010" s="3" t="s">
        <v>1004</v>
      </c>
      <c r="G1010" s="3" t="s">
        <v>4</v>
      </c>
      <c r="H1010" s="3" t="str">
        <f t="shared" si="9"/>
        <v>Data QA applied on ML 13 Angle, computed by BMT WinMon.</v>
      </c>
    </row>
    <row r="1011" spans="1:8" x14ac:dyDescent="0.25">
      <c r="A1011" s="3" t="s">
        <v>6983</v>
      </c>
      <c r="B1011" s="3" t="s">
        <v>6984</v>
      </c>
      <c r="C1011" s="3" t="s">
        <v>6985</v>
      </c>
      <c r="D1011" s="3" t="s">
        <v>1136</v>
      </c>
      <c r="E1011" s="3">
        <v>1010</v>
      </c>
      <c r="F1011" s="3" t="s">
        <v>1005</v>
      </c>
      <c r="G1011" s="3" t="s">
        <v>1100</v>
      </c>
      <c r="H1011" s="3" t="str">
        <f t="shared" si="9"/>
        <v>Data QA applied on ML 14 Tension, computed by BMT WinMon.</v>
      </c>
    </row>
    <row r="1012" spans="1:8" x14ac:dyDescent="0.25">
      <c r="A1012" s="3" t="s">
        <v>6983</v>
      </c>
      <c r="B1012" s="3" t="s">
        <v>6984</v>
      </c>
      <c r="C1012" s="3" t="s">
        <v>6985</v>
      </c>
      <c r="D1012" s="3" t="s">
        <v>1136</v>
      </c>
      <c r="E1012" s="3">
        <v>1011</v>
      </c>
      <c r="F1012" s="3" t="s">
        <v>1006</v>
      </c>
      <c r="G1012" s="3" t="s">
        <v>1093</v>
      </c>
      <c r="H1012" s="3" t="str">
        <f t="shared" si="9"/>
        <v>Data QA applied on ML 14 Payout, computed by BMT WinMon.</v>
      </c>
    </row>
    <row r="1013" spans="1:8" x14ac:dyDescent="0.25">
      <c r="A1013" s="3" t="s">
        <v>6983</v>
      </c>
      <c r="B1013" s="3" t="s">
        <v>6984</v>
      </c>
      <c r="C1013" s="3" t="s">
        <v>6985</v>
      </c>
      <c r="D1013" s="3" t="s">
        <v>1136</v>
      </c>
      <c r="E1013" s="3">
        <v>1012</v>
      </c>
      <c r="F1013" s="3" t="s">
        <v>1007</v>
      </c>
      <c r="G1013" s="3" t="s">
        <v>4</v>
      </c>
      <c r="H1013" s="3" t="str">
        <f t="shared" si="9"/>
        <v>Data QA applied on ML 14 Angle, computed by BMT WinMon.</v>
      </c>
    </row>
    <row r="1014" spans="1:8" x14ac:dyDescent="0.25">
      <c r="A1014" s="3" t="s">
        <v>6983</v>
      </c>
      <c r="B1014" s="3" t="s">
        <v>6984</v>
      </c>
      <c r="C1014" s="3" t="s">
        <v>6985</v>
      </c>
      <c r="D1014" s="3" t="s">
        <v>1136</v>
      </c>
      <c r="E1014" s="3">
        <v>1013</v>
      </c>
      <c r="F1014" s="3" t="s">
        <v>1008</v>
      </c>
      <c r="G1014" s="3" t="s">
        <v>1100</v>
      </c>
      <c r="H1014" s="3" t="str">
        <f t="shared" si="9"/>
        <v>Data QA applied on ML 15 Tension, computed by BMT WinMon.</v>
      </c>
    </row>
    <row r="1015" spans="1:8" x14ac:dyDescent="0.25">
      <c r="A1015" s="3" t="s">
        <v>6983</v>
      </c>
      <c r="B1015" s="3" t="s">
        <v>6984</v>
      </c>
      <c r="C1015" s="3" t="s">
        <v>6985</v>
      </c>
      <c r="D1015" s="3" t="s">
        <v>1136</v>
      </c>
      <c r="E1015" s="3">
        <v>1014</v>
      </c>
      <c r="F1015" s="3" t="s">
        <v>1009</v>
      </c>
      <c r="G1015" s="3" t="s">
        <v>1093</v>
      </c>
      <c r="H1015" s="3" t="str">
        <f t="shared" si="9"/>
        <v>Data QA applied on ML 15 Payout, computed by BMT WinMon.</v>
      </c>
    </row>
    <row r="1016" spans="1:8" x14ac:dyDescent="0.25">
      <c r="A1016" s="3" t="s">
        <v>6983</v>
      </c>
      <c r="B1016" s="3" t="s">
        <v>6984</v>
      </c>
      <c r="C1016" s="3" t="s">
        <v>6985</v>
      </c>
      <c r="D1016" s="3" t="s">
        <v>1136</v>
      </c>
      <c r="E1016" s="3">
        <v>1015</v>
      </c>
      <c r="F1016" s="3" t="s">
        <v>1010</v>
      </c>
      <c r="G1016" s="3" t="s">
        <v>4</v>
      </c>
      <c r="H1016" s="3" t="str">
        <f t="shared" si="9"/>
        <v>Data QA applied on ML 15 Angle, computed by BMT WinMon.</v>
      </c>
    </row>
    <row r="1017" spans="1:8" x14ac:dyDescent="0.25">
      <c r="A1017" s="3" t="s">
        <v>6983</v>
      </c>
      <c r="B1017" s="3" t="s">
        <v>6984</v>
      </c>
      <c r="C1017" s="3" t="s">
        <v>6985</v>
      </c>
      <c r="D1017" s="3" t="s">
        <v>1136</v>
      </c>
      <c r="E1017" s="3">
        <v>1016</v>
      </c>
      <c r="F1017" s="3" t="s">
        <v>1011</v>
      </c>
      <c r="G1017" s="3" t="s">
        <v>1100</v>
      </c>
      <c r="H1017" s="3" t="str">
        <f t="shared" si="9"/>
        <v>Data QA applied on ML 16 Tension, computed by BMT WinMon.</v>
      </c>
    </row>
    <row r="1018" spans="1:8" x14ac:dyDescent="0.25">
      <c r="A1018" s="3" t="s">
        <v>6983</v>
      </c>
      <c r="B1018" s="3" t="s">
        <v>6984</v>
      </c>
      <c r="C1018" s="3" t="s">
        <v>6985</v>
      </c>
      <c r="D1018" s="3" t="s">
        <v>1136</v>
      </c>
      <c r="E1018" s="3">
        <v>1017</v>
      </c>
      <c r="F1018" s="3" t="s">
        <v>1012</v>
      </c>
      <c r="G1018" s="3" t="s">
        <v>1093</v>
      </c>
      <c r="H1018" s="3" t="str">
        <f t="shared" si="9"/>
        <v>Data QA applied on ML 16 Payout, computed by BMT WinMon.</v>
      </c>
    </row>
    <row r="1019" spans="1:8" x14ac:dyDescent="0.25">
      <c r="A1019" s="3" t="s">
        <v>6983</v>
      </c>
      <c r="B1019" s="3" t="s">
        <v>6984</v>
      </c>
      <c r="C1019" s="3" t="s">
        <v>6985</v>
      </c>
      <c r="D1019" s="3" t="s">
        <v>1136</v>
      </c>
      <c r="E1019" s="3">
        <v>1018</v>
      </c>
      <c r="F1019" s="3" t="s">
        <v>1013</v>
      </c>
      <c r="G1019" s="3" t="s">
        <v>4</v>
      </c>
      <c r="H1019" s="3" t="str">
        <f t="shared" si="9"/>
        <v>Data QA applied on ML 16 Angle, computed by BMT WinMon.</v>
      </c>
    </row>
    <row r="1020" spans="1:8" x14ac:dyDescent="0.25">
      <c r="A1020" s="3" t="s">
        <v>6983</v>
      </c>
      <c r="B1020" s="3" t="s">
        <v>6984</v>
      </c>
      <c r="C1020" s="3" t="s">
        <v>6985</v>
      </c>
      <c r="D1020" s="3" t="s">
        <v>1136</v>
      </c>
      <c r="E1020" s="3">
        <v>1019</v>
      </c>
      <c r="F1020" s="3" t="s">
        <v>1014</v>
      </c>
      <c r="G1020" s="3" t="s">
        <v>1093</v>
      </c>
      <c r="H1020" s="3" t="str">
        <f t="shared" si="9"/>
        <v>Data QA applied on LT0350A1, computed by BMT WinMon.</v>
      </c>
    </row>
    <row r="1021" spans="1:8" x14ac:dyDescent="0.25">
      <c r="A1021" s="3" t="s">
        <v>6983</v>
      </c>
      <c r="B1021" s="3" t="s">
        <v>6984</v>
      </c>
      <c r="C1021" s="3" t="s">
        <v>6985</v>
      </c>
      <c r="D1021" s="3" t="s">
        <v>1136</v>
      </c>
      <c r="E1021" s="3">
        <v>1020</v>
      </c>
      <c r="F1021" s="3" t="s">
        <v>1015</v>
      </c>
      <c r="G1021" s="3" t="s">
        <v>1093</v>
      </c>
      <c r="H1021" s="3" t="str">
        <f t="shared" ref="H1021:H1069" si="10">_xlfn.CONCAT("Data QA applied on ",_xlfn.TEXTAFTER(F1021, "MAS "), ", computed by BMT WinMon.")</f>
        <v>Data QA applied on ILT0455A1, computed by BMT WinMon.</v>
      </c>
    </row>
    <row r="1022" spans="1:8" x14ac:dyDescent="0.25">
      <c r="A1022" s="3" t="s">
        <v>6983</v>
      </c>
      <c r="B1022" s="3" t="s">
        <v>6984</v>
      </c>
      <c r="C1022" s="3" t="s">
        <v>6985</v>
      </c>
      <c r="D1022" s="3" t="s">
        <v>1136</v>
      </c>
      <c r="E1022" s="3">
        <v>1021</v>
      </c>
      <c r="F1022" s="3" t="s">
        <v>1016</v>
      </c>
      <c r="G1022" s="3" t="s">
        <v>1093</v>
      </c>
      <c r="H1022" s="3" t="str">
        <f t="shared" si="10"/>
        <v>Data QA applied on LT0455B1, computed by BMT WinMon.</v>
      </c>
    </row>
    <row r="1023" spans="1:8" x14ac:dyDescent="0.25">
      <c r="A1023" s="3" t="s">
        <v>6983</v>
      </c>
      <c r="B1023" s="3" t="s">
        <v>6984</v>
      </c>
      <c r="C1023" s="3" t="s">
        <v>6985</v>
      </c>
      <c r="D1023" s="3" t="s">
        <v>1136</v>
      </c>
      <c r="E1023" s="3">
        <v>1022</v>
      </c>
      <c r="F1023" s="3" t="s">
        <v>1017</v>
      </c>
      <c r="G1023" s="3" t="s">
        <v>1093</v>
      </c>
      <c r="H1023" s="3" t="str">
        <f t="shared" si="10"/>
        <v>Data QA applied on LT0390A1, computed by BMT WinMon.</v>
      </c>
    </row>
    <row r="1024" spans="1:8" x14ac:dyDescent="0.25">
      <c r="A1024" s="3" t="s">
        <v>6983</v>
      </c>
      <c r="B1024" s="3" t="s">
        <v>6984</v>
      </c>
      <c r="C1024" s="3" t="s">
        <v>6985</v>
      </c>
      <c r="D1024" s="3" t="s">
        <v>1136</v>
      </c>
      <c r="E1024" s="3">
        <v>1023</v>
      </c>
      <c r="F1024" s="3" t="s">
        <v>1018</v>
      </c>
      <c r="G1024" s="3" t="s">
        <v>1093</v>
      </c>
      <c r="H1024" s="3" t="str">
        <f t="shared" si="10"/>
        <v>Data QA applied on LT0610A1, computed by BMT WinMon.</v>
      </c>
    </row>
    <row r="1025" spans="1:8" x14ac:dyDescent="0.25">
      <c r="A1025" s="3" t="s">
        <v>6983</v>
      </c>
      <c r="B1025" s="3" t="s">
        <v>6984</v>
      </c>
      <c r="C1025" s="3" t="s">
        <v>6985</v>
      </c>
      <c r="D1025" s="3" t="s">
        <v>1136</v>
      </c>
      <c r="E1025" s="3">
        <v>1024</v>
      </c>
      <c r="F1025" s="3" t="s">
        <v>1019</v>
      </c>
      <c r="G1025" s="3" t="s">
        <v>1093</v>
      </c>
      <c r="H1025" s="3" t="str">
        <f t="shared" si="10"/>
        <v>Data QA applied on LT0651A1, computed by BMT WinMon.</v>
      </c>
    </row>
    <row r="1026" spans="1:8" x14ac:dyDescent="0.25">
      <c r="A1026" s="3" t="s">
        <v>6983</v>
      </c>
      <c r="B1026" s="3" t="s">
        <v>6984</v>
      </c>
      <c r="C1026" s="3" t="s">
        <v>6985</v>
      </c>
      <c r="D1026" s="3" t="s">
        <v>1136</v>
      </c>
      <c r="E1026" s="3">
        <v>1025</v>
      </c>
      <c r="F1026" s="3" t="s">
        <v>1020</v>
      </c>
      <c r="G1026" s="3" t="s">
        <v>1093</v>
      </c>
      <c r="H1026" s="3" t="str">
        <f t="shared" si="10"/>
        <v>Data QA applied on LT2700A1, computed by BMT WinMon.</v>
      </c>
    </row>
    <row r="1027" spans="1:8" x14ac:dyDescent="0.25">
      <c r="A1027" s="3" t="s">
        <v>6983</v>
      </c>
      <c r="B1027" s="3" t="s">
        <v>6984</v>
      </c>
      <c r="C1027" s="3" t="s">
        <v>6985</v>
      </c>
      <c r="D1027" s="3" t="s">
        <v>1136</v>
      </c>
      <c r="E1027" s="3">
        <v>1026</v>
      </c>
      <c r="F1027" s="3" t="s">
        <v>1021</v>
      </c>
      <c r="G1027" s="3" t="s">
        <v>1093</v>
      </c>
      <c r="H1027" s="3" t="str">
        <f t="shared" si="10"/>
        <v>Data QA applied on LT0420A1, computed by BMT WinMon.</v>
      </c>
    </row>
    <row r="1028" spans="1:8" x14ac:dyDescent="0.25">
      <c r="A1028" s="3" t="s">
        <v>6983</v>
      </c>
      <c r="B1028" s="3" t="s">
        <v>6984</v>
      </c>
      <c r="C1028" s="3" t="s">
        <v>6985</v>
      </c>
      <c r="D1028" s="3" t="s">
        <v>1136</v>
      </c>
      <c r="E1028" s="3">
        <v>1027</v>
      </c>
      <c r="F1028" s="3" t="s">
        <v>1022</v>
      </c>
      <c r="G1028" s="3" t="s">
        <v>1093</v>
      </c>
      <c r="H1028" s="3" t="str">
        <f t="shared" si="10"/>
        <v>Data QA applied on LT0420B1, computed by BMT WinMon.</v>
      </c>
    </row>
    <row r="1029" spans="1:8" x14ac:dyDescent="0.25">
      <c r="A1029" s="3" t="s">
        <v>6983</v>
      </c>
      <c r="B1029" s="3" t="s">
        <v>6984</v>
      </c>
      <c r="C1029" s="3" t="s">
        <v>6985</v>
      </c>
      <c r="D1029" s="3" t="s">
        <v>1136</v>
      </c>
      <c r="E1029" s="3">
        <v>1028</v>
      </c>
      <c r="F1029" s="3" t="s">
        <v>1023</v>
      </c>
      <c r="G1029" s="3" t="s">
        <v>1093</v>
      </c>
      <c r="H1029" s="3" t="str">
        <f t="shared" si="10"/>
        <v>Data QA applied on LT0310A1, computed by BMT WinMon.</v>
      </c>
    </row>
    <row r="1030" spans="1:8" x14ac:dyDescent="0.25">
      <c r="A1030" s="3" t="s">
        <v>6983</v>
      </c>
      <c r="B1030" s="3" t="s">
        <v>6984</v>
      </c>
      <c r="C1030" s="3" t="s">
        <v>6985</v>
      </c>
      <c r="D1030" s="3" t="s">
        <v>1136</v>
      </c>
      <c r="E1030" s="3">
        <v>1029</v>
      </c>
      <c r="F1030" s="3" t="s">
        <v>1024</v>
      </c>
      <c r="G1030" s="3" t="s">
        <v>1093</v>
      </c>
      <c r="H1030" s="3" t="str">
        <f t="shared" si="10"/>
        <v>Data QA applied on LT0160A1, computed by BMT WinMon.</v>
      </c>
    </row>
    <row r="1031" spans="1:8" x14ac:dyDescent="0.25">
      <c r="A1031" s="3" t="s">
        <v>6983</v>
      </c>
      <c r="B1031" s="3" t="s">
        <v>6984</v>
      </c>
      <c r="C1031" s="3" t="s">
        <v>6985</v>
      </c>
      <c r="D1031" s="3" t="s">
        <v>1136</v>
      </c>
      <c r="E1031" s="3">
        <v>1030</v>
      </c>
      <c r="F1031" s="3" t="s">
        <v>1025</v>
      </c>
      <c r="G1031" s="3" t="s">
        <v>1093</v>
      </c>
      <c r="H1031" s="3" t="str">
        <f t="shared" si="10"/>
        <v>Data QA applied on LT0320A1, computed by BMT WinMon.</v>
      </c>
    </row>
    <row r="1032" spans="1:8" x14ac:dyDescent="0.25">
      <c r="A1032" s="3" t="s">
        <v>6983</v>
      </c>
      <c r="B1032" s="3" t="s">
        <v>6984</v>
      </c>
      <c r="C1032" s="3" t="s">
        <v>6985</v>
      </c>
      <c r="D1032" s="3" t="s">
        <v>1136</v>
      </c>
      <c r="E1032" s="3">
        <v>1031</v>
      </c>
      <c r="F1032" s="3" t="s">
        <v>1026</v>
      </c>
      <c r="G1032" s="3" t="s">
        <v>1093</v>
      </c>
      <c r="H1032" s="3" t="str">
        <f t="shared" si="10"/>
        <v>Data QA applied on LT0300A1, computed by BMT WinMon.</v>
      </c>
    </row>
    <row r="1033" spans="1:8" x14ac:dyDescent="0.25">
      <c r="A1033" s="3" t="s">
        <v>6983</v>
      </c>
      <c r="B1033" s="3" t="s">
        <v>6984</v>
      </c>
      <c r="C1033" s="3" t="s">
        <v>6985</v>
      </c>
      <c r="D1033" s="3" t="s">
        <v>1136</v>
      </c>
      <c r="E1033" s="3">
        <v>1032</v>
      </c>
      <c r="F1033" s="3" t="s">
        <v>1027</v>
      </c>
      <c r="G1033" s="3" t="s">
        <v>1093</v>
      </c>
      <c r="H1033" s="3" t="str">
        <f t="shared" si="10"/>
        <v>Data QA applied on LT2120A1, computed by BMT WinMon.</v>
      </c>
    </row>
    <row r="1034" spans="1:8" x14ac:dyDescent="0.25">
      <c r="A1034" s="3" t="s">
        <v>6983</v>
      </c>
      <c r="B1034" s="3" t="s">
        <v>6984</v>
      </c>
      <c r="C1034" s="3" t="s">
        <v>6985</v>
      </c>
      <c r="D1034" s="3" t="s">
        <v>1136</v>
      </c>
      <c r="E1034" s="3">
        <v>1033</v>
      </c>
      <c r="F1034" s="3" t="s">
        <v>1028</v>
      </c>
      <c r="G1034" s="3" t="s">
        <v>1093</v>
      </c>
      <c r="H1034" s="3" t="str">
        <f t="shared" si="10"/>
        <v>Data QA applied on LT0150A1, computed by BMT WinMon.</v>
      </c>
    </row>
    <row r="1035" spans="1:8" x14ac:dyDescent="0.25">
      <c r="A1035" s="3" t="s">
        <v>6983</v>
      </c>
      <c r="B1035" s="3" t="s">
        <v>6984</v>
      </c>
      <c r="C1035" s="3" t="s">
        <v>6985</v>
      </c>
      <c r="D1035" s="3" t="s">
        <v>1136</v>
      </c>
      <c r="E1035" s="3">
        <v>1034</v>
      </c>
      <c r="F1035" s="3" t="s">
        <v>1029</v>
      </c>
      <c r="G1035" s="3" t="s">
        <v>1093</v>
      </c>
      <c r="H1035" s="3" t="str">
        <f t="shared" si="10"/>
        <v>Data QA applied on ILT0150B1, computed by BMT WinMon.</v>
      </c>
    </row>
    <row r="1036" spans="1:8" x14ac:dyDescent="0.25">
      <c r="A1036" s="3" t="s">
        <v>6983</v>
      </c>
      <c r="B1036" s="3" t="s">
        <v>6984</v>
      </c>
      <c r="C1036" s="3" t="s">
        <v>6985</v>
      </c>
      <c r="D1036" s="3" t="s">
        <v>1136</v>
      </c>
      <c r="E1036" s="3">
        <v>1035</v>
      </c>
      <c r="F1036" s="3" t="s">
        <v>1030</v>
      </c>
      <c r="G1036" s="3" t="s">
        <v>1093</v>
      </c>
      <c r="H1036" s="3" t="str">
        <f t="shared" si="10"/>
        <v>Data QA applied on LT4015A1, computed by BMT WinMon.</v>
      </c>
    </row>
    <row r="1037" spans="1:8" x14ac:dyDescent="0.25">
      <c r="A1037" s="3" t="s">
        <v>6983</v>
      </c>
      <c r="B1037" s="3" t="s">
        <v>6984</v>
      </c>
      <c r="C1037" s="3" t="s">
        <v>6985</v>
      </c>
      <c r="D1037" s="3" t="s">
        <v>1136</v>
      </c>
      <c r="E1037" s="3">
        <v>1036</v>
      </c>
      <c r="F1037" s="3" t="s">
        <v>1031</v>
      </c>
      <c r="G1037" s="3" t="s">
        <v>1093</v>
      </c>
      <c r="H1037" s="3" t="str">
        <f t="shared" si="10"/>
        <v>Data QA applied on LT4035A1, computed by BMT WinMon.</v>
      </c>
    </row>
    <row r="1038" spans="1:8" x14ac:dyDescent="0.25">
      <c r="A1038" s="3" t="s">
        <v>6983</v>
      </c>
      <c r="B1038" s="3" t="s">
        <v>6984</v>
      </c>
      <c r="C1038" s="3" t="s">
        <v>6985</v>
      </c>
      <c r="D1038" s="3" t="s">
        <v>1136</v>
      </c>
      <c r="E1038" s="3">
        <v>1037</v>
      </c>
      <c r="F1038" s="3" t="s">
        <v>1032</v>
      </c>
      <c r="G1038" s="3" t="s">
        <v>1093</v>
      </c>
      <c r="H1038" s="3" t="str">
        <f t="shared" si="10"/>
        <v>Data QA applied on LT4055A1, computed by BMT WinMon.</v>
      </c>
    </row>
    <row r="1039" spans="1:8" x14ac:dyDescent="0.25">
      <c r="A1039" s="3" t="s">
        <v>6983</v>
      </c>
      <c r="B1039" s="3" t="s">
        <v>6984</v>
      </c>
      <c r="C1039" s="3" t="s">
        <v>6985</v>
      </c>
      <c r="D1039" s="3" t="s">
        <v>1136</v>
      </c>
      <c r="E1039" s="3">
        <v>1038</v>
      </c>
      <c r="F1039" s="3" t="s">
        <v>1033</v>
      </c>
      <c r="G1039" s="3" t="s">
        <v>1098</v>
      </c>
      <c r="H1039" s="3" t="str">
        <f t="shared" si="10"/>
        <v>Data QA applied on ILT0100B1, computed by BMT WinMon.</v>
      </c>
    </row>
    <row r="1040" spans="1:8" x14ac:dyDescent="0.25">
      <c r="A1040" s="3" t="s">
        <v>6983</v>
      </c>
      <c r="B1040" s="3" t="s">
        <v>6984</v>
      </c>
      <c r="C1040" s="3" t="s">
        <v>6985</v>
      </c>
      <c r="D1040" s="3" t="s">
        <v>1136</v>
      </c>
      <c r="E1040" s="3">
        <v>1039</v>
      </c>
      <c r="F1040" s="3" t="s">
        <v>1034</v>
      </c>
      <c r="G1040" s="3" t="s">
        <v>1093</v>
      </c>
      <c r="H1040" s="3" t="str">
        <f t="shared" si="10"/>
        <v>Data QA applied on LT0100B1, computed by BMT WinMon.</v>
      </c>
    </row>
    <row r="1041" spans="1:8" x14ac:dyDescent="0.25">
      <c r="A1041" s="3" t="s">
        <v>6983</v>
      </c>
      <c r="B1041" s="3" t="s">
        <v>6984</v>
      </c>
      <c r="C1041" s="3" t="s">
        <v>6985</v>
      </c>
      <c r="D1041" s="3" t="s">
        <v>1136</v>
      </c>
      <c r="E1041" s="3">
        <v>1040</v>
      </c>
      <c r="F1041" s="3" t="s">
        <v>1035</v>
      </c>
      <c r="G1041" s="3" t="s">
        <v>1093</v>
      </c>
      <c r="H1041" s="3" t="str">
        <f t="shared" si="10"/>
        <v>Data QA applied on ILT0490A1, computed by BMT WinMon.</v>
      </c>
    </row>
    <row r="1042" spans="1:8" x14ac:dyDescent="0.25">
      <c r="A1042" s="3" t="s">
        <v>6983</v>
      </c>
      <c r="B1042" s="3" t="s">
        <v>6984</v>
      </c>
      <c r="C1042" s="3" t="s">
        <v>6985</v>
      </c>
      <c r="D1042" s="3" t="s">
        <v>1136</v>
      </c>
      <c r="E1042" s="3">
        <v>1041</v>
      </c>
      <c r="F1042" s="3" t="s">
        <v>1036</v>
      </c>
      <c r="G1042" s="3" t="s">
        <v>1093</v>
      </c>
      <c r="H1042" s="3" t="str">
        <f t="shared" si="10"/>
        <v>Data QA applied on LT1800A1, computed by BMT WinMon.</v>
      </c>
    </row>
    <row r="1043" spans="1:8" x14ac:dyDescent="0.25">
      <c r="A1043" s="3" t="s">
        <v>6983</v>
      </c>
      <c r="B1043" s="3" t="s">
        <v>6984</v>
      </c>
      <c r="C1043" s="3" t="s">
        <v>6985</v>
      </c>
      <c r="D1043" s="3" t="s">
        <v>1136</v>
      </c>
      <c r="E1043" s="3">
        <v>1042</v>
      </c>
      <c r="F1043" s="3" t="s">
        <v>1037</v>
      </c>
      <c r="G1043" s="3" t="s">
        <v>1093</v>
      </c>
      <c r="H1043" s="3" t="str">
        <f t="shared" si="10"/>
        <v>Data QA applied on LT1805A1, computed by BMT WinMon.</v>
      </c>
    </row>
    <row r="1044" spans="1:8" x14ac:dyDescent="0.25">
      <c r="A1044" s="3" t="s">
        <v>6983</v>
      </c>
      <c r="B1044" s="3" t="s">
        <v>6984</v>
      </c>
      <c r="C1044" s="3" t="s">
        <v>6985</v>
      </c>
      <c r="D1044" s="3" t="s">
        <v>1136</v>
      </c>
      <c r="E1044" s="3">
        <v>1043</v>
      </c>
      <c r="F1044" s="3" t="s">
        <v>1038</v>
      </c>
      <c r="G1044" s="3" t="s">
        <v>1093</v>
      </c>
      <c r="H1044" s="3" t="str">
        <f t="shared" si="10"/>
        <v>Data QA applied on LT1810A1, computed by BMT WinMon.</v>
      </c>
    </row>
    <row r="1045" spans="1:8" x14ac:dyDescent="0.25">
      <c r="A1045" s="3" t="s">
        <v>6983</v>
      </c>
      <c r="B1045" s="3" t="s">
        <v>6984</v>
      </c>
      <c r="C1045" s="3" t="s">
        <v>6985</v>
      </c>
      <c r="D1045" s="3" t="s">
        <v>1136</v>
      </c>
      <c r="E1045" s="3">
        <v>1044</v>
      </c>
      <c r="F1045" s="3" t="s">
        <v>1039</v>
      </c>
      <c r="G1045" s="3" t="s">
        <v>1093</v>
      </c>
      <c r="H1045" s="3" t="str">
        <f t="shared" si="10"/>
        <v>Data QA applied on LT1820A1, computed by BMT WinMon.</v>
      </c>
    </row>
    <row r="1046" spans="1:8" x14ac:dyDescent="0.25">
      <c r="A1046" s="3" t="s">
        <v>6983</v>
      </c>
      <c r="B1046" s="3" t="s">
        <v>6984</v>
      </c>
      <c r="C1046" s="3" t="s">
        <v>6985</v>
      </c>
      <c r="D1046" s="3" t="s">
        <v>1136</v>
      </c>
      <c r="E1046" s="3">
        <v>1045</v>
      </c>
      <c r="F1046" s="3" t="s">
        <v>1040</v>
      </c>
      <c r="G1046" s="3" t="s">
        <v>1093</v>
      </c>
      <c r="H1046" s="3" t="str">
        <f t="shared" si="10"/>
        <v>Data QA applied on LT1825A1, computed by BMT WinMon.</v>
      </c>
    </row>
    <row r="1047" spans="1:8" x14ac:dyDescent="0.25">
      <c r="A1047" s="3" t="s">
        <v>6983</v>
      </c>
      <c r="B1047" s="3" t="s">
        <v>6984</v>
      </c>
      <c r="C1047" s="3" t="s">
        <v>6985</v>
      </c>
      <c r="D1047" s="3" t="s">
        <v>1136</v>
      </c>
      <c r="E1047" s="3">
        <v>1046</v>
      </c>
      <c r="F1047" s="3" t="s">
        <v>1041</v>
      </c>
      <c r="G1047" s="3" t="s">
        <v>1093</v>
      </c>
      <c r="H1047" s="3" t="str">
        <f t="shared" si="10"/>
        <v>Data QA applied on LT1900A1, computed by BMT WinMon.</v>
      </c>
    </row>
    <row r="1048" spans="1:8" x14ac:dyDescent="0.25">
      <c r="A1048" s="3" t="s">
        <v>6983</v>
      </c>
      <c r="B1048" s="3" t="s">
        <v>6984</v>
      </c>
      <c r="C1048" s="3" t="s">
        <v>6985</v>
      </c>
      <c r="D1048" s="3" t="s">
        <v>1136</v>
      </c>
      <c r="E1048" s="3">
        <v>1047</v>
      </c>
      <c r="F1048" s="3" t="s">
        <v>1042</v>
      </c>
      <c r="G1048" s="3" t="s">
        <v>1093</v>
      </c>
      <c r="H1048" s="3" t="str">
        <f t="shared" si="10"/>
        <v>Data QA applied on LT1905A1, computed by BMT WinMon.</v>
      </c>
    </row>
    <row r="1049" spans="1:8" x14ac:dyDescent="0.25">
      <c r="A1049" s="3" t="s">
        <v>6983</v>
      </c>
      <c r="B1049" s="3" t="s">
        <v>6984</v>
      </c>
      <c r="C1049" s="3" t="s">
        <v>6985</v>
      </c>
      <c r="D1049" s="3" t="s">
        <v>1136</v>
      </c>
      <c r="E1049" s="3">
        <v>1048</v>
      </c>
      <c r="F1049" s="3" t="s">
        <v>1043</v>
      </c>
      <c r="G1049" s="3" t="s">
        <v>1099</v>
      </c>
      <c r="H1049" s="3" t="str">
        <f t="shared" si="10"/>
        <v>Data QA applied on LT2211A1, computed by BMT WinMon.</v>
      </c>
    </row>
    <row r="1050" spans="1:8" x14ac:dyDescent="0.25">
      <c r="A1050" s="3" t="s">
        <v>6983</v>
      </c>
      <c r="B1050" s="3" t="s">
        <v>6984</v>
      </c>
      <c r="C1050" s="3" t="s">
        <v>6985</v>
      </c>
      <c r="D1050" s="3" t="s">
        <v>1136</v>
      </c>
      <c r="E1050" s="3">
        <v>1049</v>
      </c>
      <c r="F1050" s="3" t="s">
        <v>1044</v>
      </c>
      <c r="G1050" s="3" t="s">
        <v>1099</v>
      </c>
      <c r="H1050" s="3" t="str">
        <f t="shared" si="10"/>
        <v>Data QA applied on LT2212A1, computed by BMT WinMon.</v>
      </c>
    </row>
    <row r="1051" spans="1:8" x14ac:dyDescent="0.25">
      <c r="A1051" s="3" t="s">
        <v>6983</v>
      </c>
      <c r="B1051" s="3" t="s">
        <v>6984</v>
      </c>
      <c r="C1051" s="3" t="s">
        <v>6985</v>
      </c>
      <c r="D1051" s="3" t="s">
        <v>1136</v>
      </c>
      <c r="E1051" s="3">
        <v>1050</v>
      </c>
      <c r="F1051" s="3" t="s">
        <v>1045</v>
      </c>
      <c r="G1051" s="3" t="s">
        <v>1099</v>
      </c>
      <c r="H1051" s="3" t="str">
        <f t="shared" si="10"/>
        <v>Data QA applied on LT2213A1, computed by BMT WinMon.</v>
      </c>
    </row>
    <row r="1052" spans="1:8" x14ac:dyDescent="0.25">
      <c r="A1052" s="3" t="s">
        <v>6983</v>
      </c>
      <c r="B1052" s="3" t="s">
        <v>6984</v>
      </c>
      <c r="C1052" s="3" t="s">
        <v>6985</v>
      </c>
      <c r="D1052" s="3" t="s">
        <v>1136</v>
      </c>
      <c r="E1052" s="3">
        <v>1051</v>
      </c>
      <c r="F1052" s="3" t="s">
        <v>1046</v>
      </c>
      <c r="G1052" s="3" t="s">
        <v>1099</v>
      </c>
      <c r="H1052" s="3" t="str">
        <f t="shared" si="10"/>
        <v>Data QA applied on LT2214A1, computed by BMT WinMon.</v>
      </c>
    </row>
    <row r="1053" spans="1:8" x14ac:dyDescent="0.25">
      <c r="A1053" s="3" t="s">
        <v>6983</v>
      </c>
      <c r="B1053" s="3" t="s">
        <v>6984</v>
      </c>
      <c r="C1053" s="3" t="s">
        <v>6985</v>
      </c>
      <c r="D1053" s="3" t="s">
        <v>1136</v>
      </c>
      <c r="E1053" s="3">
        <v>1052</v>
      </c>
      <c r="F1053" s="3" t="s">
        <v>1047</v>
      </c>
      <c r="G1053" s="3" t="s">
        <v>1093</v>
      </c>
      <c r="H1053" s="3" t="str">
        <f t="shared" si="10"/>
        <v>Data QA applied on LT2650A1, computed by BMT WinMon.</v>
      </c>
    </row>
    <row r="1054" spans="1:8" x14ac:dyDescent="0.25">
      <c r="A1054" s="3" t="s">
        <v>6983</v>
      </c>
      <c r="B1054" s="3" t="s">
        <v>6984</v>
      </c>
      <c r="C1054" s="3" t="s">
        <v>6985</v>
      </c>
      <c r="D1054" s="3" t="s">
        <v>1136</v>
      </c>
      <c r="E1054" s="3">
        <v>1053</v>
      </c>
      <c r="F1054" s="3" t="s">
        <v>1048</v>
      </c>
      <c r="G1054" s="3" t="s">
        <v>1093</v>
      </c>
      <c r="H1054" s="3" t="str">
        <f t="shared" si="10"/>
        <v>Data QA applied on LT2670A1, computed by BMT WinMon.</v>
      </c>
    </row>
    <row r="1055" spans="1:8" x14ac:dyDescent="0.25">
      <c r="A1055" s="3" t="s">
        <v>6983</v>
      </c>
      <c r="B1055" s="3" t="s">
        <v>6984</v>
      </c>
      <c r="C1055" s="3" t="s">
        <v>6985</v>
      </c>
      <c r="D1055" s="3" t="s">
        <v>1136</v>
      </c>
      <c r="E1055" s="3">
        <v>1054</v>
      </c>
      <c r="F1055" s="3" t="s">
        <v>1049</v>
      </c>
      <c r="G1055" s="3" t="s">
        <v>1093</v>
      </c>
      <c r="H1055" s="3" t="str">
        <f t="shared" si="10"/>
        <v>Data QA applied on LT2701A1, computed by BMT WinMon.</v>
      </c>
    </row>
    <row r="1056" spans="1:8" x14ac:dyDescent="0.25">
      <c r="A1056" s="3" t="s">
        <v>6983</v>
      </c>
      <c r="B1056" s="3" t="s">
        <v>6984</v>
      </c>
      <c r="C1056" s="3" t="s">
        <v>6985</v>
      </c>
      <c r="D1056" s="3" t="s">
        <v>1136</v>
      </c>
      <c r="E1056" s="3">
        <v>1055</v>
      </c>
      <c r="F1056" s="3" t="s">
        <v>1050</v>
      </c>
      <c r="G1056" s="3" t="s">
        <v>1093</v>
      </c>
      <c r="H1056" s="3" t="str">
        <f t="shared" si="10"/>
        <v>Data QA applied on LT2706A1, computed by BMT WinMon.</v>
      </c>
    </row>
    <row r="1057" spans="1:8" x14ac:dyDescent="0.25">
      <c r="A1057" s="3" t="s">
        <v>6983</v>
      </c>
      <c r="B1057" s="3" t="s">
        <v>6984</v>
      </c>
      <c r="C1057" s="3" t="s">
        <v>6985</v>
      </c>
      <c r="D1057" s="3" t="s">
        <v>1136</v>
      </c>
      <c r="E1057" s="3">
        <v>1056</v>
      </c>
      <c r="F1057" s="3" t="s">
        <v>1051</v>
      </c>
      <c r="G1057" s="3" t="s">
        <v>1093</v>
      </c>
      <c r="H1057" s="3" t="str">
        <f t="shared" si="10"/>
        <v>Data QA applied on LT2746A1, computed by BMT WinMon.</v>
      </c>
    </row>
    <row r="1058" spans="1:8" x14ac:dyDescent="0.25">
      <c r="A1058" s="3" t="s">
        <v>6983</v>
      </c>
      <c r="B1058" s="3" t="s">
        <v>6984</v>
      </c>
      <c r="C1058" s="3" t="s">
        <v>6985</v>
      </c>
      <c r="D1058" s="3" t="s">
        <v>1136</v>
      </c>
      <c r="E1058" s="3">
        <v>1057</v>
      </c>
      <c r="F1058" s="3" t="s">
        <v>1052</v>
      </c>
      <c r="G1058" s="3" t="s">
        <v>1093</v>
      </c>
      <c r="H1058" s="3" t="str">
        <f t="shared" si="10"/>
        <v>Data QA applied on LT2796A1, computed by BMT WinMon.</v>
      </c>
    </row>
    <row r="1059" spans="1:8" x14ac:dyDescent="0.25">
      <c r="A1059" s="3" t="s">
        <v>6983</v>
      </c>
      <c r="B1059" s="3" t="s">
        <v>6984</v>
      </c>
      <c r="C1059" s="3" t="s">
        <v>6985</v>
      </c>
      <c r="D1059" s="3" t="s">
        <v>1136</v>
      </c>
      <c r="E1059" s="3">
        <v>1058</v>
      </c>
      <c r="F1059" s="3" t="s">
        <v>1053</v>
      </c>
      <c r="G1059" s="3" t="s">
        <v>1093</v>
      </c>
      <c r="H1059" s="3" t="str">
        <f t="shared" si="10"/>
        <v>Data QA applied on LT2801A1, computed by BMT WinMon.</v>
      </c>
    </row>
    <row r="1060" spans="1:8" x14ac:dyDescent="0.25">
      <c r="A1060" s="3" t="s">
        <v>6983</v>
      </c>
      <c r="B1060" s="3" t="s">
        <v>6984</v>
      </c>
      <c r="C1060" s="3" t="s">
        <v>6985</v>
      </c>
      <c r="D1060" s="3" t="s">
        <v>1136</v>
      </c>
      <c r="E1060" s="3">
        <v>1059</v>
      </c>
      <c r="F1060" s="3" t="s">
        <v>1054</v>
      </c>
      <c r="G1060" s="3" t="s">
        <v>1093</v>
      </c>
      <c r="H1060" s="3" t="str">
        <f t="shared" si="10"/>
        <v>Data QA applied on LT2804A1, computed by BMT WinMon.</v>
      </c>
    </row>
    <row r="1061" spans="1:8" x14ac:dyDescent="0.25">
      <c r="A1061" s="3" t="s">
        <v>6983</v>
      </c>
      <c r="B1061" s="3" t="s">
        <v>6984</v>
      </c>
      <c r="C1061" s="3" t="s">
        <v>6985</v>
      </c>
      <c r="D1061" s="3" t="s">
        <v>1136</v>
      </c>
      <c r="E1061" s="3">
        <v>1060</v>
      </c>
      <c r="F1061" s="3" t="s">
        <v>1055</v>
      </c>
      <c r="G1061" s="3" t="s">
        <v>1093</v>
      </c>
      <c r="H1061" s="3" t="str">
        <f t="shared" si="10"/>
        <v>Data QA applied on LT2807A1, computed by BMT WinMon.</v>
      </c>
    </row>
    <row r="1062" spans="1:8" x14ac:dyDescent="0.25">
      <c r="A1062" s="3" t="s">
        <v>6983</v>
      </c>
      <c r="B1062" s="3" t="s">
        <v>6984</v>
      </c>
      <c r="C1062" s="3" t="s">
        <v>6985</v>
      </c>
      <c r="D1062" s="3" t="s">
        <v>1136</v>
      </c>
      <c r="E1062" s="3">
        <v>1061</v>
      </c>
      <c r="F1062" s="3" t="s">
        <v>1056</v>
      </c>
      <c r="G1062" s="3" t="s">
        <v>1093</v>
      </c>
      <c r="H1062" s="3" t="str">
        <f t="shared" si="10"/>
        <v>Data QA applied on LT2810A1, computed by BMT WinMon.</v>
      </c>
    </row>
    <row r="1063" spans="1:8" x14ac:dyDescent="0.25">
      <c r="A1063" s="3" t="s">
        <v>6983</v>
      </c>
      <c r="B1063" s="3" t="s">
        <v>6984</v>
      </c>
      <c r="C1063" s="3" t="s">
        <v>6985</v>
      </c>
      <c r="D1063" s="3" t="s">
        <v>1136</v>
      </c>
      <c r="E1063" s="3">
        <v>1062</v>
      </c>
      <c r="F1063" s="3" t="s">
        <v>1057</v>
      </c>
      <c r="G1063" s="3" t="s">
        <v>1093</v>
      </c>
      <c r="H1063" s="3" t="str">
        <f t="shared" si="10"/>
        <v>Data QA applied on LT2820A1, computed by BMT WinMon.</v>
      </c>
    </row>
    <row r="1064" spans="1:8" x14ac:dyDescent="0.25">
      <c r="A1064" s="3" t="s">
        <v>6983</v>
      </c>
      <c r="B1064" s="3" t="s">
        <v>6984</v>
      </c>
      <c r="C1064" s="3" t="s">
        <v>6985</v>
      </c>
      <c r="D1064" s="3" t="s">
        <v>1136</v>
      </c>
      <c r="E1064" s="3">
        <v>1063</v>
      </c>
      <c r="F1064" s="3" t="s">
        <v>1058</v>
      </c>
      <c r="G1064" s="3" t="s">
        <v>1093</v>
      </c>
      <c r="H1064" s="3" t="str">
        <f t="shared" si="10"/>
        <v>Data QA applied on LT2881A1, computed by BMT WinMon.</v>
      </c>
    </row>
    <row r="1065" spans="1:8" x14ac:dyDescent="0.25">
      <c r="A1065" s="3" t="s">
        <v>6983</v>
      </c>
      <c r="B1065" s="3" t="s">
        <v>6984</v>
      </c>
      <c r="C1065" s="3" t="s">
        <v>6985</v>
      </c>
      <c r="D1065" s="3" t="s">
        <v>1136</v>
      </c>
      <c r="E1065" s="3">
        <v>1064</v>
      </c>
      <c r="F1065" s="3" t="s">
        <v>1059</v>
      </c>
      <c r="G1065" s="3" t="s">
        <v>1093</v>
      </c>
      <c r="H1065" s="3" t="str">
        <f t="shared" si="10"/>
        <v>Data QA applied on LT2885A1, computed by BMT WinMon.</v>
      </c>
    </row>
    <row r="1066" spans="1:8" x14ac:dyDescent="0.25">
      <c r="A1066" s="3" t="s">
        <v>6983</v>
      </c>
      <c r="B1066" s="3" t="s">
        <v>6984</v>
      </c>
      <c r="C1066" s="3" t="s">
        <v>6985</v>
      </c>
      <c r="D1066" s="3" t="s">
        <v>1136</v>
      </c>
      <c r="E1066" s="3">
        <v>1065</v>
      </c>
      <c r="F1066" s="3" t="s">
        <v>1060</v>
      </c>
      <c r="G1066" s="3" t="s">
        <v>1093</v>
      </c>
      <c r="H1066" s="3" t="str">
        <f t="shared" si="10"/>
        <v>Data QA applied on LT5120A1, computed by BMT WinMon.</v>
      </c>
    </row>
    <row r="1067" spans="1:8" x14ac:dyDescent="0.25">
      <c r="A1067" s="3" t="s">
        <v>6983</v>
      </c>
      <c r="B1067" s="3" t="s">
        <v>6984</v>
      </c>
      <c r="C1067" s="3" t="s">
        <v>6985</v>
      </c>
      <c r="D1067" s="3" t="s">
        <v>1136</v>
      </c>
      <c r="E1067" s="3">
        <v>1066</v>
      </c>
      <c r="F1067" s="3" t="s">
        <v>1061</v>
      </c>
      <c r="G1067" s="3" t="s">
        <v>1093</v>
      </c>
      <c r="H1067" s="3" t="str">
        <f t="shared" si="10"/>
        <v>Data QA applied on LT5220A1, computed by BMT WinMon.</v>
      </c>
    </row>
    <row r="1068" spans="1:8" x14ac:dyDescent="0.25">
      <c r="A1068" s="3" t="s">
        <v>6983</v>
      </c>
      <c r="B1068" s="3" t="s">
        <v>6984</v>
      </c>
      <c r="C1068" s="3" t="s">
        <v>6985</v>
      </c>
      <c r="D1068" s="3" t="s">
        <v>1136</v>
      </c>
      <c r="E1068" s="3">
        <v>1067</v>
      </c>
      <c r="F1068" s="3" t="s">
        <v>1062</v>
      </c>
      <c r="G1068" s="3" t="s">
        <v>1093</v>
      </c>
      <c r="H1068" s="3" t="str">
        <f t="shared" si="10"/>
        <v>Data QA applied on LT5320A1, computed by BMT WinMon.</v>
      </c>
    </row>
    <row r="1069" spans="1:8" x14ac:dyDescent="0.25">
      <c r="A1069" s="3" t="s">
        <v>6983</v>
      </c>
      <c r="B1069" s="3" t="s">
        <v>6984</v>
      </c>
      <c r="C1069" s="3" t="s">
        <v>6985</v>
      </c>
      <c r="D1069" s="3" t="s">
        <v>1136</v>
      </c>
      <c r="E1069" s="3">
        <v>1068</v>
      </c>
      <c r="F1069" s="3" t="s">
        <v>1063</v>
      </c>
      <c r="G1069" s="3" t="s">
        <v>1093</v>
      </c>
      <c r="H1069" s="3" t="str">
        <f t="shared" si="10"/>
        <v>Data QA applied on LT5420A1, computed by BMT WinMon.</v>
      </c>
    </row>
    <row r="1070" spans="1:8" x14ac:dyDescent="0.25">
      <c r="A1070" s="3" t="s">
        <v>6983</v>
      </c>
      <c r="B1070" s="3" t="s">
        <v>6984</v>
      </c>
      <c r="C1070" s="3" t="s">
        <v>6985</v>
      </c>
      <c r="D1070" s="3" t="s">
        <v>1137</v>
      </c>
      <c r="E1070" s="3">
        <v>1069</v>
      </c>
      <c r="F1070" s="3" t="s">
        <v>1064</v>
      </c>
      <c r="G1070" s="3" t="s">
        <v>1100</v>
      </c>
      <c r="H1070" s="3" t="str">
        <f>_xlfn.CONCAT("Output ",F1070, ", from Ballast Tanks and Voids.")</f>
        <v>Output Discrepancy Wt, from Ballast Tanks and Voids.</v>
      </c>
    </row>
    <row r="1071" spans="1:8" x14ac:dyDescent="0.25">
      <c r="A1071" s="3" t="s">
        <v>6983</v>
      </c>
      <c r="B1071" s="3" t="s">
        <v>6984</v>
      </c>
      <c r="C1071" s="3" t="s">
        <v>6985</v>
      </c>
      <c r="D1071" s="3" t="s">
        <v>1137</v>
      </c>
      <c r="E1071" s="3">
        <v>1070</v>
      </c>
      <c r="F1071" s="3" t="s">
        <v>1065</v>
      </c>
      <c r="G1071" s="3" t="s">
        <v>1100</v>
      </c>
      <c r="H1071" s="3" t="str">
        <f t="shared" ref="H1071:H1095" si="11">_xlfn.CONCAT("Output ",F1071, ", from Ballast Tanks and Voids.")</f>
        <v>Output Apparent Wt, from Ballast Tanks and Voids.</v>
      </c>
    </row>
    <row r="1072" spans="1:8" x14ac:dyDescent="0.25">
      <c r="A1072" s="3" t="s">
        <v>6983</v>
      </c>
      <c r="B1072" s="3" t="s">
        <v>6984</v>
      </c>
      <c r="C1072" s="3" t="s">
        <v>6985</v>
      </c>
      <c r="D1072" s="3" t="s">
        <v>1137</v>
      </c>
      <c r="E1072" s="3">
        <v>1071</v>
      </c>
      <c r="F1072" s="3" t="s">
        <v>1066</v>
      </c>
      <c r="G1072" s="3" t="s">
        <v>1100</v>
      </c>
      <c r="H1072" s="3" t="str">
        <f t="shared" si="11"/>
        <v>Output Displacement, from Ballast Tanks and Voids.</v>
      </c>
    </row>
    <row r="1073" spans="1:8" x14ac:dyDescent="0.25">
      <c r="A1073" s="3" t="s">
        <v>6983</v>
      </c>
      <c r="B1073" s="3" t="s">
        <v>6984</v>
      </c>
      <c r="C1073" s="3" t="s">
        <v>6985</v>
      </c>
      <c r="D1073" s="3" t="s">
        <v>1137</v>
      </c>
      <c r="E1073" s="3">
        <v>1072</v>
      </c>
      <c r="F1073" s="3" t="s">
        <v>1067</v>
      </c>
      <c r="G1073" s="3" t="s">
        <v>1101</v>
      </c>
      <c r="H1073" s="3" t="str">
        <f t="shared" si="11"/>
        <v>Output FSt, from Ballast Tanks and Voids.</v>
      </c>
    </row>
    <row r="1074" spans="1:8" x14ac:dyDescent="0.25">
      <c r="A1074" s="3" t="s">
        <v>6983</v>
      </c>
      <c r="B1074" s="3" t="s">
        <v>6984</v>
      </c>
      <c r="C1074" s="3" t="s">
        <v>6985</v>
      </c>
      <c r="D1074" s="3" t="s">
        <v>1137</v>
      </c>
      <c r="E1074" s="3">
        <v>1073</v>
      </c>
      <c r="F1074" s="3" t="s">
        <v>1068</v>
      </c>
      <c r="G1074" s="3" t="s">
        <v>1101</v>
      </c>
      <c r="H1074" s="3" t="str">
        <f t="shared" si="11"/>
        <v>Output FSl, from Ballast Tanks and Voids.</v>
      </c>
    </row>
    <row r="1075" spans="1:8" x14ac:dyDescent="0.25">
      <c r="A1075" s="3" t="s">
        <v>6983</v>
      </c>
      <c r="B1075" s="3" t="s">
        <v>6984</v>
      </c>
      <c r="C1075" s="3" t="s">
        <v>6985</v>
      </c>
      <c r="D1075" s="3" t="s">
        <v>1137</v>
      </c>
      <c r="E1075" s="3">
        <v>1074</v>
      </c>
      <c r="F1075" s="3" t="s">
        <v>1069</v>
      </c>
      <c r="G1075" s="3" t="s">
        <v>1100</v>
      </c>
      <c r="H1075" s="3" t="str">
        <f t="shared" si="11"/>
        <v>Output Lightship Changes Wt, from Ballast Tanks and Voids.</v>
      </c>
    </row>
    <row r="1076" spans="1:8" x14ac:dyDescent="0.25">
      <c r="A1076" s="3" t="s">
        <v>6983</v>
      </c>
      <c r="B1076" s="3" t="s">
        <v>6984</v>
      </c>
      <c r="C1076" s="3" t="s">
        <v>6985</v>
      </c>
      <c r="D1076" s="3" t="s">
        <v>1137</v>
      </c>
      <c r="E1076" s="3">
        <v>1075</v>
      </c>
      <c r="F1076" s="3" t="s">
        <v>1070</v>
      </c>
      <c r="G1076" s="3" t="s">
        <v>1100</v>
      </c>
      <c r="H1076" s="3" t="str">
        <f t="shared" si="11"/>
        <v>Output Ballast Tks GP Ttl Wt, from Ballast Tanks and Voids.</v>
      </c>
    </row>
    <row r="1077" spans="1:8" x14ac:dyDescent="0.25">
      <c r="A1077" s="3" t="s">
        <v>6983</v>
      </c>
      <c r="B1077" s="3" t="s">
        <v>6984</v>
      </c>
      <c r="C1077" s="3" t="s">
        <v>6985</v>
      </c>
      <c r="D1077" s="3" t="s">
        <v>1137</v>
      </c>
      <c r="E1077" s="3">
        <v>1076</v>
      </c>
      <c r="F1077" s="3" t="s">
        <v>1071</v>
      </c>
      <c r="G1077" s="3" t="s">
        <v>1101</v>
      </c>
      <c r="H1077" s="3" t="str">
        <f t="shared" si="11"/>
        <v>Output Ballast Tks GP Ttl FSt, from Ballast Tanks and Voids.</v>
      </c>
    </row>
    <row r="1078" spans="1:8" x14ac:dyDescent="0.25">
      <c r="A1078" s="3" t="s">
        <v>6983</v>
      </c>
      <c r="B1078" s="3" t="s">
        <v>6984</v>
      </c>
      <c r="C1078" s="3" t="s">
        <v>6985</v>
      </c>
      <c r="D1078" s="3" t="s">
        <v>1137</v>
      </c>
      <c r="E1078" s="3">
        <v>1077</v>
      </c>
      <c r="F1078" s="3" t="s">
        <v>1072</v>
      </c>
      <c r="G1078" s="3" t="s">
        <v>1101</v>
      </c>
      <c r="H1078" s="3" t="str">
        <f t="shared" si="11"/>
        <v>Output Ballast Tks GP Ttl FSl, from Ballast Tanks and Voids.</v>
      </c>
    </row>
    <row r="1079" spans="1:8" x14ac:dyDescent="0.25">
      <c r="A1079" s="3" t="s">
        <v>6983</v>
      </c>
      <c r="B1079" s="3" t="s">
        <v>6984</v>
      </c>
      <c r="C1079" s="3" t="s">
        <v>6985</v>
      </c>
      <c r="D1079" s="3" t="s">
        <v>1137</v>
      </c>
      <c r="E1079" s="3">
        <v>1078</v>
      </c>
      <c r="F1079" s="3" t="s">
        <v>1073</v>
      </c>
      <c r="G1079" s="3" t="s">
        <v>1100</v>
      </c>
      <c r="H1079" s="3" t="str">
        <f t="shared" si="11"/>
        <v>Output Void Tks GP Total Wt, from Ballast Tanks and Voids.</v>
      </c>
    </row>
    <row r="1080" spans="1:8" x14ac:dyDescent="0.25">
      <c r="A1080" s="3" t="s">
        <v>6983</v>
      </c>
      <c r="B1080" s="3" t="s">
        <v>6984</v>
      </c>
      <c r="C1080" s="3" t="s">
        <v>6985</v>
      </c>
      <c r="D1080" s="3" t="s">
        <v>1137</v>
      </c>
      <c r="E1080" s="3">
        <v>1079</v>
      </c>
      <c r="F1080" s="3" t="s">
        <v>1074</v>
      </c>
      <c r="G1080" s="3" t="s">
        <v>1101</v>
      </c>
      <c r="H1080" s="3" t="str">
        <f t="shared" si="11"/>
        <v>Output Void Tks GP Total FSt, from Ballast Tanks and Voids.</v>
      </c>
    </row>
    <row r="1081" spans="1:8" x14ac:dyDescent="0.25">
      <c r="A1081" s="3" t="s">
        <v>6983</v>
      </c>
      <c r="B1081" s="3" t="s">
        <v>6984</v>
      </c>
      <c r="C1081" s="3" t="s">
        <v>6985</v>
      </c>
      <c r="D1081" s="3" t="s">
        <v>1137</v>
      </c>
      <c r="E1081" s="3">
        <v>1080</v>
      </c>
      <c r="F1081" s="3" t="s">
        <v>1075</v>
      </c>
      <c r="G1081" s="3" t="s">
        <v>1101</v>
      </c>
      <c r="H1081" s="3" t="str">
        <f t="shared" si="11"/>
        <v>Output Void Tks GP Total FSl, from Ballast Tanks and Voids.</v>
      </c>
    </row>
    <row r="1082" spans="1:8" x14ac:dyDescent="0.25">
      <c r="A1082" s="3" t="s">
        <v>6983</v>
      </c>
      <c r="B1082" s="3" t="s">
        <v>6984</v>
      </c>
      <c r="C1082" s="3" t="s">
        <v>6985</v>
      </c>
      <c r="D1082" s="3" t="s">
        <v>1137</v>
      </c>
      <c r="E1082" s="3">
        <v>1081</v>
      </c>
      <c r="F1082" s="3" t="s">
        <v>1076</v>
      </c>
      <c r="G1082" s="3" t="s">
        <v>1100</v>
      </c>
      <c r="H1082" s="3" t="str">
        <f t="shared" si="11"/>
        <v>Output Hull Sto Tks GP Ttl, from Ballast Tanks and Voids.</v>
      </c>
    </row>
    <row r="1083" spans="1:8" x14ac:dyDescent="0.25">
      <c r="A1083" s="3" t="s">
        <v>6983</v>
      </c>
      <c r="B1083" s="3" t="s">
        <v>6984</v>
      </c>
      <c r="C1083" s="3" t="s">
        <v>6985</v>
      </c>
      <c r="D1083" s="3" t="s">
        <v>1137</v>
      </c>
      <c r="E1083" s="3">
        <v>1082</v>
      </c>
      <c r="F1083" s="3" t="s">
        <v>1077</v>
      </c>
      <c r="G1083" s="3" t="s">
        <v>1101</v>
      </c>
      <c r="H1083" s="3" t="str">
        <f t="shared" si="11"/>
        <v>Output Hull Sto Tks GP Ttl FSt, from Ballast Tanks and Voids.</v>
      </c>
    </row>
    <row r="1084" spans="1:8" x14ac:dyDescent="0.25">
      <c r="A1084" s="3" t="s">
        <v>6983</v>
      </c>
      <c r="B1084" s="3" t="s">
        <v>6984</v>
      </c>
      <c r="C1084" s="3" t="s">
        <v>6985</v>
      </c>
      <c r="D1084" s="5" t="s">
        <v>1138</v>
      </c>
      <c r="E1084" s="5">
        <v>1083</v>
      </c>
      <c r="F1084" s="5" t="s">
        <v>1078</v>
      </c>
      <c r="G1084" s="3" t="s">
        <v>1101</v>
      </c>
      <c r="H1084" s="3" t="str">
        <f t="shared" si="11"/>
        <v>Output Hull Sto Tks GP Ttl FSl, from Ballast Tanks and Voids.</v>
      </c>
    </row>
    <row r="1085" spans="1:8" x14ac:dyDescent="0.25">
      <c r="A1085" s="3" t="s">
        <v>6983</v>
      </c>
      <c r="B1085" s="3" t="s">
        <v>6984</v>
      </c>
      <c r="C1085" s="3" t="s">
        <v>6985</v>
      </c>
      <c r="D1085" s="3" t="s">
        <v>1137</v>
      </c>
      <c r="E1085" s="3">
        <v>1084</v>
      </c>
      <c r="F1085" s="3" t="s">
        <v>1079</v>
      </c>
      <c r="G1085" s="3" t="s">
        <v>1100</v>
      </c>
      <c r="H1085" s="3" t="str">
        <f t="shared" si="11"/>
        <v>Output Topside Tks GP Total Wt, from Ballast Tanks and Voids.</v>
      </c>
    </row>
    <row r="1086" spans="1:8" x14ac:dyDescent="0.25">
      <c r="A1086" s="3" t="s">
        <v>6983</v>
      </c>
      <c r="B1086" s="3" t="s">
        <v>6984</v>
      </c>
      <c r="C1086" s="3" t="s">
        <v>6985</v>
      </c>
      <c r="D1086" s="3" t="s">
        <v>1137</v>
      </c>
      <c r="E1086" s="3">
        <v>1085</v>
      </c>
      <c r="F1086" s="3" t="s">
        <v>1080</v>
      </c>
      <c r="G1086" s="3" t="s">
        <v>1100</v>
      </c>
      <c r="H1086" s="3" t="str">
        <f t="shared" si="11"/>
        <v>Output Live Loads GP Total Wt, from Ballast Tanks and Voids.</v>
      </c>
    </row>
    <row r="1087" spans="1:8" x14ac:dyDescent="0.25">
      <c r="A1087" s="3" t="s">
        <v>6983</v>
      </c>
      <c r="B1087" s="3" t="s">
        <v>6984</v>
      </c>
      <c r="C1087" s="3" t="s">
        <v>6985</v>
      </c>
      <c r="D1087" s="3" t="s">
        <v>1137</v>
      </c>
      <c r="E1087" s="3">
        <v>1086</v>
      </c>
      <c r="F1087" s="3" t="s">
        <v>1081</v>
      </c>
      <c r="G1087" s="3" t="s">
        <v>1100</v>
      </c>
      <c r="H1087" s="3" t="str">
        <f t="shared" si="11"/>
        <v>Output Riser Brdge GP Total Wt, from Ballast Tanks and Voids.</v>
      </c>
    </row>
    <row r="1088" spans="1:8" x14ac:dyDescent="0.25">
      <c r="A1088" s="3" t="s">
        <v>6983</v>
      </c>
      <c r="B1088" s="3" t="s">
        <v>6984</v>
      </c>
      <c r="C1088" s="3" t="s">
        <v>6985</v>
      </c>
      <c r="D1088" s="3" t="s">
        <v>1137</v>
      </c>
      <c r="E1088" s="3">
        <v>1087</v>
      </c>
      <c r="F1088" s="3" t="s">
        <v>1082</v>
      </c>
      <c r="G1088" s="3" t="s">
        <v>1100</v>
      </c>
      <c r="H1088" s="3" t="str">
        <f t="shared" si="11"/>
        <v>Output Chains GP Total Wt, from Ballast Tanks and Voids.</v>
      </c>
    </row>
    <row r="1089" spans="1:8" x14ac:dyDescent="0.25">
      <c r="A1089" s="3" t="s">
        <v>6983</v>
      </c>
      <c r="B1089" s="3" t="s">
        <v>6984</v>
      </c>
      <c r="C1089" s="3" t="s">
        <v>6985</v>
      </c>
      <c r="D1089" s="3" t="s">
        <v>1137</v>
      </c>
      <c r="E1089" s="3">
        <v>1088</v>
      </c>
      <c r="F1089" s="3" t="s">
        <v>1083</v>
      </c>
      <c r="G1089" s="3" t="s">
        <v>1100</v>
      </c>
      <c r="H1089" s="3" t="str">
        <f t="shared" si="11"/>
        <v>Output Deck Survey GP Total Wt, from Ballast Tanks and Voids.</v>
      </c>
    </row>
    <row r="1090" spans="1:8" x14ac:dyDescent="0.25">
      <c r="A1090" s="3" t="s">
        <v>6983</v>
      </c>
      <c r="B1090" s="3" t="s">
        <v>6984</v>
      </c>
      <c r="C1090" s="3" t="s">
        <v>6985</v>
      </c>
      <c r="D1090" s="3" t="s">
        <v>1137</v>
      </c>
      <c r="E1090" s="3">
        <v>1089</v>
      </c>
      <c r="F1090" s="3" t="s">
        <v>1084</v>
      </c>
      <c r="G1090" s="3" t="s">
        <v>1100</v>
      </c>
      <c r="H1090" s="3" t="str">
        <f t="shared" si="11"/>
        <v>Output Umbilicals GP Total Wt, from Ballast Tanks and Voids.</v>
      </c>
    </row>
    <row r="1091" spans="1:8" x14ac:dyDescent="0.25">
      <c r="A1091" s="3" t="s">
        <v>6983</v>
      </c>
      <c r="B1091" s="3" t="s">
        <v>6984</v>
      </c>
      <c r="C1091" s="3" t="s">
        <v>6985</v>
      </c>
      <c r="D1091" s="3" t="s">
        <v>1137</v>
      </c>
      <c r="E1091" s="3">
        <v>1090</v>
      </c>
      <c r="F1091" s="3" t="s">
        <v>1085</v>
      </c>
      <c r="G1091" s="3" t="s">
        <v>1100</v>
      </c>
      <c r="H1091" s="3" t="str">
        <f t="shared" si="11"/>
        <v>Output Stingers GP Total Wt, from Ballast Tanks and Voids.</v>
      </c>
    </row>
    <row r="1092" spans="1:8" x14ac:dyDescent="0.25">
      <c r="A1092" s="3" t="s">
        <v>6983</v>
      </c>
      <c r="B1092" s="3" t="s">
        <v>6984</v>
      </c>
      <c r="C1092" s="3" t="s">
        <v>6985</v>
      </c>
      <c r="D1092" s="3" t="s">
        <v>1137</v>
      </c>
      <c r="E1092" s="3">
        <v>1091</v>
      </c>
      <c r="F1092" s="3" t="s">
        <v>1086</v>
      </c>
      <c r="G1092" s="3" t="s">
        <v>1100</v>
      </c>
      <c r="H1092" s="3" t="str">
        <f t="shared" si="11"/>
        <v>Output Risers GP Total Wt, from Ballast Tanks and Voids.</v>
      </c>
    </row>
    <row r="1093" spans="1:8" x14ac:dyDescent="0.25">
      <c r="A1093" s="3" t="s">
        <v>6983</v>
      </c>
      <c r="B1093" s="3" t="s">
        <v>6984</v>
      </c>
      <c r="C1093" s="3" t="s">
        <v>6985</v>
      </c>
      <c r="D1093" s="3" t="s">
        <v>1137</v>
      </c>
      <c r="E1093" s="3">
        <v>1092</v>
      </c>
      <c r="F1093" s="3" t="s">
        <v>1087</v>
      </c>
      <c r="G1093" s="3" t="s">
        <v>1100</v>
      </c>
      <c r="H1093" s="3" t="str">
        <f t="shared" si="11"/>
        <v>Output ML GP Total Wt, from Ballast Tanks and Voids.</v>
      </c>
    </row>
    <row r="1094" spans="1:8" x14ac:dyDescent="0.25">
      <c r="A1094" s="3" t="s">
        <v>6983</v>
      </c>
      <c r="B1094" s="3" t="s">
        <v>6984</v>
      </c>
      <c r="C1094" s="3" t="s">
        <v>6985</v>
      </c>
      <c r="D1094" s="3" t="s">
        <v>1137</v>
      </c>
      <c r="E1094" s="3">
        <v>1093</v>
      </c>
      <c r="F1094" s="3" t="s">
        <v>1088</v>
      </c>
      <c r="G1094" s="3" t="s">
        <v>1100</v>
      </c>
      <c r="H1094" s="3" t="str">
        <f t="shared" si="11"/>
        <v>Output Misc Wts GP Total Wt, from Ballast Tanks and Voids.</v>
      </c>
    </row>
    <row r="1095" spans="1:8" x14ac:dyDescent="0.25">
      <c r="A1095" s="3" t="s">
        <v>6983</v>
      </c>
      <c r="B1095" s="3" t="s">
        <v>6984</v>
      </c>
      <c r="C1095" s="3" t="s">
        <v>6985</v>
      </c>
      <c r="D1095" s="3" t="s">
        <v>1137</v>
      </c>
      <c r="E1095" s="3">
        <v>1094</v>
      </c>
      <c r="F1095" s="3" t="s">
        <v>1089</v>
      </c>
      <c r="G1095" s="3" t="s">
        <v>1100</v>
      </c>
      <c r="H1095" s="3" t="str">
        <f t="shared" si="11"/>
        <v>Output Spaces GP Total Wt, from Ballast Tanks and Voids.</v>
      </c>
    </row>
  </sheetData>
  <phoneticPr fontId="19" type="noConversion"/>
  <hyperlinks>
    <hyperlink ref="K49" r:id="rId1" xr:uid="{6A37FF5A-02F9-4918-8FAC-4F9ACCBBF252}"/>
    <hyperlink ref="K50" r:id="rId2" xr:uid="{E0B80B38-4BBB-4843-969F-4C10DD64335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1657D-3F00-44D1-BC0C-466D478C7918}">
  <dimension ref="A1:J722"/>
  <sheetViews>
    <sheetView topLeftCell="B1" workbookViewId="0">
      <selection activeCell="H17" sqref="H17"/>
    </sheetView>
  </sheetViews>
  <sheetFormatPr defaultRowHeight="15" x14ac:dyDescent="0.25"/>
  <cols>
    <col min="1" max="3" width="9.140625" style="3"/>
    <col min="4" max="4" width="21" style="3" customWidth="1"/>
    <col min="5" max="5" width="5.5703125" style="3" customWidth="1"/>
    <col min="6" max="6" width="21" style="3" customWidth="1"/>
    <col min="7" max="7" width="8.42578125" style="3" customWidth="1"/>
    <col min="8" max="8" width="59" style="3" customWidth="1"/>
    <col min="9" max="9" width="45.7109375" style="3" customWidth="1"/>
    <col min="10" max="10" width="13.5703125" style="3" customWidth="1"/>
  </cols>
  <sheetData>
    <row r="1" spans="1:10" x14ac:dyDescent="0.25">
      <c r="A1" s="6" t="s">
        <v>6980</v>
      </c>
      <c r="B1" s="6" t="s">
        <v>6981</v>
      </c>
      <c r="C1" s="6" t="s">
        <v>6982</v>
      </c>
      <c r="D1" s="6" t="s">
        <v>0</v>
      </c>
      <c r="E1" s="6" t="s">
        <v>1</v>
      </c>
      <c r="F1" s="6" t="s">
        <v>2</v>
      </c>
      <c r="G1" s="6" t="s">
        <v>3</v>
      </c>
      <c r="H1" s="6" t="s">
        <v>22</v>
      </c>
      <c r="I1" s="6" t="s">
        <v>1139</v>
      </c>
      <c r="J1" s="6" t="s">
        <v>1269</v>
      </c>
    </row>
    <row r="2" spans="1:10" ht="15" customHeight="1" x14ac:dyDescent="0.25">
      <c r="A2" s="3" t="s">
        <v>6983</v>
      </c>
      <c r="B2" s="3" t="s">
        <v>6987</v>
      </c>
      <c r="C2" s="3" t="s">
        <v>6985</v>
      </c>
      <c r="D2" s="3" t="s">
        <v>2105</v>
      </c>
      <c r="E2" s="3">
        <v>1</v>
      </c>
      <c r="F2" s="3" t="s">
        <v>1435</v>
      </c>
      <c r="G2" s="3" t="s">
        <v>14</v>
      </c>
      <c r="H2" s="3" t="s">
        <v>6828</v>
      </c>
      <c r="I2" s="3" t="s">
        <v>1179</v>
      </c>
    </row>
    <row r="3" spans="1:10" ht="15" customHeight="1" x14ac:dyDescent="0.25">
      <c r="A3" s="3" t="s">
        <v>6983</v>
      </c>
      <c r="B3" s="3" t="s">
        <v>6987</v>
      </c>
      <c r="C3" s="3" t="s">
        <v>6985</v>
      </c>
      <c r="D3" s="3" t="s">
        <v>2105</v>
      </c>
      <c r="E3" s="3">
        <v>2</v>
      </c>
      <c r="F3" s="3" t="s">
        <v>1436</v>
      </c>
      <c r="G3" s="3" t="s">
        <v>15</v>
      </c>
      <c r="H3" s="3" t="s">
        <v>6829</v>
      </c>
      <c r="I3" s="3" t="s">
        <v>1179</v>
      </c>
    </row>
    <row r="4" spans="1:10" ht="15" customHeight="1" x14ac:dyDescent="0.25">
      <c r="A4" s="3" t="s">
        <v>6983</v>
      </c>
      <c r="B4" s="3" t="s">
        <v>6987</v>
      </c>
      <c r="C4" s="3" t="s">
        <v>6985</v>
      </c>
      <c r="D4" s="3" t="s">
        <v>2105</v>
      </c>
      <c r="E4" s="3">
        <v>3</v>
      </c>
      <c r="F4" s="3" t="s">
        <v>1437</v>
      </c>
      <c r="G4" s="3" t="s">
        <v>1091</v>
      </c>
      <c r="H4" s="3" t="s">
        <v>6830</v>
      </c>
      <c r="I4" s="3" t="s">
        <v>1179</v>
      </c>
    </row>
    <row r="5" spans="1:10" ht="15" customHeight="1" x14ac:dyDescent="0.25">
      <c r="A5" s="3" t="s">
        <v>6983</v>
      </c>
      <c r="B5" s="3" t="s">
        <v>6987</v>
      </c>
      <c r="C5" s="3" t="s">
        <v>6985</v>
      </c>
      <c r="D5" s="3" t="s">
        <v>2105</v>
      </c>
      <c r="E5" s="3">
        <v>4</v>
      </c>
      <c r="F5" s="3" t="s">
        <v>1438</v>
      </c>
      <c r="G5" s="3" t="s">
        <v>14</v>
      </c>
      <c r="H5" s="3" t="s">
        <v>6833</v>
      </c>
      <c r="I5" s="3" t="s">
        <v>1179</v>
      </c>
    </row>
    <row r="6" spans="1:10" ht="15" customHeight="1" x14ac:dyDescent="0.25">
      <c r="A6" s="3" t="s">
        <v>6983</v>
      </c>
      <c r="B6" s="3" t="s">
        <v>6987</v>
      </c>
      <c r="C6" s="3" t="s">
        <v>6985</v>
      </c>
      <c r="D6" s="3" t="s">
        <v>2105</v>
      </c>
      <c r="E6" s="3">
        <v>5</v>
      </c>
      <c r="F6" s="3" t="s">
        <v>1439</v>
      </c>
      <c r="G6" s="3" t="s">
        <v>15</v>
      </c>
      <c r="H6" s="3" t="s">
        <v>6831</v>
      </c>
      <c r="I6" s="3" t="s">
        <v>1179</v>
      </c>
    </row>
    <row r="7" spans="1:10" ht="15" customHeight="1" x14ac:dyDescent="0.25">
      <c r="A7" s="3" t="s">
        <v>6983</v>
      </c>
      <c r="B7" s="3" t="s">
        <v>6987</v>
      </c>
      <c r="C7" s="3" t="s">
        <v>6985</v>
      </c>
      <c r="D7" s="3" t="s">
        <v>2105</v>
      </c>
      <c r="E7" s="3">
        <v>6</v>
      </c>
      <c r="F7" s="3" t="s">
        <v>1440</v>
      </c>
      <c r="G7" s="3" t="s">
        <v>1091</v>
      </c>
      <c r="H7" s="3" t="s">
        <v>6832</v>
      </c>
      <c r="I7" s="3" t="s">
        <v>1179</v>
      </c>
    </row>
    <row r="8" spans="1:10" ht="15" customHeight="1" x14ac:dyDescent="0.25">
      <c r="A8" s="3" t="s">
        <v>6983</v>
      </c>
      <c r="B8" s="3" t="s">
        <v>6987</v>
      </c>
      <c r="C8" s="3" t="s">
        <v>6985</v>
      </c>
      <c r="D8" s="3" t="s">
        <v>2105</v>
      </c>
      <c r="E8" s="3">
        <v>7</v>
      </c>
      <c r="F8" s="3" t="s">
        <v>1441</v>
      </c>
      <c r="G8" s="3" t="s">
        <v>5</v>
      </c>
      <c r="H8" s="3" t="s">
        <v>35</v>
      </c>
      <c r="I8" s="3" t="s">
        <v>1179</v>
      </c>
    </row>
    <row r="9" spans="1:10" ht="15" customHeight="1" x14ac:dyDescent="0.25">
      <c r="A9" s="3" t="s">
        <v>6983</v>
      </c>
      <c r="B9" s="3" t="s">
        <v>6987</v>
      </c>
      <c r="C9" s="3" t="s">
        <v>6985</v>
      </c>
      <c r="D9" s="3" t="s">
        <v>2105</v>
      </c>
      <c r="E9" s="3">
        <v>8</v>
      </c>
      <c r="F9" s="3" t="s">
        <v>1442</v>
      </c>
      <c r="G9" s="3" t="s">
        <v>1092</v>
      </c>
      <c r="H9" s="3" t="s">
        <v>36</v>
      </c>
      <c r="I9" s="3" t="s">
        <v>1179</v>
      </c>
    </row>
    <row r="10" spans="1:10" ht="15" customHeight="1" x14ac:dyDescent="0.25">
      <c r="A10" s="3" t="s">
        <v>6983</v>
      </c>
      <c r="B10" s="3" t="s">
        <v>6987</v>
      </c>
      <c r="C10" s="3" t="s">
        <v>6985</v>
      </c>
      <c r="D10" s="3" t="s">
        <v>2105</v>
      </c>
      <c r="E10" s="3">
        <v>9</v>
      </c>
      <c r="F10" s="3" t="s">
        <v>1443</v>
      </c>
      <c r="G10" s="3" t="s">
        <v>16</v>
      </c>
      <c r="H10" s="3" t="s">
        <v>1143</v>
      </c>
      <c r="I10" s="3" t="s">
        <v>1179</v>
      </c>
    </row>
    <row r="11" spans="1:10" ht="15" customHeight="1" x14ac:dyDescent="0.25">
      <c r="A11" s="3" t="s">
        <v>6983</v>
      </c>
      <c r="B11" s="3" t="s">
        <v>6987</v>
      </c>
      <c r="C11" s="3" t="s">
        <v>6985</v>
      </c>
      <c r="D11" s="3" t="s">
        <v>2105</v>
      </c>
      <c r="E11" s="3">
        <v>10</v>
      </c>
      <c r="F11" s="3" t="s">
        <v>1444</v>
      </c>
      <c r="G11" s="3" t="s">
        <v>16</v>
      </c>
      <c r="H11" s="3" t="s">
        <v>37</v>
      </c>
      <c r="I11" s="3" t="s">
        <v>1179</v>
      </c>
    </row>
    <row r="12" spans="1:10" ht="15" customHeight="1" x14ac:dyDescent="0.25">
      <c r="A12" s="3" t="s">
        <v>6983</v>
      </c>
      <c r="B12" s="3" t="s">
        <v>6987</v>
      </c>
      <c r="C12" s="3" t="s">
        <v>6985</v>
      </c>
      <c r="D12" s="3" t="s">
        <v>2105</v>
      </c>
      <c r="E12" s="3">
        <v>11</v>
      </c>
      <c r="F12" s="3" t="s">
        <v>1445</v>
      </c>
      <c r="G12" s="3" t="s">
        <v>16</v>
      </c>
      <c r="H12" s="3" t="s">
        <v>1142</v>
      </c>
      <c r="I12" s="3" t="s">
        <v>1179</v>
      </c>
    </row>
    <row r="13" spans="1:10" ht="15" customHeight="1" x14ac:dyDescent="0.25">
      <c r="A13" s="3" t="s">
        <v>6983</v>
      </c>
      <c r="B13" s="3" t="s">
        <v>6987</v>
      </c>
      <c r="C13" s="3" t="s">
        <v>6985</v>
      </c>
      <c r="D13" s="3" t="s">
        <v>2105</v>
      </c>
      <c r="E13" s="3">
        <v>12</v>
      </c>
      <c r="F13" s="3" t="s">
        <v>1446</v>
      </c>
      <c r="G13" s="3" t="s">
        <v>17</v>
      </c>
      <c r="H13" s="3" t="s">
        <v>38</v>
      </c>
      <c r="I13" s="3" t="s">
        <v>1179</v>
      </c>
    </row>
    <row r="14" spans="1:10" x14ac:dyDescent="0.25">
      <c r="A14" s="3" t="s">
        <v>6983</v>
      </c>
      <c r="B14" s="3" t="s">
        <v>6987</v>
      </c>
      <c r="C14" s="3" t="s">
        <v>6985</v>
      </c>
      <c r="D14" s="3" t="s">
        <v>2106</v>
      </c>
      <c r="E14" s="3">
        <v>13</v>
      </c>
      <c r="F14" s="3" t="s">
        <v>1447</v>
      </c>
      <c r="G14" s="3" t="s">
        <v>2098</v>
      </c>
      <c r="H14" s="3" t="str">
        <f>_xlfn.CONCAT("Output ",F14, " from TIS.")</f>
        <v>Output E1 Tendon 1 Bending from TIS.</v>
      </c>
      <c r="I14" s="7"/>
    </row>
    <row r="15" spans="1:10" x14ac:dyDescent="0.25">
      <c r="A15" s="3" t="s">
        <v>6983</v>
      </c>
      <c r="B15" s="3" t="s">
        <v>6987</v>
      </c>
      <c r="C15" s="3" t="s">
        <v>6985</v>
      </c>
      <c r="D15" s="3" t="s">
        <v>2106</v>
      </c>
      <c r="E15" s="3">
        <v>14</v>
      </c>
      <c r="F15" s="3" t="s">
        <v>1448</v>
      </c>
      <c r="G15" s="3" t="s">
        <v>1100</v>
      </c>
      <c r="H15" s="3" t="str">
        <f t="shared" ref="H15:H61" si="0">_xlfn.CONCAT("Output ",F15, " from TIS.")</f>
        <v>Output E1 Tendon 1 Tension from TIS.</v>
      </c>
      <c r="I15" s="10"/>
    </row>
    <row r="16" spans="1:10" x14ac:dyDescent="0.25">
      <c r="A16" s="3" t="s">
        <v>6983</v>
      </c>
      <c r="B16" s="3" t="s">
        <v>6987</v>
      </c>
      <c r="C16" s="3" t="s">
        <v>6985</v>
      </c>
      <c r="D16" s="3" t="s">
        <v>2106</v>
      </c>
      <c r="E16" s="3">
        <v>15</v>
      </c>
      <c r="F16" s="3" t="s">
        <v>1449</v>
      </c>
      <c r="G16" s="3" t="s">
        <v>4</v>
      </c>
      <c r="H16" s="3" t="str">
        <f t="shared" si="0"/>
        <v>Output E1 Tendon 1 Angle from TIS.</v>
      </c>
      <c r="I16" s="10"/>
    </row>
    <row r="17" spans="1:9" x14ac:dyDescent="0.25">
      <c r="A17" s="3" t="s">
        <v>6983</v>
      </c>
      <c r="B17" s="3" t="s">
        <v>6987</v>
      </c>
      <c r="C17" s="3" t="s">
        <v>6985</v>
      </c>
      <c r="D17" s="3" t="s">
        <v>2106</v>
      </c>
      <c r="E17" s="3">
        <v>16</v>
      </c>
      <c r="F17" s="3" t="s">
        <v>1450</v>
      </c>
      <c r="G17" s="3" t="s">
        <v>1104</v>
      </c>
      <c r="H17" s="3" t="str">
        <f t="shared" si="0"/>
        <v>Output E1 Tendon 1 Status from TIS.</v>
      </c>
      <c r="I17" s="10"/>
    </row>
    <row r="18" spans="1:9" x14ac:dyDescent="0.25">
      <c r="A18" s="3" t="s">
        <v>6983</v>
      </c>
      <c r="B18" s="3" t="s">
        <v>6987</v>
      </c>
      <c r="C18" s="3" t="s">
        <v>6985</v>
      </c>
      <c r="D18" s="3" t="s">
        <v>2106</v>
      </c>
      <c r="E18" s="3">
        <v>17</v>
      </c>
      <c r="F18" s="3" t="s">
        <v>1451</v>
      </c>
      <c r="G18" s="3" t="s">
        <v>2098</v>
      </c>
      <c r="H18" s="3" t="str">
        <f t="shared" si="0"/>
        <v>Output E1 Tendon 2 Bending from TIS.</v>
      </c>
      <c r="I18" s="10"/>
    </row>
    <row r="19" spans="1:9" x14ac:dyDescent="0.25">
      <c r="A19" s="3" t="s">
        <v>6983</v>
      </c>
      <c r="B19" s="3" t="s">
        <v>6987</v>
      </c>
      <c r="C19" s="3" t="s">
        <v>6985</v>
      </c>
      <c r="D19" s="3" t="s">
        <v>2106</v>
      </c>
      <c r="E19" s="3">
        <v>18</v>
      </c>
      <c r="F19" s="3" t="s">
        <v>1452</v>
      </c>
      <c r="G19" s="3" t="s">
        <v>1100</v>
      </c>
      <c r="H19" s="3" t="str">
        <f t="shared" si="0"/>
        <v>Output E1 Tendon 2 Tension from TIS.</v>
      </c>
      <c r="I19" s="10"/>
    </row>
    <row r="20" spans="1:9" x14ac:dyDescent="0.25">
      <c r="A20" s="3" t="s">
        <v>6983</v>
      </c>
      <c r="B20" s="3" t="s">
        <v>6987</v>
      </c>
      <c r="C20" s="3" t="s">
        <v>6985</v>
      </c>
      <c r="D20" s="3" t="s">
        <v>2106</v>
      </c>
      <c r="E20" s="3">
        <v>19</v>
      </c>
      <c r="F20" s="3" t="s">
        <v>1453</v>
      </c>
      <c r="G20" s="3" t="s">
        <v>4</v>
      </c>
      <c r="H20" s="3" t="str">
        <f t="shared" si="0"/>
        <v>Output E1 Tendon 2 Angle from TIS.</v>
      </c>
    </row>
    <row r="21" spans="1:9" x14ac:dyDescent="0.25">
      <c r="A21" s="3" t="s">
        <v>6983</v>
      </c>
      <c r="B21" s="3" t="s">
        <v>6987</v>
      </c>
      <c r="C21" s="3" t="s">
        <v>6985</v>
      </c>
      <c r="D21" s="3" t="s">
        <v>2106</v>
      </c>
      <c r="E21" s="3">
        <v>20</v>
      </c>
      <c r="F21" s="3" t="s">
        <v>1454</v>
      </c>
      <c r="G21" s="3" t="s">
        <v>1104</v>
      </c>
      <c r="H21" s="3" t="str">
        <f t="shared" si="0"/>
        <v>Output E1 Tendon 2 Status from TIS.</v>
      </c>
    </row>
    <row r="22" spans="1:9" x14ac:dyDescent="0.25">
      <c r="A22" s="3" t="s">
        <v>6983</v>
      </c>
      <c r="B22" s="3" t="s">
        <v>6987</v>
      </c>
      <c r="C22" s="3" t="s">
        <v>6985</v>
      </c>
      <c r="D22" s="3" t="s">
        <v>2106</v>
      </c>
      <c r="E22" s="3">
        <v>21</v>
      </c>
      <c r="F22" s="3" t="s">
        <v>1455</v>
      </c>
      <c r="G22" s="3" t="s">
        <v>2098</v>
      </c>
      <c r="H22" s="3" t="str">
        <f t="shared" si="0"/>
        <v>Output E1 Tendon 3 Bending from TIS.</v>
      </c>
    </row>
    <row r="23" spans="1:9" x14ac:dyDescent="0.25">
      <c r="A23" s="3" t="s">
        <v>6983</v>
      </c>
      <c r="B23" s="3" t="s">
        <v>6987</v>
      </c>
      <c r="C23" s="3" t="s">
        <v>6985</v>
      </c>
      <c r="D23" s="3" t="s">
        <v>2106</v>
      </c>
      <c r="E23" s="3">
        <v>22</v>
      </c>
      <c r="F23" s="3" t="s">
        <v>1456</v>
      </c>
      <c r="G23" s="3" t="s">
        <v>1100</v>
      </c>
      <c r="H23" s="3" t="str">
        <f t="shared" si="0"/>
        <v>Output E1 Tendon 3 Tension from TIS.</v>
      </c>
    </row>
    <row r="24" spans="1:9" x14ac:dyDescent="0.25">
      <c r="A24" s="3" t="s">
        <v>6983</v>
      </c>
      <c r="B24" s="3" t="s">
        <v>6987</v>
      </c>
      <c r="C24" s="3" t="s">
        <v>6985</v>
      </c>
      <c r="D24" s="3" t="s">
        <v>2106</v>
      </c>
      <c r="E24" s="3">
        <v>23</v>
      </c>
      <c r="F24" s="3" t="s">
        <v>1457</v>
      </c>
      <c r="G24" s="3" t="s">
        <v>4</v>
      </c>
      <c r="H24" s="3" t="str">
        <f t="shared" si="0"/>
        <v>Output E1 Tendon 3 Angle from TIS.</v>
      </c>
    </row>
    <row r="25" spans="1:9" x14ac:dyDescent="0.25">
      <c r="A25" s="3" t="s">
        <v>6983</v>
      </c>
      <c r="B25" s="3" t="s">
        <v>6987</v>
      </c>
      <c r="C25" s="3" t="s">
        <v>6985</v>
      </c>
      <c r="D25" s="3" t="s">
        <v>2106</v>
      </c>
      <c r="E25" s="3">
        <v>24</v>
      </c>
      <c r="F25" s="3" t="s">
        <v>1458</v>
      </c>
      <c r="G25" s="3" t="s">
        <v>1104</v>
      </c>
      <c r="H25" s="3" t="str">
        <f t="shared" si="0"/>
        <v>Output E1 Tendon 3 Status from TIS.</v>
      </c>
    </row>
    <row r="26" spans="1:9" x14ac:dyDescent="0.25">
      <c r="A26" s="3" t="s">
        <v>6983</v>
      </c>
      <c r="B26" s="3" t="s">
        <v>6987</v>
      </c>
      <c r="C26" s="3" t="s">
        <v>6985</v>
      </c>
      <c r="D26" s="3" t="s">
        <v>2106</v>
      </c>
      <c r="E26" s="3">
        <v>25</v>
      </c>
      <c r="F26" s="3" t="s">
        <v>1459</v>
      </c>
      <c r="G26" s="3" t="s">
        <v>2098</v>
      </c>
      <c r="H26" s="3" t="str">
        <f t="shared" si="0"/>
        <v>Output A1 Tendon 4 Bending from TIS.</v>
      </c>
    </row>
    <row r="27" spans="1:9" x14ac:dyDescent="0.25">
      <c r="A27" s="3" t="s">
        <v>6983</v>
      </c>
      <c r="B27" s="3" t="s">
        <v>6987</v>
      </c>
      <c r="C27" s="3" t="s">
        <v>6985</v>
      </c>
      <c r="D27" s="3" t="s">
        <v>2106</v>
      </c>
      <c r="E27" s="3">
        <v>26</v>
      </c>
      <c r="F27" s="3" t="s">
        <v>1460</v>
      </c>
      <c r="G27" s="3" t="s">
        <v>1100</v>
      </c>
      <c r="H27" s="3" t="str">
        <f t="shared" si="0"/>
        <v>Output A1 Tendon 4 Tension from TIS.</v>
      </c>
    </row>
    <row r="28" spans="1:9" x14ac:dyDescent="0.25">
      <c r="A28" s="3" t="s">
        <v>6983</v>
      </c>
      <c r="B28" s="3" t="s">
        <v>6987</v>
      </c>
      <c r="C28" s="3" t="s">
        <v>6985</v>
      </c>
      <c r="D28" s="3" t="s">
        <v>2106</v>
      </c>
      <c r="E28" s="3">
        <v>27</v>
      </c>
      <c r="F28" s="3" t="s">
        <v>1461</v>
      </c>
      <c r="G28" s="3" t="s">
        <v>4</v>
      </c>
      <c r="H28" s="3" t="str">
        <f t="shared" si="0"/>
        <v>Output A1 Tendon 4 Angle from TIS.</v>
      </c>
    </row>
    <row r="29" spans="1:9" x14ac:dyDescent="0.25">
      <c r="A29" s="3" t="s">
        <v>6983</v>
      </c>
      <c r="B29" s="3" t="s">
        <v>6987</v>
      </c>
      <c r="C29" s="3" t="s">
        <v>6985</v>
      </c>
      <c r="D29" s="3" t="s">
        <v>2106</v>
      </c>
      <c r="E29" s="3">
        <v>28</v>
      </c>
      <c r="F29" s="3" t="s">
        <v>1462</v>
      </c>
      <c r="G29" s="3" t="s">
        <v>1104</v>
      </c>
      <c r="H29" s="3" t="str">
        <f t="shared" si="0"/>
        <v>Output A1 Tendon 4 Status from TIS.</v>
      </c>
    </row>
    <row r="30" spans="1:9" x14ac:dyDescent="0.25">
      <c r="A30" s="3" t="s">
        <v>6983</v>
      </c>
      <c r="B30" s="3" t="s">
        <v>6987</v>
      </c>
      <c r="C30" s="3" t="s">
        <v>6985</v>
      </c>
      <c r="D30" s="3" t="s">
        <v>2106</v>
      </c>
      <c r="E30" s="3">
        <v>29</v>
      </c>
      <c r="F30" s="3" t="s">
        <v>1463</v>
      </c>
      <c r="G30" s="3" t="s">
        <v>2098</v>
      </c>
      <c r="H30" s="3" t="str">
        <f t="shared" si="0"/>
        <v>Output A1 Tendon 5 Bending from TIS.</v>
      </c>
    </row>
    <row r="31" spans="1:9" x14ac:dyDescent="0.25">
      <c r="A31" s="3" t="s">
        <v>6983</v>
      </c>
      <c r="B31" s="3" t="s">
        <v>6987</v>
      </c>
      <c r="C31" s="3" t="s">
        <v>6985</v>
      </c>
      <c r="D31" s="3" t="s">
        <v>2106</v>
      </c>
      <c r="E31" s="3">
        <v>30</v>
      </c>
      <c r="F31" s="3" t="s">
        <v>1464</v>
      </c>
      <c r="G31" s="3" t="s">
        <v>1100</v>
      </c>
      <c r="H31" s="3" t="str">
        <f t="shared" si="0"/>
        <v>Output A1 Tendon 5 Tension from TIS.</v>
      </c>
    </row>
    <row r="32" spans="1:9" x14ac:dyDescent="0.25">
      <c r="A32" s="3" t="s">
        <v>6983</v>
      </c>
      <c r="B32" s="3" t="s">
        <v>6987</v>
      </c>
      <c r="C32" s="3" t="s">
        <v>6985</v>
      </c>
      <c r="D32" s="3" t="s">
        <v>2106</v>
      </c>
      <c r="E32" s="3">
        <v>31</v>
      </c>
      <c r="F32" s="3" t="s">
        <v>1465</v>
      </c>
      <c r="G32" s="3" t="s">
        <v>4</v>
      </c>
      <c r="H32" s="3" t="str">
        <f t="shared" si="0"/>
        <v>Output A1 Tendon 5 Angle from TIS.</v>
      </c>
    </row>
    <row r="33" spans="1:9" x14ac:dyDescent="0.25">
      <c r="A33" s="3" t="s">
        <v>6983</v>
      </c>
      <c r="B33" s="3" t="s">
        <v>6987</v>
      </c>
      <c r="C33" s="3" t="s">
        <v>6985</v>
      </c>
      <c r="D33" s="3" t="s">
        <v>2106</v>
      </c>
      <c r="E33" s="3">
        <v>32</v>
      </c>
      <c r="F33" s="3" t="s">
        <v>1466</v>
      </c>
      <c r="G33" s="3" t="s">
        <v>1104</v>
      </c>
      <c r="H33" s="3" t="str">
        <f t="shared" si="0"/>
        <v>Output A1 Tendon 5 Status from TIS.</v>
      </c>
      <c r="I33" s="8"/>
    </row>
    <row r="34" spans="1:9" x14ac:dyDescent="0.25">
      <c r="A34" s="3" t="s">
        <v>6983</v>
      </c>
      <c r="B34" s="3" t="s">
        <v>6987</v>
      </c>
      <c r="C34" s="3" t="s">
        <v>6985</v>
      </c>
      <c r="D34" s="3" t="s">
        <v>2106</v>
      </c>
      <c r="E34" s="3">
        <v>33</v>
      </c>
      <c r="F34" s="3" t="s">
        <v>1467</v>
      </c>
      <c r="G34" s="3" t="s">
        <v>2098</v>
      </c>
      <c r="H34" s="3" t="str">
        <f t="shared" si="0"/>
        <v>Output A1 Tendon 6 Bending from TIS.</v>
      </c>
    </row>
    <row r="35" spans="1:9" x14ac:dyDescent="0.25">
      <c r="A35" s="3" t="s">
        <v>6983</v>
      </c>
      <c r="B35" s="3" t="s">
        <v>6987</v>
      </c>
      <c r="C35" s="3" t="s">
        <v>6985</v>
      </c>
      <c r="D35" s="3" t="s">
        <v>2106</v>
      </c>
      <c r="E35" s="3">
        <v>34</v>
      </c>
      <c r="F35" s="3" t="s">
        <v>1468</v>
      </c>
      <c r="G35" s="3" t="s">
        <v>1100</v>
      </c>
      <c r="H35" s="3" t="str">
        <f t="shared" si="0"/>
        <v>Output A1 Tendon 6 Tension from TIS.</v>
      </c>
    </row>
    <row r="36" spans="1:9" x14ac:dyDescent="0.25">
      <c r="A36" s="3" t="s">
        <v>6983</v>
      </c>
      <c r="B36" s="3" t="s">
        <v>6987</v>
      </c>
      <c r="C36" s="3" t="s">
        <v>6985</v>
      </c>
      <c r="D36" s="3" t="s">
        <v>2106</v>
      </c>
      <c r="E36" s="3">
        <v>35</v>
      </c>
      <c r="F36" s="3" t="s">
        <v>1469</v>
      </c>
      <c r="G36" s="3" t="s">
        <v>4</v>
      </c>
      <c r="H36" s="3" t="str">
        <f t="shared" si="0"/>
        <v>Output A1 Tendon 6 Angle from TIS.</v>
      </c>
    </row>
    <row r="37" spans="1:9" x14ac:dyDescent="0.25">
      <c r="A37" s="3" t="s">
        <v>6983</v>
      </c>
      <c r="B37" s="3" t="s">
        <v>6987</v>
      </c>
      <c r="C37" s="3" t="s">
        <v>6985</v>
      </c>
      <c r="D37" s="3" t="s">
        <v>2106</v>
      </c>
      <c r="E37" s="3">
        <v>36</v>
      </c>
      <c r="F37" s="3" t="s">
        <v>1470</v>
      </c>
      <c r="G37" s="3" t="s">
        <v>1104</v>
      </c>
      <c r="H37" s="3" t="str">
        <f t="shared" si="0"/>
        <v>Output A1 Tendon 6 Status from TIS.</v>
      </c>
    </row>
    <row r="38" spans="1:9" x14ac:dyDescent="0.25">
      <c r="A38" s="3" t="s">
        <v>6983</v>
      </c>
      <c r="B38" s="3" t="s">
        <v>6987</v>
      </c>
      <c r="C38" s="3" t="s">
        <v>6985</v>
      </c>
      <c r="D38" s="3" t="s">
        <v>2106</v>
      </c>
      <c r="E38" s="3">
        <v>37</v>
      </c>
      <c r="F38" s="3" t="s">
        <v>1471</v>
      </c>
      <c r="G38" s="3" t="s">
        <v>2098</v>
      </c>
      <c r="H38" s="3" t="str">
        <f t="shared" si="0"/>
        <v>Output A5 Tendon 7 Bending from TIS.</v>
      </c>
    </row>
    <row r="39" spans="1:9" x14ac:dyDescent="0.25">
      <c r="A39" s="3" t="s">
        <v>6983</v>
      </c>
      <c r="B39" s="3" t="s">
        <v>6987</v>
      </c>
      <c r="C39" s="3" t="s">
        <v>6985</v>
      </c>
      <c r="D39" s="3" t="s">
        <v>2106</v>
      </c>
      <c r="E39" s="3">
        <v>38</v>
      </c>
      <c r="F39" s="3" t="s">
        <v>1472</v>
      </c>
      <c r="G39" s="3" t="s">
        <v>1100</v>
      </c>
      <c r="H39" s="3" t="str">
        <f t="shared" si="0"/>
        <v>Output A5 Tendon 7 Tension from TIS.</v>
      </c>
    </row>
    <row r="40" spans="1:9" x14ac:dyDescent="0.25">
      <c r="A40" s="3" t="s">
        <v>6983</v>
      </c>
      <c r="B40" s="3" t="s">
        <v>6987</v>
      </c>
      <c r="C40" s="3" t="s">
        <v>6985</v>
      </c>
      <c r="D40" s="3" t="s">
        <v>2106</v>
      </c>
      <c r="E40" s="3">
        <v>39</v>
      </c>
      <c r="F40" s="3" t="s">
        <v>1473</v>
      </c>
      <c r="G40" s="3" t="s">
        <v>4</v>
      </c>
      <c r="H40" s="3" t="str">
        <f t="shared" si="0"/>
        <v>Output A5 Tendon 7 Angle from TIS.</v>
      </c>
    </row>
    <row r="41" spans="1:9" x14ac:dyDescent="0.25">
      <c r="A41" s="3" t="s">
        <v>6983</v>
      </c>
      <c r="B41" s="3" t="s">
        <v>6987</v>
      </c>
      <c r="C41" s="3" t="s">
        <v>6985</v>
      </c>
      <c r="D41" s="3" t="s">
        <v>2106</v>
      </c>
      <c r="E41" s="3">
        <v>40</v>
      </c>
      <c r="F41" s="3" t="s">
        <v>1474</v>
      </c>
      <c r="G41" s="3" t="s">
        <v>1104</v>
      </c>
      <c r="H41" s="3" t="str">
        <f t="shared" si="0"/>
        <v>Output A5 Tendon 7 Status from TIS.</v>
      </c>
    </row>
    <row r="42" spans="1:9" x14ac:dyDescent="0.25">
      <c r="A42" s="3" t="s">
        <v>6983</v>
      </c>
      <c r="B42" s="3" t="s">
        <v>6987</v>
      </c>
      <c r="C42" s="3" t="s">
        <v>6985</v>
      </c>
      <c r="D42" s="3" t="s">
        <v>2106</v>
      </c>
      <c r="E42" s="3">
        <v>41</v>
      </c>
      <c r="F42" s="3" t="s">
        <v>1475</v>
      </c>
      <c r="G42" s="3" t="s">
        <v>2098</v>
      </c>
      <c r="H42" s="3" t="str">
        <f t="shared" si="0"/>
        <v>Output A5 Tendon 8 Bending from TIS.</v>
      </c>
    </row>
    <row r="43" spans="1:9" x14ac:dyDescent="0.25">
      <c r="A43" s="3" t="s">
        <v>6983</v>
      </c>
      <c r="B43" s="3" t="s">
        <v>6987</v>
      </c>
      <c r="C43" s="3" t="s">
        <v>6985</v>
      </c>
      <c r="D43" s="3" t="s">
        <v>2106</v>
      </c>
      <c r="E43" s="3">
        <v>42</v>
      </c>
      <c r="F43" s="3" t="s">
        <v>1476</v>
      </c>
      <c r="G43" s="3" t="s">
        <v>1100</v>
      </c>
      <c r="H43" s="3" t="str">
        <f t="shared" si="0"/>
        <v>Output A5 Tendon 8 Tension from TIS.</v>
      </c>
    </row>
    <row r="44" spans="1:9" x14ac:dyDescent="0.25">
      <c r="A44" s="3" t="s">
        <v>6983</v>
      </c>
      <c r="B44" s="3" t="s">
        <v>6987</v>
      </c>
      <c r="C44" s="3" t="s">
        <v>6985</v>
      </c>
      <c r="D44" s="3" t="s">
        <v>2106</v>
      </c>
      <c r="E44" s="3">
        <v>43</v>
      </c>
      <c r="F44" s="3" t="s">
        <v>1477</v>
      </c>
      <c r="G44" s="3" t="s">
        <v>4</v>
      </c>
      <c r="H44" s="3" t="str">
        <f t="shared" si="0"/>
        <v>Output A5 Tendon 8 Angle from TIS.</v>
      </c>
    </row>
    <row r="45" spans="1:9" x14ac:dyDescent="0.25">
      <c r="A45" s="3" t="s">
        <v>6983</v>
      </c>
      <c r="B45" s="3" t="s">
        <v>6987</v>
      </c>
      <c r="C45" s="3" t="s">
        <v>6985</v>
      </c>
      <c r="D45" s="3" t="s">
        <v>2106</v>
      </c>
      <c r="E45" s="3">
        <v>44</v>
      </c>
      <c r="F45" s="3" t="s">
        <v>1478</v>
      </c>
      <c r="G45" s="3" t="s">
        <v>1104</v>
      </c>
      <c r="H45" s="3" t="str">
        <f t="shared" si="0"/>
        <v>Output A5 Tendon 8 Status from TIS.</v>
      </c>
    </row>
    <row r="46" spans="1:9" x14ac:dyDescent="0.25">
      <c r="A46" s="3" t="s">
        <v>6983</v>
      </c>
      <c r="B46" s="3" t="s">
        <v>6987</v>
      </c>
      <c r="C46" s="3" t="s">
        <v>6985</v>
      </c>
      <c r="D46" s="3" t="s">
        <v>2106</v>
      </c>
      <c r="E46" s="3">
        <v>45</v>
      </c>
      <c r="F46" s="3" t="s">
        <v>1479</v>
      </c>
      <c r="G46" s="3" t="s">
        <v>2098</v>
      </c>
      <c r="H46" s="3" t="str">
        <f t="shared" si="0"/>
        <v>Output A5 Tendon 9 Bending from TIS.</v>
      </c>
    </row>
    <row r="47" spans="1:9" x14ac:dyDescent="0.25">
      <c r="A47" s="3" t="s">
        <v>6983</v>
      </c>
      <c r="B47" s="3" t="s">
        <v>6987</v>
      </c>
      <c r="C47" s="3" t="s">
        <v>6985</v>
      </c>
      <c r="D47" s="3" t="s">
        <v>2106</v>
      </c>
      <c r="E47" s="3">
        <v>46</v>
      </c>
      <c r="F47" s="3" t="s">
        <v>1480</v>
      </c>
      <c r="G47" s="3" t="s">
        <v>1100</v>
      </c>
      <c r="H47" s="3" t="str">
        <f t="shared" si="0"/>
        <v>Output A5 Tendon 9 Tension from TIS.</v>
      </c>
    </row>
    <row r="48" spans="1:9" x14ac:dyDescent="0.25">
      <c r="A48" s="3" t="s">
        <v>6983</v>
      </c>
      <c r="B48" s="3" t="s">
        <v>6987</v>
      </c>
      <c r="C48" s="3" t="s">
        <v>6985</v>
      </c>
      <c r="D48" s="3" t="s">
        <v>2106</v>
      </c>
      <c r="E48" s="3">
        <v>47</v>
      </c>
      <c r="F48" s="3" t="s">
        <v>1481</v>
      </c>
      <c r="G48" s="3" t="s">
        <v>4</v>
      </c>
      <c r="H48" s="3" t="str">
        <f t="shared" si="0"/>
        <v>Output A5 Tendon 9 Angle from TIS.</v>
      </c>
    </row>
    <row r="49" spans="1:8" x14ac:dyDescent="0.25">
      <c r="A49" s="3" t="s">
        <v>6983</v>
      </c>
      <c r="B49" s="3" t="s">
        <v>6987</v>
      </c>
      <c r="C49" s="3" t="s">
        <v>6985</v>
      </c>
      <c r="D49" s="3" t="s">
        <v>2106</v>
      </c>
      <c r="E49" s="3">
        <v>48</v>
      </c>
      <c r="F49" s="3" t="s">
        <v>1482</v>
      </c>
      <c r="G49" s="3" t="s">
        <v>1104</v>
      </c>
      <c r="H49" s="3" t="str">
        <f t="shared" si="0"/>
        <v>Output A5 Tendon 9 Status from TIS.</v>
      </c>
    </row>
    <row r="50" spans="1:8" x14ac:dyDescent="0.25">
      <c r="A50" s="3" t="s">
        <v>6983</v>
      </c>
      <c r="B50" s="3" t="s">
        <v>6987</v>
      </c>
      <c r="C50" s="3" t="s">
        <v>6985</v>
      </c>
      <c r="D50" s="3" t="s">
        <v>2106</v>
      </c>
      <c r="E50" s="3">
        <v>49</v>
      </c>
      <c r="F50" s="3" t="s">
        <v>1483</v>
      </c>
      <c r="G50" s="3" t="s">
        <v>2098</v>
      </c>
      <c r="H50" s="3" t="str">
        <f t="shared" si="0"/>
        <v>Output E5 Tendon 10 Bending from TIS.</v>
      </c>
    </row>
    <row r="51" spans="1:8" x14ac:dyDescent="0.25">
      <c r="A51" s="3" t="s">
        <v>6983</v>
      </c>
      <c r="B51" s="3" t="s">
        <v>6987</v>
      </c>
      <c r="C51" s="3" t="s">
        <v>6985</v>
      </c>
      <c r="D51" s="3" t="s">
        <v>2106</v>
      </c>
      <c r="E51" s="3">
        <v>50</v>
      </c>
      <c r="F51" s="3" t="s">
        <v>1484</v>
      </c>
      <c r="G51" s="3" t="s">
        <v>1100</v>
      </c>
      <c r="H51" s="3" t="str">
        <f t="shared" si="0"/>
        <v>Output E5 Tendon 10 Tension from TIS.</v>
      </c>
    </row>
    <row r="52" spans="1:8" x14ac:dyDescent="0.25">
      <c r="A52" s="3" t="s">
        <v>6983</v>
      </c>
      <c r="B52" s="3" t="s">
        <v>6987</v>
      </c>
      <c r="C52" s="3" t="s">
        <v>6985</v>
      </c>
      <c r="D52" s="3" t="s">
        <v>2106</v>
      </c>
      <c r="E52" s="3">
        <v>51</v>
      </c>
      <c r="F52" s="3" t="s">
        <v>1485</v>
      </c>
      <c r="G52" s="3" t="s">
        <v>4</v>
      </c>
      <c r="H52" s="3" t="str">
        <f t="shared" si="0"/>
        <v>Output E5 Tendon 10 Angle from TIS.</v>
      </c>
    </row>
    <row r="53" spans="1:8" x14ac:dyDescent="0.25">
      <c r="A53" s="3" t="s">
        <v>6983</v>
      </c>
      <c r="B53" s="3" t="s">
        <v>6987</v>
      </c>
      <c r="C53" s="3" t="s">
        <v>6985</v>
      </c>
      <c r="D53" s="3" t="s">
        <v>2106</v>
      </c>
      <c r="E53" s="3">
        <v>52</v>
      </c>
      <c r="F53" s="3" t="s">
        <v>1486</v>
      </c>
      <c r="G53" s="3" t="s">
        <v>1104</v>
      </c>
      <c r="H53" s="3" t="str">
        <f t="shared" si="0"/>
        <v>Output E5 Tendon 10 Status from TIS.</v>
      </c>
    </row>
    <row r="54" spans="1:8" x14ac:dyDescent="0.25">
      <c r="A54" s="3" t="s">
        <v>6983</v>
      </c>
      <c r="B54" s="3" t="s">
        <v>6987</v>
      </c>
      <c r="C54" s="3" t="s">
        <v>6985</v>
      </c>
      <c r="D54" s="3" t="s">
        <v>2106</v>
      </c>
      <c r="E54" s="3">
        <v>53</v>
      </c>
      <c r="F54" s="3" t="s">
        <v>1487</v>
      </c>
      <c r="G54" s="3" t="s">
        <v>2098</v>
      </c>
      <c r="H54" s="3" t="str">
        <f t="shared" si="0"/>
        <v>Output E5 Tendon 11 Bending from TIS.</v>
      </c>
    </row>
    <row r="55" spans="1:8" x14ac:dyDescent="0.25">
      <c r="A55" s="3" t="s">
        <v>6983</v>
      </c>
      <c r="B55" s="3" t="s">
        <v>6987</v>
      </c>
      <c r="C55" s="3" t="s">
        <v>6985</v>
      </c>
      <c r="D55" s="3" t="s">
        <v>2106</v>
      </c>
      <c r="E55" s="3">
        <v>54</v>
      </c>
      <c r="F55" s="3" t="s">
        <v>1488</v>
      </c>
      <c r="G55" s="3" t="s">
        <v>1100</v>
      </c>
      <c r="H55" s="3" t="str">
        <f t="shared" si="0"/>
        <v>Output E5 Tendon 11 Tension from TIS.</v>
      </c>
    </row>
    <row r="56" spans="1:8" x14ac:dyDescent="0.25">
      <c r="A56" s="3" t="s">
        <v>6983</v>
      </c>
      <c r="B56" s="3" t="s">
        <v>6987</v>
      </c>
      <c r="C56" s="3" t="s">
        <v>6985</v>
      </c>
      <c r="D56" s="3" t="s">
        <v>2106</v>
      </c>
      <c r="E56" s="3">
        <v>55</v>
      </c>
      <c r="F56" s="3" t="s">
        <v>1489</v>
      </c>
      <c r="G56" s="3" t="s">
        <v>4</v>
      </c>
      <c r="H56" s="3" t="str">
        <f t="shared" si="0"/>
        <v>Output E5 Tendon 11 Angle from TIS.</v>
      </c>
    </row>
    <row r="57" spans="1:8" x14ac:dyDescent="0.25">
      <c r="A57" s="3" t="s">
        <v>6983</v>
      </c>
      <c r="B57" s="3" t="s">
        <v>6987</v>
      </c>
      <c r="C57" s="3" t="s">
        <v>6985</v>
      </c>
      <c r="D57" s="3" t="s">
        <v>2106</v>
      </c>
      <c r="E57" s="3">
        <v>56</v>
      </c>
      <c r="F57" s="3" t="s">
        <v>1490</v>
      </c>
      <c r="G57" s="3" t="s">
        <v>1104</v>
      </c>
      <c r="H57" s="3" t="str">
        <f t="shared" si="0"/>
        <v>Output E5 Tendon 11 Status from TIS.</v>
      </c>
    </row>
    <row r="58" spans="1:8" x14ac:dyDescent="0.25">
      <c r="A58" s="3" t="s">
        <v>6983</v>
      </c>
      <c r="B58" s="3" t="s">
        <v>6987</v>
      </c>
      <c r="C58" s="3" t="s">
        <v>6985</v>
      </c>
      <c r="D58" s="3" t="s">
        <v>2106</v>
      </c>
      <c r="E58" s="3">
        <v>57</v>
      </c>
      <c r="F58" s="3" t="s">
        <v>1491</v>
      </c>
      <c r="G58" s="3" t="s">
        <v>2098</v>
      </c>
      <c r="H58" s="3" t="str">
        <f t="shared" si="0"/>
        <v>Output E5 Tendon 12 Bending from TIS.</v>
      </c>
    </row>
    <row r="59" spans="1:8" x14ac:dyDescent="0.25">
      <c r="A59" s="3" t="s">
        <v>6983</v>
      </c>
      <c r="B59" s="3" t="s">
        <v>6987</v>
      </c>
      <c r="C59" s="3" t="s">
        <v>6985</v>
      </c>
      <c r="D59" s="3" t="s">
        <v>2106</v>
      </c>
      <c r="E59" s="3">
        <v>58</v>
      </c>
      <c r="F59" s="3" t="s">
        <v>1492</v>
      </c>
      <c r="G59" s="3" t="s">
        <v>1100</v>
      </c>
      <c r="H59" s="3" t="str">
        <f t="shared" si="0"/>
        <v>Output E5 Tendon 12 Tension from TIS.</v>
      </c>
    </row>
    <row r="60" spans="1:8" x14ac:dyDescent="0.25">
      <c r="A60" s="3" t="s">
        <v>6983</v>
      </c>
      <c r="B60" s="3" t="s">
        <v>6987</v>
      </c>
      <c r="C60" s="3" t="s">
        <v>6985</v>
      </c>
      <c r="D60" s="3" t="s">
        <v>2106</v>
      </c>
      <c r="E60" s="3">
        <v>59</v>
      </c>
      <c r="F60" s="3" t="s">
        <v>1493</v>
      </c>
      <c r="G60" s="3" t="s">
        <v>4</v>
      </c>
      <c r="H60" s="3" t="str">
        <f t="shared" si="0"/>
        <v>Output E5 Tendon 12 Angle from TIS.</v>
      </c>
    </row>
    <row r="61" spans="1:8" x14ac:dyDescent="0.25">
      <c r="A61" s="3" t="s">
        <v>6983</v>
      </c>
      <c r="B61" s="3" t="s">
        <v>6987</v>
      </c>
      <c r="C61" s="3" t="s">
        <v>6985</v>
      </c>
      <c r="D61" s="3" t="s">
        <v>2106</v>
      </c>
      <c r="E61" s="3">
        <v>60</v>
      </c>
      <c r="F61" s="3" t="s">
        <v>1494</v>
      </c>
      <c r="G61" s="3" t="s">
        <v>1104</v>
      </c>
      <c r="H61" s="3" t="str">
        <f t="shared" si="0"/>
        <v>Output E5 Tendon 12 Status from TIS.</v>
      </c>
    </row>
    <row r="62" spans="1:8" x14ac:dyDescent="0.25">
      <c r="A62" s="3" t="s">
        <v>6983</v>
      </c>
      <c r="B62" s="3" t="s">
        <v>6987</v>
      </c>
      <c r="C62" s="3" t="s">
        <v>6985</v>
      </c>
      <c r="D62" s="3" t="s">
        <v>2106</v>
      </c>
      <c r="E62" s="3">
        <v>61</v>
      </c>
      <c r="F62" s="3" t="s">
        <v>1495</v>
      </c>
      <c r="G62" s="3" t="s">
        <v>1104</v>
      </c>
      <c r="H62" s="3" t="s">
        <v>7038</v>
      </c>
    </row>
    <row r="63" spans="1:8" x14ac:dyDescent="0.25">
      <c r="A63" s="3" t="s">
        <v>6983</v>
      </c>
      <c r="B63" s="3" t="s">
        <v>6987</v>
      </c>
      <c r="C63" s="3" t="s">
        <v>6985</v>
      </c>
      <c r="D63" s="3" t="s">
        <v>2106</v>
      </c>
      <c r="E63" s="3">
        <v>62</v>
      </c>
      <c r="F63" s="3" t="s">
        <v>1496</v>
      </c>
      <c r="G63" s="3" t="s">
        <v>1104</v>
      </c>
      <c r="H63" s="3" t="s">
        <v>7038</v>
      </c>
    </row>
    <row r="64" spans="1:8" x14ac:dyDescent="0.25">
      <c r="A64" s="3" t="s">
        <v>6983</v>
      </c>
      <c r="B64" s="3" t="s">
        <v>6987</v>
      </c>
      <c r="C64" s="3" t="s">
        <v>6985</v>
      </c>
      <c r="D64" s="3" t="s">
        <v>2106</v>
      </c>
      <c r="E64" s="3">
        <v>63</v>
      </c>
      <c r="F64" s="3" t="s">
        <v>1497</v>
      </c>
      <c r="G64" s="3" t="s">
        <v>1104</v>
      </c>
      <c r="H64" s="3" t="s">
        <v>7038</v>
      </c>
    </row>
    <row r="65" spans="1:8" x14ac:dyDescent="0.25">
      <c r="A65" s="3" t="s">
        <v>6983</v>
      </c>
      <c r="B65" s="3" t="s">
        <v>6987</v>
      </c>
      <c r="C65" s="3" t="s">
        <v>6985</v>
      </c>
      <c r="D65" s="3" t="s">
        <v>2107</v>
      </c>
      <c r="E65" s="3">
        <v>64</v>
      </c>
      <c r="F65" s="4" t="s">
        <v>1498</v>
      </c>
      <c r="G65" s="3" t="s">
        <v>1093</v>
      </c>
      <c r="H65" s="3" t="s">
        <v>6948</v>
      </c>
    </row>
    <row r="66" spans="1:8" x14ac:dyDescent="0.25">
      <c r="A66" s="3" t="s">
        <v>6983</v>
      </c>
      <c r="B66" s="3" t="s">
        <v>6987</v>
      </c>
      <c r="C66" s="3" t="s">
        <v>6985</v>
      </c>
      <c r="D66" s="3" t="s">
        <v>2107</v>
      </c>
      <c r="E66" s="3">
        <v>65</v>
      </c>
      <c r="F66" s="4" t="s">
        <v>1499</v>
      </c>
      <c r="G66" s="3" t="s">
        <v>8</v>
      </c>
      <c r="H66" s="3" t="s">
        <v>6953</v>
      </c>
    </row>
    <row r="67" spans="1:8" x14ac:dyDescent="0.25">
      <c r="A67" s="3" t="s">
        <v>6983</v>
      </c>
      <c r="B67" s="3" t="s">
        <v>6987</v>
      </c>
      <c r="C67" s="3" t="s">
        <v>6985</v>
      </c>
      <c r="D67" s="3" t="s">
        <v>2107</v>
      </c>
      <c r="E67" s="3">
        <v>66</v>
      </c>
      <c r="F67" s="3" t="s">
        <v>1500</v>
      </c>
      <c r="G67" s="3" t="s">
        <v>1093</v>
      </c>
      <c r="H67" s="3" t="s">
        <v>1239</v>
      </c>
    </row>
    <row r="68" spans="1:8" x14ac:dyDescent="0.25">
      <c r="A68" s="3" t="s">
        <v>6983</v>
      </c>
      <c r="B68" s="3" t="s">
        <v>6987</v>
      </c>
      <c r="C68" s="3" t="s">
        <v>6985</v>
      </c>
      <c r="D68" s="3" t="s">
        <v>2107</v>
      </c>
      <c r="E68" s="3">
        <v>67</v>
      </c>
      <c r="F68" s="3" t="s">
        <v>1501</v>
      </c>
      <c r="G68" s="3" t="s">
        <v>8</v>
      </c>
      <c r="H68" s="3" t="s">
        <v>1236</v>
      </c>
    </row>
    <row r="69" spans="1:8" x14ac:dyDescent="0.25">
      <c r="A69" s="3" t="s">
        <v>6983</v>
      </c>
      <c r="B69" s="3" t="s">
        <v>6987</v>
      </c>
      <c r="C69" s="3" t="s">
        <v>6985</v>
      </c>
      <c r="D69" s="3" t="s">
        <v>2107</v>
      </c>
      <c r="E69" s="3">
        <v>68</v>
      </c>
      <c r="F69" s="3" t="s">
        <v>1502</v>
      </c>
      <c r="G69" s="3" t="s">
        <v>1093</v>
      </c>
      <c r="H69" s="3" t="s">
        <v>1240</v>
      </c>
    </row>
    <row r="70" spans="1:8" x14ac:dyDescent="0.25">
      <c r="A70" s="3" t="s">
        <v>6983</v>
      </c>
      <c r="B70" s="3" t="s">
        <v>6987</v>
      </c>
      <c r="C70" s="3" t="s">
        <v>6985</v>
      </c>
      <c r="D70" s="3" t="s">
        <v>2107</v>
      </c>
      <c r="E70" s="3">
        <v>69</v>
      </c>
      <c r="F70" s="3" t="s">
        <v>1503</v>
      </c>
      <c r="G70" s="3" t="s">
        <v>8</v>
      </c>
      <c r="H70" s="3" t="s">
        <v>1237</v>
      </c>
    </row>
    <row r="71" spans="1:8" x14ac:dyDescent="0.25">
      <c r="A71" s="3" t="s">
        <v>6983</v>
      </c>
      <c r="B71" s="3" t="s">
        <v>6987</v>
      </c>
      <c r="C71" s="3" t="s">
        <v>6985</v>
      </c>
      <c r="D71" s="3" t="s">
        <v>2107</v>
      </c>
      <c r="E71" s="3">
        <v>70</v>
      </c>
      <c r="F71" s="3" t="s">
        <v>1504</v>
      </c>
      <c r="G71" s="3" t="s">
        <v>2099</v>
      </c>
      <c r="H71" s="3" t="s">
        <v>1233</v>
      </c>
    </row>
    <row r="72" spans="1:8" x14ac:dyDescent="0.25">
      <c r="A72" s="3" t="s">
        <v>6983</v>
      </c>
      <c r="B72" s="3" t="s">
        <v>6987</v>
      </c>
      <c r="C72" s="3" t="s">
        <v>6985</v>
      </c>
      <c r="D72" s="3" t="s">
        <v>2107</v>
      </c>
      <c r="E72" s="3">
        <v>71</v>
      </c>
      <c r="F72" s="3" t="s">
        <v>1505</v>
      </c>
      <c r="G72" s="3" t="s">
        <v>1094</v>
      </c>
      <c r="H72" s="3" t="s">
        <v>1242</v>
      </c>
    </row>
    <row r="73" spans="1:8" x14ac:dyDescent="0.25">
      <c r="A73" s="3" t="s">
        <v>6983</v>
      </c>
      <c r="B73" s="3" t="s">
        <v>6987</v>
      </c>
      <c r="C73" s="3" t="s">
        <v>6985</v>
      </c>
      <c r="D73" s="3" t="s">
        <v>2107</v>
      </c>
      <c r="E73" s="3">
        <v>72</v>
      </c>
      <c r="F73" s="3" t="s">
        <v>1506</v>
      </c>
      <c r="G73" s="3" t="s">
        <v>1095</v>
      </c>
      <c r="H73" s="3" t="s">
        <v>32</v>
      </c>
    </row>
    <row r="74" spans="1:8" x14ac:dyDescent="0.25">
      <c r="A74" s="3" t="s">
        <v>6983</v>
      </c>
      <c r="B74" s="3" t="s">
        <v>6987</v>
      </c>
      <c r="C74" s="3" t="s">
        <v>6985</v>
      </c>
      <c r="D74" s="3" t="s">
        <v>2107</v>
      </c>
      <c r="E74" s="3">
        <v>73</v>
      </c>
      <c r="F74" s="3" t="s">
        <v>1507</v>
      </c>
      <c r="G74" s="3" t="s">
        <v>1095</v>
      </c>
      <c r="H74" s="3" t="s">
        <v>1144</v>
      </c>
    </row>
    <row r="75" spans="1:8" x14ac:dyDescent="0.25">
      <c r="A75" s="3" t="s">
        <v>6983</v>
      </c>
      <c r="B75" s="3" t="s">
        <v>6987</v>
      </c>
      <c r="C75" s="3" t="s">
        <v>6985</v>
      </c>
      <c r="D75" s="3" t="s">
        <v>2107</v>
      </c>
      <c r="E75" s="3">
        <v>74</v>
      </c>
      <c r="F75" s="3" t="s">
        <v>1508</v>
      </c>
      <c r="G75" s="3" t="s">
        <v>9</v>
      </c>
      <c r="H75" s="3" t="s">
        <v>7023</v>
      </c>
    </row>
    <row r="76" spans="1:8" x14ac:dyDescent="0.25">
      <c r="A76" s="3" t="s">
        <v>6983</v>
      </c>
      <c r="B76" s="3" t="s">
        <v>6987</v>
      </c>
      <c r="C76" s="3" t="s">
        <v>6985</v>
      </c>
      <c r="D76" s="3" t="s">
        <v>2107</v>
      </c>
      <c r="E76" s="3">
        <v>75</v>
      </c>
      <c r="F76" s="3" t="s">
        <v>1509</v>
      </c>
      <c r="G76" s="3" t="s">
        <v>13</v>
      </c>
      <c r="H76" s="3" t="s">
        <v>2128</v>
      </c>
    </row>
    <row r="77" spans="1:8" x14ac:dyDescent="0.25">
      <c r="A77" s="3" t="s">
        <v>6983</v>
      </c>
      <c r="B77" s="3" t="s">
        <v>6987</v>
      </c>
      <c r="C77" s="3" t="s">
        <v>6985</v>
      </c>
      <c r="D77" s="3" t="s">
        <v>2107</v>
      </c>
      <c r="E77" s="3">
        <v>76</v>
      </c>
      <c r="F77" s="3" t="s">
        <v>1510</v>
      </c>
      <c r="G77" s="3" t="s">
        <v>2100</v>
      </c>
      <c r="H77" s="3" t="s">
        <v>6689</v>
      </c>
    </row>
    <row r="78" spans="1:8" x14ac:dyDescent="0.25">
      <c r="A78" s="3" t="s">
        <v>6983</v>
      </c>
      <c r="B78" s="3" t="s">
        <v>6987</v>
      </c>
      <c r="C78" s="3" t="s">
        <v>6985</v>
      </c>
      <c r="D78" s="3" t="s">
        <v>2107</v>
      </c>
      <c r="E78" s="3">
        <v>77</v>
      </c>
      <c r="F78" s="3" t="s">
        <v>1511</v>
      </c>
      <c r="G78" s="3" t="s">
        <v>1093</v>
      </c>
      <c r="H78" s="3" t="s">
        <v>1241</v>
      </c>
    </row>
    <row r="79" spans="1:8" x14ac:dyDescent="0.25">
      <c r="A79" s="3" t="s">
        <v>6983</v>
      </c>
      <c r="B79" s="3" t="s">
        <v>6987</v>
      </c>
      <c r="C79" s="3" t="s">
        <v>6985</v>
      </c>
      <c r="D79" s="3" t="s">
        <v>2107</v>
      </c>
      <c r="E79" s="3">
        <v>78</v>
      </c>
      <c r="F79" s="3" t="s">
        <v>1512</v>
      </c>
      <c r="G79" s="3" t="s">
        <v>2100</v>
      </c>
      <c r="H79" s="3" t="s">
        <v>1244</v>
      </c>
    </row>
    <row r="80" spans="1:8" x14ac:dyDescent="0.25">
      <c r="A80" s="3" t="s">
        <v>6983</v>
      </c>
      <c r="B80" s="3" t="s">
        <v>6987</v>
      </c>
      <c r="C80" s="3" t="s">
        <v>6985</v>
      </c>
      <c r="D80" s="3" t="s">
        <v>2107</v>
      </c>
      <c r="E80" s="3">
        <v>79</v>
      </c>
      <c r="F80" s="3" t="s">
        <v>1513</v>
      </c>
      <c r="G80" s="3" t="s">
        <v>8</v>
      </c>
      <c r="H80" s="3" t="s">
        <v>1243</v>
      </c>
    </row>
    <row r="81" spans="1:8" x14ac:dyDescent="0.25">
      <c r="A81" s="3" t="s">
        <v>6983</v>
      </c>
      <c r="B81" s="3" t="s">
        <v>6987</v>
      </c>
      <c r="C81" s="3" t="s">
        <v>6985</v>
      </c>
      <c r="D81" s="3" t="s">
        <v>2107</v>
      </c>
      <c r="E81" s="3">
        <v>80</v>
      </c>
      <c r="F81" s="3" t="s">
        <v>1514</v>
      </c>
      <c r="G81" s="3" t="s">
        <v>8</v>
      </c>
      <c r="H81" s="3" t="s">
        <v>1243</v>
      </c>
    </row>
    <row r="82" spans="1:8" x14ac:dyDescent="0.25">
      <c r="A82" s="3" t="s">
        <v>6983</v>
      </c>
      <c r="B82" s="3" t="s">
        <v>6987</v>
      </c>
      <c r="C82" s="3" t="s">
        <v>6985</v>
      </c>
      <c r="D82" s="3" t="s">
        <v>2107</v>
      </c>
      <c r="E82" s="3">
        <v>81</v>
      </c>
      <c r="F82" s="3" t="s">
        <v>1515</v>
      </c>
      <c r="G82" s="3" t="s">
        <v>8</v>
      </c>
      <c r="H82" s="3" t="s">
        <v>1243</v>
      </c>
    </row>
    <row r="83" spans="1:8" x14ac:dyDescent="0.25">
      <c r="A83" s="3" t="s">
        <v>6983</v>
      </c>
      <c r="B83" s="3" t="s">
        <v>6987</v>
      </c>
      <c r="C83" s="3" t="s">
        <v>6985</v>
      </c>
      <c r="D83" s="3" t="s">
        <v>2107</v>
      </c>
      <c r="E83" s="3">
        <v>82</v>
      </c>
      <c r="F83" s="3" t="s">
        <v>1516</v>
      </c>
      <c r="G83" s="3" t="s">
        <v>12</v>
      </c>
      <c r="H83" s="3" t="s">
        <v>33</v>
      </c>
    </row>
    <row r="84" spans="1:8" x14ac:dyDescent="0.25">
      <c r="A84" s="3" t="s">
        <v>6983</v>
      </c>
      <c r="B84" s="3" t="s">
        <v>6987</v>
      </c>
      <c r="C84" s="3" t="s">
        <v>6985</v>
      </c>
      <c r="D84" s="3" t="s">
        <v>2107</v>
      </c>
      <c r="E84" s="3">
        <v>83</v>
      </c>
      <c r="F84" s="3" t="s">
        <v>1517</v>
      </c>
      <c r="G84" s="3" t="s">
        <v>13</v>
      </c>
      <c r="H84" s="3" t="s">
        <v>1246</v>
      </c>
    </row>
    <row r="85" spans="1:8" x14ac:dyDescent="0.25">
      <c r="A85" s="3" t="s">
        <v>6983</v>
      </c>
      <c r="B85" s="3" t="s">
        <v>6987</v>
      </c>
      <c r="C85" s="3" t="s">
        <v>6985</v>
      </c>
      <c r="D85" s="3" t="s">
        <v>2108</v>
      </c>
      <c r="E85" s="3">
        <v>84</v>
      </c>
      <c r="F85" s="3" t="s">
        <v>608</v>
      </c>
      <c r="G85" s="3" t="s">
        <v>1093</v>
      </c>
      <c r="H85" s="3" t="s">
        <v>40</v>
      </c>
    </row>
    <row r="86" spans="1:8" x14ac:dyDescent="0.25">
      <c r="A86" s="3" t="s">
        <v>6983</v>
      </c>
      <c r="B86" s="3" t="s">
        <v>6987</v>
      </c>
      <c r="C86" s="3" t="s">
        <v>6985</v>
      </c>
      <c r="D86" s="3" t="s">
        <v>2108</v>
      </c>
      <c r="E86" s="3">
        <v>85</v>
      </c>
      <c r="F86" s="3" t="s">
        <v>1518</v>
      </c>
      <c r="G86" s="3" t="s">
        <v>1093</v>
      </c>
      <c r="H86" s="3" t="s">
        <v>41</v>
      </c>
    </row>
    <row r="87" spans="1:8" x14ac:dyDescent="0.25">
      <c r="A87" s="3" t="s">
        <v>6983</v>
      </c>
      <c r="B87" s="3" t="s">
        <v>6987</v>
      </c>
      <c r="C87" s="3" t="s">
        <v>6985</v>
      </c>
      <c r="D87" s="3" t="s">
        <v>2108</v>
      </c>
      <c r="E87" s="3">
        <v>86</v>
      </c>
      <c r="F87" s="3" t="s">
        <v>610</v>
      </c>
      <c r="G87" s="3" t="s">
        <v>17</v>
      </c>
      <c r="H87" s="4" t="s">
        <v>6614</v>
      </c>
    </row>
    <row r="88" spans="1:8" x14ac:dyDescent="0.25">
      <c r="A88" s="3" t="s">
        <v>6983</v>
      </c>
      <c r="B88" s="3" t="s">
        <v>6987</v>
      </c>
      <c r="C88" s="3" t="s">
        <v>6985</v>
      </c>
      <c r="D88" s="3" t="s">
        <v>2108</v>
      </c>
      <c r="E88" s="3">
        <v>87</v>
      </c>
      <c r="F88" s="3" t="s">
        <v>611</v>
      </c>
      <c r="G88" s="3" t="s">
        <v>4</v>
      </c>
      <c r="H88" s="3" t="s">
        <v>7008</v>
      </c>
    </row>
    <row r="89" spans="1:8" x14ac:dyDescent="0.25">
      <c r="A89" s="3" t="s">
        <v>6983</v>
      </c>
      <c r="B89" s="3" t="s">
        <v>6987</v>
      </c>
      <c r="C89" s="3" t="s">
        <v>6985</v>
      </c>
      <c r="D89" s="3" t="s">
        <v>2108</v>
      </c>
      <c r="E89" s="3">
        <v>88</v>
      </c>
      <c r="F89" s="3" t="s">
        <v>612</v>
      </c>
      <c r="G89" s="3" t="s">
        <v>4</v>
      </c>
      <c r="H89" s="3" t="s">
        <v>7009</v>
      </c>
    </row>
    <row r="90" spans="1:8" x14ac:dyDescent="0.25">
      <c r="A90" s="3" t="s">
        <v>6983</v>
      </c>
      <c r="B90" s="3" t="s">
        <v>6987</v>
      </c>
      <c r="C90" s="3" t="s">
        <v>6985</v>
      </c>
      <c r="D90" s="3" t="s">
        <v>2108</v>
      </c>
      <c r="E90" s="3">
        <v>89</v>
      </c>
      <c r="F90" s="3" t="s">
        <v>613</v>
      </c>
      <c r="G90" s="3" t="s">
        <v>19</v>
      </c>
      <c r="H90" s="3" t="s">
        <v>39</v>
      </c>
    </row>
    <row r="91" spans="1:8" x14ac:dyDescent="0.25">
      <c r="A91" s="3" t="s">
        <v>6983</v>
      </c>
      <c r="B91" s="3" t="s">
        <v>6987</v>
      </c>
      <c r="C91" s="3" t="s">
        <v>6985</v>
      </c>
      <c r="D91" s="3" t="s">
        <v>2108</v>
      </c>
      <c r="E91" s="3">
        <v>90</v>
      </c>
      <c r="F91" s="3" t="s">
        <v>1519</v>
      </c>
      <c r="G91" s="3" t="s">
        <v>17</v>
      </c>
      <c r="H91" s="3" t="s">
        <v>43</v>
      </c>
    </row>
    <row r="92" spans="1:8" x14ac:dyDescent="0.25">
      <c r="A92" s="3" t="s">
        <v>6983</v>
      </c>
      <c r="B92" s="3" t="s">
        <v>6987</v>
      </c>
      <c r="C92" s="3" t="s">
        <v>6985</v>
      </c>
      <c r="D92" s="3" t="s">
        <v>2108</v>
      </c>
      <c r="E92" s="3">
        <v>91</v>
      </c>
      <c r="F92" s="3" t="s">
        <v>615</v>
      </c>
      <c r="G92" s="3" t="s">
        <v>4</v>
      </c>
      <c r="H92" s="3" t="s">
        <v>7010</v>
      </c>
    </row>
    <row r="93" spans="1:8" x14ac:dyDescent="0.25">
      <c r="A93" s="3" t="s">
        <v>6983</v>
      </c>
      <c r="B93" s="3" t="s">
        <v>6987</v>
      </c>
      <c r="C93" s="3" t="s">
        <v>6985</v>
      </c>
      <c r="D93" s="3" t="s">
        <v>2108</v>
      </c>
      <c r="E93" s="3">
        <v>92</v>
      </c>
      <c r="F93" s="3" t="s">
        <v>616</v>
      </c>
      <c r="G93" s="3" t="s">
        <v>17</v>
      </c>
      <c r="H93" s="3" t="s">
        <v>6942</v>
      </c>
    </row>
    <row r="94" spans="1:8" x14ac:dyDescent="0.25">
      <c r="A94" s="3" t="s">
        <v>6983</v>
      </c>
      <c r="B94" s="3" t="s">
        <v>6987</v>
      </c>
      <c r="C94" s="3" t="s">
        <v>6985</v>
      </c>
      <c r="D94" s="3" t="s">
        <v>2108</v>
      </c>
      <c r="E94" s="3">
        <v>93</v>
      </c>
      <c r="F94" s="3" t="s">
        <v>617</v>
      </c>
      <c r="G94" s="3" t="s">
        <v>17</v>
      </c>
      <c r="H94" s="3" t="s">
        <v>6942</v>
      </c>
    </row>
    <row r="95" spans="1:8" x14ac:dyDescent="0.25">
      <c r="A95" s="3" t="s">
        <v>6983</v>
      </c>
      <c r="B95" s="3" t="s">
        <v>6987</v>
      </c>
      <c r="C95" s="3" t="s">
        <v>6985</v>
      </c>
      <c r="D95" s="5" t="s">
        <v>2109</v>
      </c>
      <c r="E95" s="3">
        <v>94</v>
      </c>
      <c r="F95" s="3" t="s">
        <v>618</v>
      </c>
      <c r="G95" s="3" t="s">
        <v>13</v>
      </c>
      <c r="H95" s="3" t="s">
        <v>1140</v>
      </c>
    </row>
    <row r="96" spans="1:8" x14ac:dyDescent="0.25">
      <c r="A96" s="3" t="s">
        <v>6983</v>
      </c>
      <c r="B96" s="3" t="s">
        <v>6987</v>
      </c>
      <c r="C96" s="3" t="s">
        <v>6985</v>
      </c>
      <c r="D96" s="5" t="s">
        <v>2109</v>
      </c>
      <c r="E96" s="3">
        <v>95</v>
      </c>
      <c r="F96" s="3" t="s">
        <v>619</v>
      </c>
      <c r="G96" s="3" t="s">
        <v>4</v>
      </c>
      <c r="H96" s="3" t="s">
        <v>7011</v>
      </c>
    </row>
    <row r="97" spans="1:8" x14ac:dyDescent="0.25">
      <c r="A97" s="3" t="s">
        <v>6983</v>
      </c>
      <c r="B97" s="3" t="s">
        <v>6987</v>
      </c>
      <c r="C97" s="3" t="s">
        <v>6985</v>
      </c>
      <c r="D97" s="5" t="s">
        <v>2109</v>
      </c>
      <c r="E97" s="3">
        <v>96</v>
      </c>
      <c r="F97" s="3" t="s">
        <v>620</v>
      </c>
      <c r="G97" s="3" t="s">
        <v>17</v>
      </c>
      <c r="H97" s="3" t="s">
        <v>6943</v>
      </c>
    </row>
    <row r="98" spans="1:8" x14ac:dyDescent="0.25">
      <c r="A98" s="3" t="s">
        <v>6983</v>
      </c>
      <c r="B98" s="3" t="s">
        <v>6987</v>
      </c>
      <c r="C98" s="3" t="s">
        <v>6985</v>
      </c>
      <c r="D98" s="5" t="s">
        <v>2109</v>
      </c>
      <c r="E98" s="3">
        <v>97</v>
      </c>
      <c r="F98" s="3" t="s">
        <v>621</v>
      </c>
      <c r="G98" s="3" t="s">
        <v>17</v>
      </c>
      <c r="H98" s="3" t="s">
        <v>6943</v>
      </c>
    </row>
    <row r="99" spans="1:8" x14ac:dyDescent="0.25">
      <c r="A99" s="3" t="s">
        <v>6983</v>
      </c>
      <c r="B99" s="3" t="s">
        <v>6987</v>
      </c>
      <c r="C99" s="3" t="s">
        <v>6985</v>
      </c>
      <c r="D99" s="3" t="s">
        <v>2110</v>
      </c>
      <c r="E99" s="3">
        <v>98</v>
      </c>
      <c r="F99" s="3" t="s">
        <v>1520</v>
      </c>
      <c r="G99" s="3" t="s">
        <v>31</v>
      </c>
      <c r="H99" s="3" t="s">
        <v>6963</v>
      </c>
    </row>
    <row r="100" spans="1:8" x14ac:dyDescent="0.25">
      <c r="A100" s="3" t="s">
        <v>6983</v>
      </c>
      <c r="B100" s="3" t="s">
        <v>6987</v>
      </c>
      <c r="C100" s="3" t="s">
        <v>6985</v>
      </c>
      <c r="D100" s="3" t="s">
        <v>2111</v>
      </c>
      <c r="E100" s="3">
        <v>99</v>
      </c>
      <c r="F100" s="3" t="s">
        <v>1521</v>
      </c>
      <c r="G100" s="3" t="s">
        <v>20</v>
      </c>
      <c r="H100" s="3" t="s">
        <v>7039</v>
      </c>
    </row>
    <row r="101" spans="1:8" x14ac:dyDescent="0.25">
      <c r="A101" s="3" t="s">
        <v>6983</v>
      </c>
      <c r="B101" s="3" t="s">
        <v>6987</v>
      </c>
      <c r="C101" s="3" t="s">
        <v>6985</v>
      </c>
      <c r="D101" s="1" t="s">
        <v>2112</v>
      </c>
      <c r="E101" s="3">
        <v>100</v>
      </c>
      <c r="F101" s="3" t="s">
        <v>1522</v>
      </c>
      <c r="G101" s="3" t="s">
        <v>13</v>
      </c>
      <c r="H101" s="3" t="s">
        <v>6977</v>
      </c>
    </row>
    <row r="102" spans="1:8" x14ac:dyDescent="0.25">
      <c r="A102" s="3" t="s">
        <v>6983</v>
      </c>
      <c r="B102" s="3" t="s">
        <v>6987</v>
      </c>
      <c r="C102" s="3" t="s">
        <v>6985</v>
      </c>
      <c r="D102" s="1" t="s">
        <v>2112</v>
      </c>
      <c r="E102" s="3">
        <v>101</v>
      </c>
      <c r="F102" s="3" t="s">
        <v>1523</v>
      </c>
      <c r="G102" s="3" t="s">
        <v>9</v>
      </c>
      <c r="H102" s="4" t="s">
        <v>7030</v>
      </c>
    </row>
    <row r="103" spans="1:8" x14ac:dyDescent="0.25">
      <c r="A103" s="3" t="s">
        <v>6983</v>
      </c>
      <c r="B103" s="3" t="s">
        <v>6987</v>
      </c>
      <c r="C103" s="3" t="s">
        <v>6985</v>
      </c>
      <c r="D103" s="1" t="s">
        <v>2112</v>
      </c>
      <c r="E103" s="3">
        <v>102</v>
      </c>
      <c r="F103" s="3" t="s">
        <v>1524</v>
      </c>
      <c r="G103" s="3" t="s">
        <v>1095</v>
      </c>
      <c r="H103" s="3" t="s">
        <v>6976</v>
      </c>
    </row>
    <row r="104" spans="1:8" x14ac:dyDescent="0.25">
      <c r="A104" s="3" t="s">
        <v>6983</v>
      </c>
      <c r="B104" s="3" t="s">
        <v>6987</v>
      </c>
      <c r="C104" s="3" t="s">
        <v>6985</v>
      </c>
      <c r="D104" s="3" t="s">
        <v>2113</v>
      </c>
      <c r="E104" s="3">
        <v>103</v>
      </c>
      <c r="F104" s="3" t="s">
        <v>1525</v>
      </c>
      <c r="G104" s="3" t="s">
        <v>1093</v>
      </c>
      <c r="H104" s="3" t="s">
        <v>2161</v>
      </c>
    </row>
    <row r="105" spans="1:8" x14ac:dyDescent="0.25">
      <c r="A105" s="3" t="s">
        <v>6983</v>
      </c>
      <c r="B105" s="3" t="s">
        <v>6987</v>
      </c>
      <c r="C105" s="3" t="s">
        <v>6985</v>
      </c>
      <c r="D105" s="3" t="s">
        <v>2113</v>
      </c>
      <c r="E105" s="3">
        <v>104</v>
      </c>
      <c r="F105" s="3" t="s">
        <v>1526</v>
      </c>
      <c r="G105" s="3" t="s">
        <v>1093</v>
      </c>
      <c r="H105" s="3" t="str">
        <f>_xlfn.CONCAT("Output ",  _xlfn.TEXTBEFORE(F105, "Line Out"), "pay out", ", from Mooring Line PLC.")</f>
        <v>Output ML 3 pay out, from Mooring Line PLC.</v>
      </c>
    </row>
    <row r="106" spans="1:8" x14ac:dyDescent="0.25">
      <c r="A106" s="3" t="s">
        <v>6983</v>
      </c>
      <c r="B106" s="3" t="s">
        <v>6987</v>
      </c>
      <c r="C106" s="3" t="s">
        <v>6985</v>
      </c>
      <c r="D106" s="3" t="s">
        <v>2113</v>
      </c>
      <c r="E106" s="3">
        <v>105</v>
      </c>
      <c r="F106" s="3" t="s">
        <v>1527</v>
      </c>
      <c r="G106" s="3" t="s">
        <v>1100</v>
      </c>
      <c r="H106" s="3" t="str">
        <f>_xlfn.CONCAT("Output ",F106, ", from Mooring Line PLC. Operator can choose to use either Tension A or Tension B.")</f>
        <v>Output ML 3 Tension A, from Mooring Line PLC. Operator can choose to use either Tension A or Tension B.</v>
      </c>
    </row>
    <row r="107" spans="1:8" x14ac:dyDescent="0.25">
      <c r="A107" s="3" t="s">
        <v>6983</v>
      </c>
      <c r="B107" s="3" t="s">
        <v>6987</v>
      </c>
      <c r="C107" s="3" t="s">
        <v>6985</v>
      </c>
      <c r="D107" s="3" t="s">
        <v>2113</v>
      </c>
      <c r="E107" s="3">
        <v>106</v>
      </c>
      <c r="F107" s="3" t="s">
        <v>1528</v>
      </c>
      <c r="G107" s="3" t="s">
        <v>1100</v>
      </c>
      <c r="H107" s="3" t="str">
        <f>_xlfn.CONCAT("Output ",F107, ", from Mooring Line PLC. Operator can choose to use either Tension A or Tension B.")</f>
        <v>Output ML 3 Tension B, from Mooring Line PLC. Operator can choose to use either Tension A or Tension B.</v>
      </c>
    </row>
    <row r="108" spans="1:8" x14ac:dyDescent="0.25">
      <c r="A108" s="3" t="s">
        <v>6983</v>
      </c>
      <c r="B108" s="3" t="s">
        <v>6987</v>
      </c>
      <c r="C108" s="3" t="s">
        <v>6985</v>
      </c>
      <c r="D108" s="3" t="s">
        <v>2113</v>
      </c>
      <c r="E108" s="3">
        <v>107</v>
      </c>
      <c r="F108" s="3" t="s">
        <v>1529</v>
      </c>
      <c r="G108" s="3" t="s">
        <v>1093</v>
      </c>
      <c r="H108" s="3" t="str">
        <f>_xlfn.CONCAT("Output ",  _xlfn.TEXTBEFORE(F108, "Line Out"), "pay out", ", from Mooring Line PLC.")</f>
        <v>Output ML 4 pay out, from Mooring Line PLC.</v>
      </c>
    </row>
    <row r="109" spans="1:8" x14ac:dyDescent="0.25">
      <c r="A109" s="3" t="s">
        <v>6983</v>
      </c>
      <c r="B109" s="3" t="s">
        <v>6987</v>
      </c>
      <c r="C109" s="3" t="s">
        <v>6985</v>
      </c>
      <c r="D109" s="3" t="s">
        <v>2113</v>
      </c>
      <c r="E109" s="3">
        <v>108</v>
      </c>
      <c r="F109" s="3" t="s">
        <v>1530</v>
      </c>
      <c r="G109" s="3" t="s">
        <v>1100</v>
      </c>
      <c r="H109" s="3" t="str">
        <f>_xlfn.CONCAT("Output ",F109, ", from Mooring Line PLC. Operator can choose to use either Tension A or Tension B.")</f>
        <v>Output ML 4 Tension A, from Mooring Line PLC. Operator can choose to use either Tension A or Tension B.</v>
      </c>
    </row>
    <row r="110" spans="1:8" x14ac:dyDescent="0.25">
      <c r="A110" s="3" t="s">
        <v>6983</v>
      </c>
      <c r="B110" s="3" t="s">
        <v>6987</v>
      </c>
      <c r="C110" s="3" t="s">
        <v>6985</v>
      </c>
      <c r="D110" s="3" t="s">
        <v>2113</v>
      </c>
      <c r="E110" s="3">
        <v>109</v>
      </c>
      <c r="F110" s="3" t="s">
        <v>1531</v>
      </c>
      <c r="G110" s="3" t="s">
        <v>1100</v>
      </c>
      <c r="H110" s="3" t="str">
        <f>_xlfn.CONCAT("Output ",F110, ", from Mooring Line PLC. Operator can choose to use either Tension A or Tension B.")</f>
        <v>Output ML 4 Tension B, from Mooring Line PLC. Operator can choose to use either Tension A or Tension B.</v>
      </c>
    </row>
    <row r="111" spans="1:8" x14ac:dyDescent="0.25">
      <c r="A111" s="3" t="s">
        <v>6983</v>
      </c>
      <c r="B111" s="3" t="s">
        <v>6987</v>
      </c>
      <c r="C111" s="3" t="s">
        <v>6985</v>
      </c>
      <c r="D111" s="3" t="s">
        <v>2113</v>
      </c>
      <c r="E111" s="3">
        <v>110</v>
      </c>
      <c r="F111" s="3" t="s">
        <v>1532</v>
      </c>
      <c r="G111" s="3" t="s">
        <v>1093</v>
      </c>
      <c r="H111" s="3" t="str">
        <f>_xlfn.CONCAT("Output ",F111, ", from Ballast PLC.")</f>
        <v>Output BAL-CA1-B0 Level, from Ballast PLC.</v>
      </c>
    </row>
    <row r="112" spans="1:8" x14ac:dyDescent="0.25">
      <c r="A112" s="3" t="s">
        <v>6983</v>
      </c>
      <c r="B112" s="3" t="s">
        <v>6987</v>
      </c>
      <c r="C112" s="3" t="s">
        <v>6985</v>
      </c>
      <c r="D112" s="3" t="s">
        <v>2113</v>
      </c>
      <c r="E112" s="3">
        <v>111</v>
      </c>
      <c r="F112" s="3" t="s">
        <v>1533</v>
      </c>
      <c r="G112" s="3" t="s">
        <v>1093</v>
      </c>
      <c r="H112" s="3" t="str">
        <f t="shared" ref="H112:H119" si="1">_xlfn.CONCAT("Output ",F112, ", from Ballast PLC.")</f>
        <v>Output BAL-CA1-C0 Level, from Ballast PLC.</v>
      </c>
    </row>
    <row r="113" spans="1:8" x14ac:dyDescent="0.25">
      <c r="A113" s="3" t="s">
        <v>6983</v>
      </c>
      <c r="B113" s="3" t="s">
        <v>6987</v>
      </c>
      <c r="C113" s="3" t="s">
        <v>6985</v>
      </c>
      <c r="D113" s="3" t="s">
        <v>2113</v>
      </c>
      <c r="E113" s="3">
        <v>112</v>
      </c>
      <c r="F113" s="3" t="s">
        <v>1534</v>
      </c>
      <c r="G113" s="3" t="s">
        <v>1093</v>
      </c>
      <c r="H113" s="3" t="str">
        <f t="shared" si="1"/>
        <v>Output BAL-CA1-D0 Level, from Ballast PLC.</v>
      </c>
    </row>
    <row r="114" spans="1:8" x14ac:dyDescent="0.25">
      <c r="A114" s="3" t="s">
        <v>6983</v>
      </c>
      <c r="B114" s="3" t="s">
        <v>6987</v>
      </c>
      <c r="C114" s="3" t="s">
        <v>6985</v>
      </c>
      <c r="D114" s="3" t="s">
        <v>2113</v>
      </c>
      <c r="E114" s="3">
        <v>113</v>
      </c>
      <c r="F114" s="3" t="s">
        <v>1535</v>
      </c>
      <c r="G114" s="3" t="s">
        <v>1093</v>
      </c>
      <c r="H114" s="3" t="str">
        <f t="shared" si="1"/>
        <v>Output BAL-CA1-E0 Level, from Ballast PLC.</v>
      </c>
    </row>
    <row r="115" spans="1:8" x14ac:dyDescent="0.25">
      <c r="A115" s="3" t="s">
        <v>6983</v>
      </c>
      <c r="B115" s="3" t="s">
        <v>6987</v>
      </c>
      <c r="C115" s="3" t="s">
        <v>6985</v>
      </c>
      <c r="D115" s="3" t="s">
        <v>2113</v>
      </c>
      <c r="E115" s="3">
        <v>114</v>
      </c>
      <c r="F115" s="3" t="s">
        <v>1536</v>
      </c>
      <c r="G115" s="3" t="s">
        <v>1093</v>
      </c>
      <c r="H115" s="3" t="str">
        <f>_xlfn.CONCAT("Output ",F115, ", from Ballast PLC.")</f>
        <v>Output BAL-CA1-F0 Level, from Ballast PLC.</v>
      </c>
    </row>
    <row r="116" spans="1:8" x14ac:dyDescent="0.25">
      <c r="A116" s="3" t="s">
        <v>6983</v>
      </c>
      <c r="B116" s="3" t="s">
        <v>6987</v>
      </c>
      <c r="C116" s="3" t="s">
        <v>6985</v>
      </c>
      <c r="D116" s="3" t="s">
        <v>2113</v>
      </c>
      <c r="E116" s="3">
        <v>115</v>
      </c>
      <c r="F116" s="3" t="s">
        <v>1537</v>
      </c>
      <c r="G116" s="3" t="s">
        <v>1093</v>
      </c>
      <c r="H116" s="3" t="str">
        <f t="shared" si="1"/>
        <v>Output BAL-P1A Level, from Ballast PLC.</v>
      </c>
    </row>
    <row r="117" spans="1:8" x14ac:dyDescent="0.25">
      <c r="A117" s="3" t="s">
        <v>6983</v>
      </c>
      <c r="B117" s="3" t="s">
        <v>6987</v>
      </c>
      <c r="C117" s="3" t="s">
        <v>6985</v>
      </c>
      <c r="D117" s="3" t="s">
        <v>2113</v>
      </c>
      <c r="E117" s="3">
        <v>116</v>
      </c>
      <c r="F117" s="3" t="s">
        <v>1538</v>
      </c>
      <c r="G117" s="3" t="s">
        <v>1093</v>
      </c>
      <c r="H117" s="3" t="str">
        <f t="shared" si="1"/>
        <v>Output BAL-P1B Level, from Ballast PLC.</v>
      </c>
    </row>
    <row r="118" spans="1:8" x14ac:dyDescent="0.25">
      <c r="A118" s="3" t="s">
        <v>6983</v>
      </c>
      <c r="B118" s="3" t="s">
        <v>6987</v>
      </c>
      <c r="C118" s="3" t="s">
        <v>6985</v>
      </c>
      <c r="D118" s="3" t="s">
        <v>2113</v>
      </c>
      <c r="E118" s="3">
        <v>117</v>
      </c>
      <c r="F118" s="3" t="s">
        <v>1539</v>
      </c>
      <c r="G118" s="3" t="s">
        <v>1093</v>
      </c>
      <c r="H118" s="3" t="str">
        <f t="shared" si="1"/>
        <v>Output BAL-PAA Level, from Ballast PLC.</v>
      </c>
    </row>
    <row r="119" spans="1:8" x14ac:dyDescent="0.25">
      <c r="A119" s="3" t="s">
        <v>6983</v>
      </c>
      <c r="B119" s="3" t="s">
        <v>6987</v>
      </c>
      <c r="C119" s="3" t="s">
        <v>6985</v>
      </c>
      <c r="D119" s="3" t="s">
        <v>2113</v>
      </c>
      <c r="E119" s="3">
        <v>118</v>
      </c>
      <c r="F119" s="3" t="s">
        <v>1540</v>
      </c>
      <c r="G119" s="3" t="s">
        <v>1093</v>
      </c>
      <c r="H119" s="3" t="str">
        <f t="shared" si="1"/>
        <v>Output ABJ-810 Level, from Ballast PLC.</v>
      </c>
    </row>
    <row r="120" spans="1:8" x14ac:dyDescent="0.25">
      <c r="A120" s="3" t="s">
        <v>6983</v>
      </c>
      <c r="B120" s="3" t="s">
        <v>6987</v>
      </c>
      <c r="C120" s="3" t="s">
        <v>6985</v>
      </c>
      <c r="D120" s="3" t="s">
        <v>2113</v>
      </c>
      <c r="E120" s="3">
        <v>119</v>
      </c>
      <c r="F120" s="3" t="s">
        <v>1541</v>
      </c>
      <c r="G120" s="3" t="s">
        <v>1093</v>
      </c>
      <c r="H120" s="3" t="str">
        <f>_xlfn.CONCAT("Output ",  _xlfn.TEXTBEFORE(F120, "Line Out"), "pay out", ", from Mooring Line PLC.")</f>
        <v>Output ML 5 pay out, from Mooring Line PLC.</v>
      </c>
    </row>
    <row r="121" spans="1:8" x14ac:dyDescent="0.25">
      <c r="A121" s="3" t="s">
        <v>6983</v>
      </c>
      <c r="B121" s="3" t="s">
        <v>6987</v>
      </c>
      <c r="C121" s="3" t="s">
        <v>6985</v>
      </c>
      <c r="D121" s="3" t="s">
        <v>2113</v>
      </c>
      <c r="E121" s="3">
        <v>120</v>
      </c>
      <c r="F121" s="3" t="s">
        <v>1542</v>
      </c>
      <c r="G121" s="3" t="s">
        <v>1100</v>
      </c>
      <c r="H121" s="3" t="str">
        <f>_xlfn.CONCAT("Output ",F121, ", from Mooring Line PLC. Operator can choose to use either Tension A or Tension B.")</f>
        <v>Output ML 5 Tension A, from Mooring Line PLC. Operator can choose to use either Tension A or Tension B.</v>
      </c>
    </row>
    <row r="122" spans="1:8" x14ac:dyDescent="0.25">
      <c r="A122" s="3" t="s">
        <v>6983</v>
      </c>
      <c r="B122" s="3" t="s">
        <v>6987</v>
      </c>
      <c r="C122" s="3" t="s">
        <v>6985</v>
      </c>
      <c r="D122" s="3" t="s">
        <v>2113</v>
      </c>
      <c r="E122" s="3">
        <v>121</v>
      </c>
      <c r="F122" s="3" t="s">
        <v>1543</v>
      </c>
      <c r="G122" s="3" t="s">
        <v>1100</v>
      </c>
      <c r="H122" s="3" t="str">
        <f>_xlfn.CONCAT("Output ",F122, ", from Mooring Line PLC. Operator can choose to use either Tension A or Tension B.")</f>
        <v>Output ML 5 Tension B, from Mooring Line PLC. Operator can choose to use either Tension A or Tension B.</v>
      </c>
    </row>
    <row r="123" spans="1:8" x14ac:dyDescent="0.25">
      <c r="A123" s="3" t="s">
        <v>6983</v>
      </c>
      <c r="B123" s="3" t="s">
        <v>6987</v>
      </c>
      <c r="C123" s="3" t="s">
        <v>6985</v>
      </c>
      <c r="D123" s="3" t="s">
        <v>2113</v>
      </c>
      <c r="E123" s="3">
        <v>122</v>
      </c>
      <c r="F123" s="3" t="s">
        <v>1544</v>
      </c>
      <c r="G123" s="3" t="s">
        <v>1093</v>
      </c>
      <c r="H123" s="3" t="str">
        <f>_xlfn.CONCAT("Output ",  _xlfn.TEXTBEFORE(F123, "Line Out"), "pay out", ", from Mooring Line PLC.")</f>
        <v>Output ML 6 pay out, from Mooring Line PLC.</v>
      </c>
    </row>
    <row r="124" spans="1:8" x14ac:dyDescent="0.25">
      <c r="A124" s="3" t="s">
        <v>6983</v>
      </c>
      <c r="B124" s="3" t="s">
        <v>6987</v>
      </c>
      <c r="C124" s="3" t="s">
        <v>6985</v>
      </c>
      <c r="D124" s="3" t="s">
        <v>2113</v>
      </c>
      <c r="E124" s="3">
        <v>123</v>
      </c>
      <c r="F124" s="3" t="s">
        <v>1545</v>
      </c>
      <c r="G124" s="3" t="s">
        <v>1100</v>
      </c>
      <c r="H124" s="3" t="str">
        <f>_xlfn.CONCAT("Output ",F124, ", from Mooring Line PLC. Operator can choose to use either Tension A or Tension B.")</f>
        <v>Output ML 6 Tension A, from Mooring Line PLC. Operator can choose to use either Tension A or Tension B.</v>
      </c>
    </row>
    <row r="125" spans="1:8" x14ac:dyDescent="0.25">
      <c r="A125" s="3" t="s">
        <v>6983</v>
      </c>
      <c r="B125" s="3" t="s">
        <v>6987</v>
      </c>
      <c r="C125" s="3" t="s">
        <v>6985</v>
      </c>
      <c r="D125" s="3" t="s">
        <v>2113</v>
      </c>
      <c r="E125" s="3">
        <v>124</v>
      </c>
      <c r="F125" s="3" t="s">
        <v>1546</v>
      </c>
      <c r="G125" s="3" t="s">
        <v>1100</v>
      </c>
      <c r="H125" s="3" t="str">
        <f>_xlfn.CONCAT("Output ",F125, ", from Mooring Line PLC. Operator can choose to use either Tension A or Tension B.")</f>
        <v>Output ML 6 Tension B, from Mooring Line PLC. Operator can choose to use either Tension A or Tension B.</v>
      </c>
    </row>
    <row r="126" spans="1:8" x14ac:dyDescent="0.25">
      <c r="A126" s="3" t="s">
        <v>6983</v>
      </c>
      <c r="B126" s="3" t="s">
        <v>6987</v>
      </c>
      <c r="C126" s="3" t="s">
        <v>6985</v>
      </c>
      <c r="D126" s="3" t="s">
        <v>2113</v>
      </c>
      <c r="E126" s="3">
        <v>125</v>
      </c>
      <c r="F126" s="3" t="s">
        <v>1547</v>
      </c>
      <c r="G126" s="3" t="s">
        <v>1093</v>
      </c>
      <c r="H126" s="3" t="str">
        <f>_xlfn.CONCAT("Output ",F126, ", from Ballast PLC.")</f>
        <v>Output A5 Draft, from Ballast PLC.</v>
      </c>
    </row>
    <row r="127" spans="1:8" x14ac:dyDescent="0.25">
      <c r="A127" s="3" t="s">
        <v>6983</v>
      </c>
      <c r="B127" s="3" t="s">
        <v>6987</v>
      </c>
      <c r="C127" s="3" t="s">
        <v>6985</v>
      </c>
      <c r="D127" s="3" t="s">
        <v>2113</v>
      </c>
      <c r="E127" s="3">
        <v>126</v>
      </c>
      <c r="F127" s="3" t="s">
        <v>1548</v>
      </c>
      <c r="G127" s="3" t="s">
        <v>1093</v>
      </c>
      <c r="H127" s="3" t="str">
        <f t="shared" ref="H127:H134" si="2">_xlfn.CONCAT("Output ",F127, ", from Ballast PLC.")</f>
        <v>Output BAL-CA5-B0 Level, from Ballast PLC.</v>
      </c>
    </row>
    <row r="128" spans="1:8" x14ac:dyDescent="0.25">
      <c r="A128" s="3" t="s">
        <v>6983</v>
      </c>
      <c r="B128" s="3" t="s">
        <v>6987</v>
      </c>
      <c r="C128" s="3" t="s">
        <v>6985</v>
      </c>
      <c r="D128" s="3" t="s">
        <v>2113</v>
      </c>
      <c r="E128" s="3">
        <v>127</v>
      </c>
      <c r="F128" s="3" t="s">
        <v>1549</v>
      </c>
      <c r="G128" s="3" t="s">
        <v>1093</v>
      </c>
      <c r="H128" s="3" t="str">
        <f t="shared" si="2"/>
        <v>Output BAL-CA5-C0 Level, from Ballast PLC.</v>
      </c>
    </row>
    <row r="129" spans="1:8" x14ac:dyDescent="0.25">
      <c r="A129" s="3" t="s">
        <v>6983</v>
      </c>
      <c r="B129" s="3" t="s">
        <v>6987</v>
      </c>
      <c r="C129" s="3" t="s">
        <v>6985</v>
      </c>
      <c r="D129" s="3" t="s">
        <v>2113</v>
      </c>
      <c r="E129" s="3">
        <v>128</v>
      </c>
      <c r="F129" s="3" t="s">
        <v>1550</v>
      </c>
      <c r="G129" s="3" t="s">
        <v>1093</v>
      </c>
      <c r="H129" s="3" t="str">
        <f t="shared" si="2"/>
        <v>Output BAL-CA5-D0 Level, from Ballast PLC.</v>
      </c>
    </row>
    <row r="130" spans="1:8" x14ac:dyDescent="0.25">
      <c r="A130" s="3" t="s">
        <v>6983</v>
      </c>
      <c r="B130" s="3" t="s">
        <v>6987</v>
      </c>
      <c r="C130" s="3" t="s">
        <v>6985</v>
      </c>
      <c r="D130" s="3" t="s">
        <v>2113</v>
      </c>
      <c r="E130" s="3">
        <v>129</v>
      </c>
      <c r="F130" s="3" t="s">
        <v>1551</v>
      </c>
      <c r="G130" s="3" t="s">
        <v>1093</v>
      </c>
      <c r="H130" s="3" t="str">
        <f t="shared" si="2"/>
        <v>Output BAL-CA5-E0 Level, from Ballast PLC.</v>
      </c>
    </row>
    <row r="131" spans="1:8" x14ac:dyDescent="0.25">
      <c r="A131" s="3" t="s">
        <v>6983</v>
      </c>
      <c r="B131" s="3" t="s">
        <v>6987</v>
      </c>
      <c r="C131" s="3" t="s">
        <v>6985</v>
      </c>
      <c r="D131" s="3" t="s">
        <v>2113</v>
      </c>
      <c r="E131" s="3">
        <v>130</v>
      </c>
      <c r="F131" s="3" t="s">
        <v>1552</v>
      </c>
      <c r="G131" s="3" t="s">
        <v>1093</v>
      </c>
      <c r="H131" s="3" t="str">
        <f t="shared" si="2"/>
        <v>Output BAL-CA5-F0 Level, from Ballast PLC.</v>
      </c>
    </row>
    <row r="132" spans="1:8" x14ac:dyDescent="0.25">
      <c r="A132" s="3" t="s">
        <v>6983</v>
      </c>
      <c r="B132" s="3" t="s">
        <v>6987</v>
      </c>
      <c r="C132" s="3" t="s">
        <v>6985</v>
      </c>
      <c r="D132" s="3" t="s">
        <v>2113</v>
      </c>
      <c r="E132" s="3">
        <v>131</v>
      </c>
      <c r="F132" s="3" t="s">
        <v>1553</v>
      </c>
      <c r="G132" s="3" t="s">
        <v>1093</v>
      </c>
      <c r="H132" s="3" t="str">
        <f t="shared" si="2"/>
        <v>Output BAL-P5A Level, from Ballast PLC.</v>
      </c>
    </row>
    <row r="133" spans="1:8" x14ac:dyDescent="0.25">
      <c r="A133" s="3" t="s">
        <v>6983</v>
      </c>
      <c r="B133" s="3" t="s">
        <v>6987</v>
      </c>
      <c r="C133" s="3" t="s">
        <v>6985</v>
      </c>
      <c r="D133" s="3" t="s">
        <v>2113</v>
      </c>
      <c r="E133" s="3">
        <v>132</v>
      </c>
      <c r="F133" s="3" t="s">
        <v>1554</v>
      </c>
      <c r="G133" s="3" t="s">
        <v>1093</v>
      </c>
      <c r="H133" s="3" t="str">
        <f t="shared" si="2"/>
        <v>Output BAL-P5B Level, from Ballast PLC.</v>
      </c>
    </row>
    <row r="134" spans="1:8" x14ac:dyDescent="0.25">
      <c r="A134" s="3" t="s">
        <v>6983</v>
      </c>
      <c r="B134" s="3" t="s">
        <v>6987</v>
      </c>
      <c r="C134" s="3" t="s">
        <v>6985</v>
      </c>
      <c r="D134" s="3" t="s">
        <v>2113</v>
      </c>
      <c r="E134" s="3">
        <v>133</v>
      </c>
      <c r="F134" s="3" t="s">
        <v>1555</v>
      </c>
      <c r="G134" s="3" t="s">
        <v>1093</v>
      </c>
      <c r="H134" s="3" t="str">
        <f t="shared" si="2"/>
        <v>Output BAL-PAB Level, from Ballast PLC.</v>
      </c>
    </row>
    <row r="135" spans="1:8" x14ac:dyDescent="0.25">
      <c r="A135" s="3" t="s">
        <v>6983</v>
      </c>
      <c r="B135" s="3" t="s">
        <v>6987</v>
      </c>
      <c r="C135" s="3" t="s">
        <v>6985</v>
      </c>
      <c r="D135" s="3" t="s">
        <v>2113</v>
      </c>
      <c r="E135" s="3">
        <v>134</v>
      </c>
      <c r="F135" s="3" t="s">
        <v>1556</v>
      </c>
      <c r="G135" s="3" t="s">
        <v>4</v>
      </c>
      <c r="H135" s="3" t="str">
        <f>_xlfn.CONCAT("Output ",F135, ", from Ballast PLC.")</f>
        <v>Output NS Inclination, from Ballast PLC.</v>
      </c>
    </row>
    <row r="136" spans="1:8" x14ac:dyDescent="0.25">
      <c r="A136" s="3" t="s">
        <v>6983</v>
      </c>
      <c r="B136" s="3" t="s">
        <v>6987</v>
      </c>
      <c r="C136" s="3" t="s">
        <v>6985</v>
      </c>
      <c r="D136" s="3" t="s">
        <v>2113</v>
      </c>
      <c r="E136" s="3">
        <v>135</v>
      </c>
      <c r="F136" s="3" t="s">
        <v>1557</v>
      </c>
      <c r="G136" s="3" t="s">
        <v>4</v>
      </c>
      <c r="H136" s="3" t="str">
        <f>_xlfn.CONCAT("Output ",F136, ", from Ballast PLC.")</f>
        <v>Output EW Inclination, from Ballast PLC.</v>
      </c>
    </row>
    <row r="137" spans="1:8" x14ac:dyDescent="0.25">
      <c r="A137" s="3" t="s">
        <v>6983</v>
      </c>
      <c r="B137" s="3" t="s">
        <v>6987</v>
      </c>
      <c r="C137" s="3" t="s">
        <v>6985</v>
      </c>
      <c r="D137" s="3" t="s">
        <v>2113</v>
      </c>
      <c r="E137" s="3">
        <v>136</v>
      </c>
      <c r="F137" s="3" t="s">
        <v>1558</v>
      </c>
      <c r="G137" s="3" t="s">
        <v>1093</v>
      </c>
      <c r="H137" s="3" t="str">
        <f>_xlfn.CONCAT("Output ",F137, ", from Ballast PLC.")</f>
        <v>Output ABJ-1006 Level, from Ballast PLC.</v>
      </c>
    </row>
    <row r="138" spans="1:8" x14ac:dyDescent="0.25">
      <c r="A138" s="3" t="s">
        <v>6983</v>
      </c>
      <c r="B138" s="3" t="s">
        <v>6987</v>
      </c>
      <c r="C138" s="3" t="s">
        <v>6985</v>
      </c>
      <c r="D138" s="3" t="s">
        <v>2113</v>
      </c>
      <c r="E138" s="3">
        <v>137</v>
      </c>
      <c r="F138" s="3" t="s">
        <v>1559</v>
      </c>
      <c r="G138" s="3" t="s">
        <v>1093</v>
      </c>
      <c r="H138" s="3" t="str">
        <f>_xlfn.CONCAT("Output ",  _xlfn.TEXTBEFORE(F138, "Line Out"), "pay out", ", from Mooring Line PLC.")</f>
        <v>Output ML 1 pay out, from Mooring Line PLC.</v>
      </c>
    </row>
    <row r="139" spans="1:8" x14ac:dyDescent="0.25">
      <c r="A139" s="3" t="s">
        <v>6983</v>
      </c>
      <c r="B139" s="3" t="s">
        <v>6987</v>
      </c>
      <c r="C139" s="3" t="s">
        <v>6985</v>
      </c>
      <c r="D139" s="3" t="s">
        <v>2113</v>
      </c>
      <c r="E139" s="3">
        <v>138</v>
      </c>
      <c r="F139" s="3" t="s">
        <v>1560</v>
      </c>
      <c r="G139" s="3" t="s">
        <v>1100</v>
      </c>
      <c r="H139" s="3" t="str">
        <f>_xlfn.CONCAT("Output ",F139, ", from Mooring Line PLC. Operator can choose to use either Tension A or Tension B.")</f>
        <v>Output ML 1 Tension A, from Mooring Line PLC. Operator can choose to use either Tension A or Tension B.</v>
      </c>
    </row>
    <row r="140" spans="1:8" x14ac:dyDescent="0.25">
      <c r="A140" s="3" t="s">
        <v>6983</v>
      </c>
      <c r="B140" s="3" t="s">
        <v>6987</v>
      </c>
      <c r="C140" s="3" t="s">
        <v>6985</v>
      </c>
      <c r="D140" s="3" t="s">
        <v>2113</v>
      </c>
      <c r="E140" s="3">
        <v>139</v>
      </c>
      <c r="F140" s="3" t="s">
        <v>1561</v>
      </c>
      <c r="G140" s="3" t="s">
        <v>1100</v>
      </c>
      <c r="H140" s="3" t="str">
        <f>_xlfn.CONCAT("Output ",F140, ", from Mooring Line PLC. Operator can choose to use either Tension A or Tension B.")</f>
        <v>Output ML 1 Tension B, from Mooring Line PLC. Operator can choose to use either Tension A or Tension B.</v>
      </c>
    </row>
    <row r="141" spans="1:8" x14ac:dyDescent="0.25">
      <c r="A141" s="3" t="s">
        <v>6983</v>
      </c>
      <c r="B141" s="3" t="s">
        <v>6987</v>
      </c>
      <c r="C141" s="3" t="s">
        <v>6985</v>
      </c>
      <c r="D141" s="3" t="s">
        <v>2113</v>
      </c>
      <c r="E141" s="3">
        <v>140</v>
      </c>
      <c r="F141" s="3" t="s">
        <v>1562</v>
      </c>
      <c r="G141" s="3" t="s">
        <v>1093</v>
      </c>
      <c r="H141" s="3" t="str">
        <f>_xlfn.CONCAT("Output ",  _xlfn.TEXTBEFORE(F141, "Line Out"), "pay out", ", from Mooring Line PLC.")</f>
        <v>Output ML 2 pay out, from Mooring Line PLC.</v>
      </c>
    </row>
    <row r="142" spans="1:8" x14ac:dyDescent="0.25">
      <c r="A142" s="3" t="s">
        <v>6983</v>
      </c>
      <c r="B142" s="3" t="s">
        <v>6987</v>
      </c>
      <c r="C142" s="3" t="s">
        <v>6985</v>
      </c>
      <c r="D142" s="3" t="s">
        <v>2113</v>
      </c>
      <c r="E142" s="3">
        <v>141</v>
      </c>
      <c r="F142" s="3" t="s">
        <v>1563</v>
      </c>
      <c r="G142" s="3" t="s">
        <v>1100</v>
      </c>
      <c r="H142" s="3" t="str">
        <f>_xlfn.CONCAT("Output ",F142, ", from Mooring Line PLC. Operator can choose to use either Tension A or Tension B.")</f>
        <v>Output ML 2 Tension A, from Mooring Line PLC. Operator can choose to use either Tension A or Tension B.</v>
      </c>
    </row>
    <row r="143" spans="1:8" x14ac:dyDescent="0.25">
      <c r="A143" s="3" t="s">
        <v>6983</v>
      </c>
      <c r="B143" s="3" t="s">
        <v>6987</v>
      </c>
      <c r="C143" s="3" t="s">
        <v>6985</v>
      </c>
      <c r="D143" s="3" t="s">
        <v>2113</v>
      </c>
      <c r="E143" s="3">
        <v>142</v>
      </c>
      <c r="F143" s="3" t="s">
        <v>1564</v>
      </c>
      <c r="G143" s="3" t="s">
        <v>1100</v>
      </c>
      <c r="H143" s="3" t="str">
        <f>_xlfn.CONCAT("Output ",F143, ", from Mooring Line PLC. Operator can choose to use either Tension A or Tension B.")</f>
        <v>Output ML 2 Tension B, from Mooring Line PLC. Operator can choose to use either Tension A or Tension B.</v>
      </c>
    </row>
    <row r="144" spans="1:8" x14ac:dyDescent="0.25">
      <c r="A144" s="3" t="s">
        <v>6983</v>
      </c>
      <c r="B144" s="3" t="s">
        <v>6987</v>
      </c>
      <c r="C144" s="3" t="s">
        <v>6985</v>
      </c>
      <c r="D144" s="3" t="s">
        <v>2113</v>
      </c>
      <c r="E144" s="3">
        <v>143</v>
      </c>
      <c r="F144" s="3" t="s">
        <v>1565</v>
      </c>
      <c r="G144" s="3" t="s">
        <v>1093</v>
      </c>
      <c r="H144" s="3" t="str">
        <f t="shared" ref="H144:H153" si="3">_xlfn.CONCAT("Output ",F144, ", from Mooring, Draft &amp; Tanks.")</f>
        <v>Output E1 Draft, from Mooring, Draft &amp; Tanks.</v>
      </c>
    </row>
    <row r="145" spans="1:8" x14ac:dyDescent="0.25">
      <c r="A145" s="3" t="s">
        <v>6983</v>
      </c>
      <c r="B145" s="3" t="s">
        <v>6987</v>
      </c>
      <c r="C145" s="3" t="s">
        <v>6985</v>
      </c>
      <c r="D145" s="3" t="s">
        <v>2113</v>
      </c>
      <c r="E145" s="3">
        <v>144</v>
      </c>
      <c r="F145" s="3" t="s">
        <v>1566</v>
      </c>
      <c r="G145" s="3" t="s">
        <v>1093</v>
      </c>
      <c r="H145" s="3" t="str">
        <f t="shared" si="3"/>
        <v>Output ABJ-1005 Level, from Mooring, Draft &amp; Tanks.</v>
      </c>
    </row>
    <row r="146" spans="1:8" x14ac:dyDescent="0.25">
      <c r="A146" s="3" t="s">
        <v>6983</v>
      </c>
      <c r="B146" s="3" t="s">
        <v>6987</v>
      </c>
      <c r="C146" s="3" t="s">
        <v>6985</v>
      </c>
      <c r="D146" s="3" t="s">
        <v>2113</v>
      </c>
      <c r="E146" s="3">
        <v>145</v>
      </c>
      <c r="F146" s="3" t="s">
        <v>1567</v>
      </c>
      <c r="G146" s="3" t="s">
        <v>1093</v>
      </c>
      <c r="H146" s="3" t="str">
        <f t="shared" si="3"/>
        <v>Output ABJ-1250 Level, from Mooring, Draft &amp; Tanks.</v>
      </c>
    </row>
    <row r="147" spans="1:8" x14ac:dyDescent="0.25">
      <c r="A147" s="3" t="s">
        <v>6983</v>
      </c>
      <c r="B147" s="3" t="s">
        <v>6987</v>
      </c>
      <c r="C147" s="3" t="s">
        <v>6985</v>
      </c>
      <c r="D147" s="3" t="s">
        <v>2113</v>
      </c>
      <c r="E147" s="3">
        <v>146</v>
      </c>
      <c r="F147" s="3" t="s">
        <v>1568</v>
      </c>
      <c r="G147" s="3" t="s">
        <v>1093</v>
      </c>
      <c r="H147" s="3" t="str">
        <f t="shared" si="3"/>
        <v>Output BAL-CE1-B0 Level, from Mooring, Draft &amp; Tanks.</v>
      </c>
    </row>
    <row r="148" spans="1:8" x14ac:dyDescent="0.25">
      <c r="A148" s="3" t="s">
        <v>6983</v>
      </c>
      <c r="B148" s="3" t="s">
        <v>6987</v>
      </c>
      <c r="C148" s="3" t="s">
        <v>6985</v>
      </c>
      <c r="D148" s="3" t="s">
        <v>2113</v>
      </c>
      <c r="E148" s="3">
        <v>147</v>
      </c>
      <c r="F148" s="3" t="s">
        <v>1569</v>
      </c>
      <c r="G148" s="3" t="s">
        <v>1093</v>
      </c>
      <c r="H148" s="3" t="str">
        <f t="shared" si="3"/>
        <v>Output BAL-CE1-C0 Level, from Mooring, Draft &amp; Tanks.</v>
      </c>
    </row>
    <row r="149" spans="1:8" x14ac:dyDescent="0.25">
      <c r="A149" s="3" t="s">
        <v>6983</v>
      </c>
      <c r="B149" s="3" t="s">
        <v>6987</v>
      </c>
      <c r="C149" s="3" t="s">
        <v>6985</v>
      </c>
      <c r="D149" s="3" t="s">
        <v>2113</v>
      </c>
      <c r="E149" s="3">
        <v>148</v>
      </c>
      <c r="F149" s="3" t="s">
        <v>1570</v>
      </c>
      <c r="G149" s="3" t="s">
        <v>1093</v>
      </c>
      <c r="H149" s="3" t="str">
        <f t="shared" si="3"/>
        <v>Output BAL-CE1-D0 Level, from Mooring, Draft &amp; Tanks.</v>
      </c>
    </row>
    <row r="150" spans="1:8" x14ac:dyDescent="0.25">
      <c r="A150" s="3" t="s">
        <v>6983</v>
      </c>
      <c r="B150" s="3" t="s">
        <v>6987</v>
      </c>
      <c r="C150" s="3" t="s">
        <v>6985</v>
      </c>
      <c r="D150" s="3" t="s">
        <v>2113</v>
      </c>
      <c r="E150" s="3">
        <v>149</v>
      </c>
      <c r="F150" s="3" t="s">
        <v>1571</v>
      </c>
      <c r="G150" s="3" t="s">
        <v>1093</v>
      </c>
      <c r="H150" s="3" t="str">
        <f t="shared" si="3"/>
        <v>Output BAL-CE1-E0 Level, from Mooring, Draft &amp; Tanks.</v>
      </c>
    </row>
    <row r="151" spans="1:8" x14ac:dyDescent="0.25">
      <c r="A151" s="3" t="s">
        <v>6983</v>
      </c>
      <c r="B151" s="3" t="s">
        <v>6987</v>
      </c>
      <c r="C151" s="3" t="s">
        <v>6985</v>
      </c>
      <c r="D151" s="3" t="s">
        <v>2113</v>
      </c>
      <c r="E151" s="3">
        <v>150</v>
      </c>
      <c r="F151" s="3" t="s">
        <v>1572</v>
      </c>
      <c r="G151" s="3" t="s">
        <v>1093</v>
      </c>
      <c r="H151" s="3" t="str">
        <f t="shared" si="3"/>
        <v>Output BAL-CE1-F0 Level, from Mooring, Draft &amp; Tanks.</v>
      </c>
    </row>
    <row r="152" spans="1:8" x14ac:dyDescent="0.25">
      <c r="A152" s="3" t="s">
        <v>6983</v>
      </c>
      <c r="B152" s="3" t="s">
        <v>6987</v>
      </c>
      <c r="C152" s="3" t="s">
        <v>6985</v>
      </c>
      <c r="D152" s="3" t="s">
        <v>2113</v>
      </c>
      <c r="E152" s="3">
        <v>151</v>
      </c>
      <c r="F152" s="3" t="s">
        <v>1573</v>
      </c>
      <c r="G152" s="3" t="s">
        <v>1093</v>
      </c>
      <c r="H152" s="3" t="str">
        <f t="shared" si="3"/>
        <v>Output BAL-P1C Level, from Mooring, Draft &amp; Tanks.</v>
      </c>
    </row>
    <row r="153" spans="1:8" x14ac:dyDescent="0.25">
      <c r="A153" s="3" t="s">
        <v>6983</v>
      </c>
      <c r="B153" s="3" t="s">
        <v>6987</v>
      </c>
      <c r="C153" s="3" t="s">
        <v>6985</v>
      </c>
      <c r="D153" s="3" t="s">
        <v>2113</v>
      </c>
      <c r="E153" s="3">
        <v>152</v>
      </c>
      <c r="F153" s="3" t="s">
        <v>1574</v>
      </c>
      <c r="G153" s="3" t="s">
        <v>1093</v>
      </c>
      <c r="H153" s="3" t="str">
        <f t="shared" si="3"/>
        <v>Output BAL-PEA Level, from Mooring, Draft &amp; Tanks.</v>
      </c>
    </row>
    <row r="154" spans="1:8" x14ac:dyDescent="0.25">
      <c r="A154" s="3" t="s">
        <v>6983</v>
      </c>
      <c r="B154" s="3" t="s">
        <v>6987</v>
      </c>
      <c r="C154" s="3" t="s">
        <v>6985</v>
      </c>
      <c r="D154" s="3" t="s">
        <v>2113</v>
      </c>
      <c r="E154" s="3">
        <v>153</v>
      </c>
      <c r="F154" s="3" t="s">
        <v>1575</v>
      </c>
      <c r="G154" s="3" t="s">
        <v>1093</v>
      </c>
      <c r="H154" s="3" t="str">
        <f>_xlfn.CONCAT("Output ",  _xlfn.TEXTBEFORE(F154, "Line Out"), "pay out", ", from Mooring Line PLC.")</f>
        <v>Output ML 7 pay out, from Mooring Line PLC.</v>
      </c>
    </row>
    <row r="155" spans="1:8" x14ac:dyDescent="0.25">
      <c r="A155" s="3" t="s">
        <v>6983</v>
      </c>
      <c r="B155" s="3" t="s">
        <v>6987</v>
      </c>
      <c r="C155" s="3" t="s">
        <v>6985</v>
      </c>
      <c r="D155" s="3" t="s">
        <v>2113</v>
      </c>
      <c r="E155" s="3">
        <v>154</v>
      </c>
      <c r="F155" s="3" t="s">
        <v>1576</v>
      </c>
      <c r="G155" s="3" t="s">
        <v>1100</v>
      </c>
      <c r="H155" s="3" t="str">
        <f>_xlfn.CONCAT("Output ",F155, ", from Mooring Line PLC. Operator can choose to use either Tension A or Tension B.")</f>
        <v>Output ML 7 Tension A, from Mooring Line PLC. Operator can choose to use either Tension A or Tension B.</v>
      </c>
    </row>
    <row r="156" spans="1:8" x14ac:dyDescent="0.25">
      <c r="A156" s="3" t="s">
        <v>6983</v>
      </c>
      <c r="B156" s="3" t="s">
        <v>6987</v>
      </c>
      <c r="C156" s="3" t="s">
        <v>6985</v>
      </c>
      <c r="D156" s="3" t="s">
        <v>2113</v>
      </c>
      <c r="E156" s="3">
        <v>155</v>
      </c>
      <c r="F156" s="3" t="s">
        <v>1577</v>
      </c>
      <c r="G156" s="3" t="s">
        <v>1100</v>
      </c>
      <c r="H156" s="3" t="str">
        <f>_xlfn.CONCAT("Output ",F156, ", from Mooring Line PLC. Operator can choose to use either Tension A or Tension B.")</f>
        <v>Output ML 7 Tension B, from Mooring Line PLC. Operator can choose to use either Tension A or Tension B.</v>
      </c>
    </row>
    <row r="157" spans="1:8" x14ac:dyDescent="0.25">
      <c r="A157" s="3" t="s">
        <v>6983</v>
      </c>
      <c r="B157" s="3" t="s">
        <v>6987</v>
      </c>
      <c r="C157" s="3" t="s">
        <v>6985</v>
      </c>
      <c r="D157" s="3" t="s">
        <v>2113</v>
      </c>
      <c r="E157" s="3">
        <v>156</v>
      </c>
      <c r="F157" s="3" t="s">
        <v>1578</v>
      </c>
      <c r="G157" s="3" t="s">
        <v>1093</v>
      </c>
      <c r="H157" s="3" t="str">
        <f>_xlfn.CONCAT("Output ",  _xlfn.TEXTBEFORE(F157, "Line Out"), "pay out", ", from Mooring Line PLC.")</f>
        <v>Output ML 8 pay out, from Mooring Line PLC.</v>
      </c>
    </row>
    <row r="158" spans="1:8" x14ac:dyDescent="0.25">
      <c r="A158" s="3" t="s">
        <v>6983</v>
      </c>
      <c r="B158" s="3" t="s">
        <v>6987</v>
      </c>
      <c r="C158" s="3" t="s">
        <v>6985</v>
      </c>
      <c r="D158" s="3" t="s">
        <v>2113</v>
      </c>
      <c r="E158" s="3">
        <v>157</v>
      </c>
      <c r="F158" s="3" t="s">
        <v>1579</v>
      </c>
      <c r="G158" s="3" t="s">
        <v>1100</v>
      </c>
      <c r="H158" s="3" t="str">
        <f>_xlfn.CONCAT("Output ",F158, ", from Mooring Line PLC. Operator can choose to use either Tension A or Tension B.")</f>
        <v>Output ML 8 Tension A, from Mooring Line PLC. Operator can choose to use either Tension A or Tension B.</v>
      </c>
    </row>
    <row r="159" spans="1:8" x14ac:dyDescent="0.25">
      <c r="A159" s="3" t="s">
        <v>6983</v>
      </c>
      <c r="B159" s="3" t="s">
        <v>6987</v>
      </c>
      <c r="C159" s="3" t="s">
        <v>6985</v>
      </c>
      <c r="D159" s="3" t="s">
        <v>2113</v>
      </c>
      <c r="E159" s="3">
        <v>158</v>
      </c>
      <c r="F159" s="3" t="s">
        <v>1580</v>
      </c>
      <c r="G159" s="3" t="s">
        <v>1100</v>
      </c>
      <c r="H159" s="3" t="str">
        <f>_xlfn.CONCAT("Output ",F159, ", from Mooring Line PLC. Operator can choose to use either Tension A or Tension B.")</f>
        <v>Output ML 8 Tension B, from Mooring Line PLC. Operator can choose to use either Tension A or Tension B.</v>
      </c>
    </row>
    <row r="160" spans="1:8" x14ac:dyDescent="0.25">
      <c r="A160" s="3" t="s">
        <v>6983</v>
      </c>
      <c r="B160" s="3" t="s">
        <v>6987</v>
      </c>
      <c r="C160" s="3" t="s">
        <v>6985</v>
      </c>
      <c r="D160" s="3" t="s">
        <v>2113</v>
      </c>
      <c r="E160" s="3">
        <v>159</v>
      </c>
      <c r="F160" s="3" t="s">
        <v>1581</v>
      </c>
      <c r="G160" s="3" t="s">
        <v>1093</v>
      </c>
      <c r="H160" s="3" t="str">
        <f t="shared" ref="H160:H170" si="4">_xlfn.CONCAT("Output ",F160, ", from Ballast PLC.")</f>
        <v>Output ABJ-1007 Level, from Ballast PLC.</v>
      </c>
    </row>
    <row r="161" spans="1:8" x14ac:dyDescent="0.25">
      <c r="A161" s="3" t="s">
        <v>6983</v>
      </c>
      <c r="B161" s="3" t="s">
        <v>6987</v>
      </c>
      <c r="C161" s="3" t="s">
        <v>6985</v>
      </c>
      <c r="D161" s="3" t="s">
        <v>2113</v>
      </c>
      <c r="E161" s="3">
        <v>160</v>
      </c>
      <c r="F161" s="3" t="s">
        <v>1582</v>
      </c>
      <c r="G161" s="3" t="s">
        <v>1093</v>
      </c>
      <c r="H161" s="3" t="str">
        <f>_xlfn.CONCAT("Output ",F161, ", from Ballast PLC.")</f>
        <v>Output ABJ-1008 Level, from Ballast PLC.</v>
      </c>
    </row>
    <row r="162" spans="1:8" x14ac:dyDescent="0.25">
      <c r="A162" s="3" t="s">
        <v>6983</v>
      </c>
      <c r="B162" s="3" t="s">
        <v>6987</v>
      </c>
      <c r="C162" s="3" t="s">
        <v>6985</v>
      </c>
      <c r="D162" s="3" t="s">
        <v>2113</v>
      </c>
      <c r="E162" s="3">
        <v>161</v>
      </c>
      <c r="F162" s="3" t="s">
        <v>1583</v>
      </c>
      <c r="G162" s="3" t="s">
        <v>1093</v>
      </c>
      <c r="H162" s="3" t="str">
        <f t="shared" si="4"/>
        <v>Output BAL-CE5-B0 Level, from Ballast PLC.</v>
      </c>
    </row>
    <row r="163" spans="1:8" x14ac:dyDescent="0.25">
      <c r="A163" s="3" t="s">
        <v>6983</v>
      </c>
      <c r="B163" s="3" t="s">
        <v>6987</v>
      </c>
      <c r="C163" s="3" t="s">
        <v>6985</v>
      </c>
      <c r="D163" s="3" t="s">
        <v>2113</v>
      </c>
      <c r="E163" s="3">
        <v>162</v>
      </c>
      <c r="F163" s="3" t="s">
        <v>1584</v>
      </c>
      <c r="G163" s="3" t="s">
        <v>1093</v>
      </c>
      <c r="H163" s="3" t="str">
        <f t="shared" si="4"/>
        <v>Output BAL-CE5-C0 Level, from Ballast PLC.</v>
      </c>
    </row>
    <row r="164" spans="1:8" x14ac:dyDescent="0.25">
      <c r="A164" s="3" t="s">
        <v>6983</v>
      </c>
      <c r="B164" s="3" t="s">
        <v>6987</v>
      </c>
      <c r="C164" s="3" t="s">
        <v>6985</v>
      </c>
      <c r="D164" s="3" t="s">
        <v>2113</v>
      </c>
      <c r="E164" s="3">
        <v>163</v>
      </c>
      <c r="F164" s="3" t="s">
        <v>1585</v>
      </c>
      <c r="G164" s="3" t="s">
        <v>1093</v>
      </c>
      <c r="H164" s="3" t="str">
        <f t="shared" si="4"/>
        <v>Output BAL-CE5-D0 Level, from Ballast PLC.</v>
      </c>
    </row>
    <row r="165" spans="1:8" x14ac:dyDescent="0.25">
      <c r="A165" s="3" t="s">
        <v>6983</v>
      </c>
      <c r="B165" s="3" t="s">
        <v>6987</v>
      </c>
      <c r="C165" s="3" t="s">
        <v>6985</v>
      </c>
      <c r="D165" s="3" t="s">
        <v>2113</v>
      </c>
      <c r="E165" s="3">
        <v>164</v>
      </c>
      <c r="F165" s="3" t="s">
        <v>1586</v>
      </c>
      <c r="G165" s="3" t="s">
        <v>1093</v>
      </c>
      <c r="H165" s="3" t="str">
        <f t="shared" si="4"/>
        <v>Output BAL-CE5-E0 Level, from Ballast PLC.</v>
      </c>
    </row>
    <row r="166" spans="1:8" x14ac:dyDescent="0.25">
      <c r="A166" s="3" t="s">
        <v>6983</v>
      </c>
      <c r="B166" s="3" t="s">
        <v>6987</v>
      </c>
      <c r="C166" s="3" t="s">
        <v>6985</v>
      </c>
      <c r="D166" s="3" t="s">
        <v>2113</v>
      </c>
      <c r="E166" s="3">
        <v>165</v>
      </c>
      <c r="F166" s="3" t="s">
        <v>1587</v>
      </c>
      <c r="G166" s="3" t="s">
        <v>1093</v>
      </c>
      <c r="H166" s="3" t="str">
        <f t="shared" si="4"/>
        <v>Output BAL-CE5-F0 Level, from Ballast PLC.</v>
      </c>
    </row>
    <row r="167" spans="1:8" x14ac:dyDescent="0.25">
      <c r="A167" s="3" t="s">
        <v>6983</v>
      </c>
      <c r="B167" s="3" t="s">
        <v>6987</v>
      </c>
      <c r="C167" s="3" t="s">
        <v>6985</v>
      </c>
      <c r="D167" s="3" t="s">
        <v>2113</v>
      </c>
      <c r="E167" s="3">
        <v>166</v>
      </c>
      <c r="F167" s="3" t="s">
        <v>1588</v>
      </c>
      <c r="G167" s="3" t="s">
        <v>1093</v>
      </c>
      <c r="H167" s="3" t="str">
        <f t="shared" si="4"/>
        <v>Output BAL-P5C Level, from Ballast PLC.</v>
      </c>
    </row>
    <row r="168" spans="1:8" x14ac:dyDescent="0.25">
      <c r="A168" s="3" t="s">
        <v>6983</v>
      </c>
      <c r="B168" s="3" t="s">
        <v>6987</v>
      </c>
      <c r="C168" s="3" t="s">
        <v>6985</v>
      </c>
      <c r="D168" s="3" t="s">
        <v>2113</v>
      </c>
      <c r="E168" s="3">
        <v>167</v>
      </c>
      <c r="F168" s="3" t="s">
        <v>1589</v>
      </c>
      <c r="G168" s="3" t="s">
        <v>1093</v>
      </c>
      <c r="H168" s="3" t="str">
        <f t="shared" si="4"/>
        <v>Output BAL-PEB Level, from Ballast PLC.</v>
      </c>
    </row>
    <row r="169" spans="1:8" x14ac:dyDescent="0.25">
      <c r="A169" s="3" t="s">
        <v>6983</v>
      </c>
      <c r="B169" s="3" t="s">
        <v>6987</v>
      </c>
      <c r="C169" s="3" t="s">
        <v>6985</v>
      </c>
      <c r="D169" s="3" t="s">
        <v>2113</v>
      </c>
      <c r="E169" s="3">
        <v>168</v>
      </c>
      <c r="F169" s="3" t="s">
        <v>1590</v>
      </c>
      <c r="G169" s="3" t="s">
        <v>1093</v>
      </c>
      <c r="H169" s="3" t="str">
        <f t="shared" si="4"/>
        <v>Output ABJ-710 Level, from Ballast PLC.</v>
      </c>
    </row>
    <row r="170" spans="1:8" x14ac:dyDescent="0.25">
      <c r="A170" s="3" t="s">
        <v>6983</v>
      </c>
      <c r="B170" s="3" t="s">
        <v>6987</v>
      </c>
      <c r="C170" s="3" t="s">
        <v>6985</v>
      </c>
      <c r="D170" s="3" t="s">
        <v>2113</v>
      </c>
      <c r="E170" s="3">
        <v>169</v>
      </c>
      <c r="F170" s="3" t="s">
        <v>1591</v>
      </c>
      <c r="G170" s="3" t="s">
        <v>1093</v>
      </c>
      <c r="H170" s="3" t="str">
        <f t="shared" si="4"/>
        <v>Output ABJ-720 Level, from Ballast PLC.</v>
      </c>
    </row>
    <row r="171" spans="1:8" x14ac:dyDescent="0.25">
      <c r="A171" s="3" t="s">
        <v>6983</v>
      </c>
      <c r="B171" s="3" t="s">
        <v>6987</v>
      </c>
      <c r="C171" s="3" t="s">
        <v>6985</v>
      </c>
      <c r="D171" s="3" t="s">
        <v>2113</v>
      </c>
      <c r="E171" s="3">
        <v>170</v>
      </c>
      <c r="F171" s="3" t="s">
        <v>1592</v>
      </c>
      <c r="G171" s="3" t="s">
        <v>2101</v>
      </c>
      <c r="H171" s="3" t="str">
        <f>_xlfn.CONCAT("Output ",F171, ", from LMP.")</f>
        <v>Output ABJ-1004 Vol BBLS, from LMP.</v>
      </c>
    </row>
    <row r="172" spans="1:8" x14ac:dyDescent="0.25">
      <c r="A172" s="3" t="s">
        <v>6983</v>
      </c>
      <c r="B172" s="3" t="s">
        <v>6987</v>
      </c>
      <c r="C172" s="3" t="s">
        <v>6985</v>
      </c>
      <c r="D172" s="3" t="s">
        <v>2113</v>
      </c>
      <c r="E172" s="3">
        <v>171</v>
      </c>
      <c r="F172" s="3" t="s">
        <v>1593</v>
      </c>
      <c r="G172" s="3" t="s">
        <v>2102</v>
      </c>
      <c r="H172" s="3" t="str">
        <f t="shared" ref="H172:H179" si="5">_xlfn.CONCAT("Output ",F172, ", from LMP.")</f>
        <v>Output ABJ-1005 Vol Gals, from LMP.</v>
      </c>
    </row>
    <row r="173" spans="1:8" x14ac:dyDescent="0.25">
      <c r="A173" s="3" t="s">
        <v>6983</v>
      </c>
      <c r="B173" s="3" t="s">
        <v>6987</v>
      </c>
      <c r="C173" s="3" t="s">
        <v>6985</v>
      </c>
      <c r="D173" s="3" t="s">
        <v>2113</v>
      </c>
      <c r="E173" s="3">
        <v>172</v>
      </c>
      <c r="F173" s="3" t="s">
        <v>1594</v>
      </c>
      <c r="G173" s="3" t="s">
        <v>2101</v>
      </c>
      <c r="H173" s="3" t="str">
        <f t="shared" si="5"/>
        <v>Output ABJ-1006 Vol BBLS, from LMP.</v>
      </c>
    </row>
    <row r="174" spans="1:8" x14ac:dyDescent="0.25">
      <c r="A174" s="3" t="s">
        <v>6983</v>
      </c>
      <c r="B174" s="3" t="s">
        <v>6987</v>
      </c>
      <c r="C174" s="3" t="s">
        <v>6985</v>
      </c>
      <c r="D174" s="3" t="s">
        <v>2113</v>
      </c>
      <c r="E174" s="3">
        <v>173</v>
      </c>
      <c r="F174" s="3" t="s">
        <v>1595</v>
      </c>
      <c r="G174" s="3" t="s">
        <v>2102</v>
      </c>
      <c r="H174" s="3" t="str">
        <f t="shared" si="5"/>
        <v>Output ABJ-1007 Vol Gals, from LMP.</v>
      </c>
    </row>
    <row r="175" spans="1:8" x14ac:dyDescent="0.25">
      <c r="A175" s="3" t="s">
        <v>6983</v>
      </c>
      <c r="B175" s="3" t="s">
        <v>6987</v>
      </c>
      <c r="C175" s="3" t="s">
        <v>6985</v>
      </c>
      <c r="D175" s="3" t="s">
        <v>2113</v>
      </c>
      <c r="E175" s="3">
        <v>174</v>
      </c>
      <c r="F175" s="3" t="s">
        <v>1596</v>
      </c>
      <c r="G175" s="3" t="s">
        <v>2102</v>
      </c>
      <c r="H175" s="3" t="str">
        <f t="shared" si="5"/>
        <v>Output ABJ-1008 Vol Gals, from LMP.</v>
      </c>
    </row>
    <row r="176" spans="1:8" x14ac:dyDescent="0.25">
      <c r="A176" s="3" t="s">
        <v>6983</v>
      </c>
      <c r="B176" s="3" t="s">
        <v>6987</v>
      </c>
      <c r="C176" s="3" t="s">
        <v>6985</v>
      </c>
      <c r="D176" s="3" t="s">
        <v>2113</v>
      </c>
      <c r="E176" s="3">
        <v>175</v>
      </c>
      <c r="F176" s="3" t="s">
        <v>1597</v>
      </c>
      <c r="G176" s="3" t="s">
        <v>2102</v>
      </c>
      <c r="H176" s="3" t="str">
        <f t="shared" si="5"/>
        <v>Output ABJ-1250 Vol Gals, from LMP.</v>
      </c>
    </row>
    <row r="177" spans="1:8" x14ac:dyDescent="0.25">
      <c r="A177" s="3" t="s">
        <v>6983</v>
      </c>
      <c r="B177" s="3" t="s">
        <v>6987</v>
      </c>
      <c r="C177" s="3" t="s">
        <v>6985</v>
      </c>
      <c r="D177" s="3" t="s">
        <v>2113</v>
      </c>
      <c r="E177" s="3">
        <v>176</v>
      </c>
      <c r="F177" s="3" t="s">
        <v>1598</v>
      </c>
      <c r="G177" s="3" t="s">
        <v>2102</v>
      </c>
      <c r="H177" s="3" t="str">
        <f t="shared" si="5"/>
        <v>Output ABJ-710 Vol Gals, from LMP.</v>
      </c>
    </row>
    <row r="178" spans="1:8" x14ac:dyDescent="0.25">
      <c r="A178" s="3" t="s">
        <v>6983</v>
      </c>
      <c r="B178" s="3" t="s">
        <v>6987</v>
      </c>
      <c r="C178" s="3" t="s">
        <v>6985</v>
      </c>
      <c r="D178" s="3" t="s">
        <v>2113</v>
      </c>
      <c r="E178" s="3">
        <v>177</v>
      </c>
      <c r="F178" s="3" t="s">
        <v>1599</v>
      </c>
      <c r="G178" s="3" t="s">
        <v>2102</v>
      </c>
      <c r="H178" s="3" t="str">
        <f t="shared" si="5"/>
        <v>Output ABJ-720 Vol Gals, from LMP.</v>
      </c>
    </row>
    <row r="179" spans="1:8" x14ac:dyDescent="0.25">
      <c r="A179" s="3" t="s">
        <v>6983</v>
      </c>
      <c r="B179" s="3" t="s">
        <v>6987</v>
      </c>
      <c r="C179" s="3" t="s">
        <v>6985</v>
      </c>
      <c r="D179" s="3" t="s">
        <v>2113</v>
      </c>
      <c r="E179" s="3">
        <v>178</v>
      </c>
      <c r="F179" s="3" t="s">
        <v>1600</v>
      </c>
      <c r="G179" s="3" t="s">
        <v>2102</v>
      </c>
      <c r="H179" s="3" t="str">
        <f t="shared" si="5"/>
        <v>Output ABJ-810 Vol Gals, from LMP.</v>
      </c>
    </row>
    <row r="180" spans="1:8" x14ac:dyDescent="0.25">
      <c r="A180" s="3" t="s">
        <v>6983</v>
      </c>
      <c r="B180" s="3" t="s">
        <v>6987</v>
      </c>
      <c r="C180" s="3" t="s">
        <v>6985</v>
      </c>
      <c r="D180" s="3" t="s">
        <v>2113</v>
      </c>
      <c r="E180" s="3">
        <v>179</v>
      </c>
      <c r="F180" s="3" t="s">
        <v>1601</v>
      </c>
      <c r="G180" s="3" t="s">
        <v>20</v>
      </c>
      <c r="H180" s="3" t="str">
        <f>_xlfn.CONCAT("Output ",F180, ", from Ballast PLC.")</f>
        <v>Output E1 A Loss of Comms, from Ballast PLC.</v>
      </c>
    </row>
    <row r="181" spans="1:8" x14ac:dyDescent="0.25">
      <c r="A181" s="3" t="s">
        <v>6983</v>
      </c>
      <c r="B181" s="3" t="s">
        <v>6987</v>
      </c>
      <c r="C181" s="3" t="s">
        <v>6985</v>
      </c>
      <c r="D181" s="3" t="s">
        <v>2113</v>
      </c>
      <c r="E181" s="3">
        <v>180</v>
      </c>
      <c r="F181" s="3" t="s">
        <v>1602</v>
      </c>
      <c r="G181" s="3" t="s">
        <v>20</v>
      </c>
      <c r="H181" s="3" t="str">
        <f t="shared" ref="H181:H191" si="6">_xlfn.CONCAT("Output ",F181, ", from Ballast PLC.")</f>
        <v>Output E1 B Loss of Comms, from Ballast PLC.</v>
      </c>
    </row>
    <row r="182" spans="1:8" x14ac:dyDescent="0.25">
      <c r="A182" s="3" t="s">
        <v>6983</v>
      </c>
      <c r="B182" s="3" t="s">
        <v>6987</v>
      </c>
      <c r="C182" s="3" t="s">
        <v>6985</v>
      </c>
      <c r="D182" s="3" t="s">
        <v>2113</v>
      </c>
      <c r="E182" s="3">
        <v>181</v>
      </c>
      <c r="F182" s="3" t="s">
        <v>1603</v>
      </c>
      <c r="G182" s="3" t="s">
        <v>20</v>
      </c>
      <c r="H182" s="3" t="str">
        <f t="shared" si="6"/>
        <v>Output E1 C Loss of Comms, from Ballast PLC.</v>
      </c>
    </row>
    <row r="183" spans="1:8" x14ac:dyDescent="0.25">
      <c r="A183" s="3" t="s">
        <v>6983</v>
      </c>
      <c r="B183" s="3" t="s">
        <v>6987</v>
      </c>
      <c r="C183" s="3" t="s">
        <v>6985</v>
      </c>
      <c r="D183" s="3" t="s">
        <v>2113</v>
      </c>
      <c r="E183" s="3">
        <v>182</v>
      </c>
      <c r="F183" s="3" t="s">
        <v>1604</v>
      </c>
      <c r="G183" s="3" t="s">
        <v>20</v>
      </c>
      <c r="H183" s="3" t="str">
        <f t="shared" si="6"/>
        <v>Output A1 A Loss of Comms, from Ballast PLC.</v>
      </c>
    </row>
    <row r="184" spans="1:8" x14ac:dyDescent="0.25">
      <c r="A184" s="3" t="s">
        <v>6983</v>
      </c>
      <c r="B184" s="3" t="s">
        <v>6987</v>
      </c>
      <c r="C184" s="3" t="s">
        <v>6985</v>
      </c>
      <c r="D184" s="3" t="s">
        <v>2113</v>
      </c>
      <c r="E184" s="3">
        <v>183</v>
      </c>
      <c r="F184" s="3" t="s">
        <v>1605</v>
      </c>
      <c r="G184" s="3" t="s">
        <v>20</v>
      </c>
      <c r="H184" s="3" t="str">
        <f t="shared" si="6"/>
        <v>Output A1 B Loss of Comms, from Ballast PLC.</v>
      </c>
    </row>
    <row r="185" spans="1:8" x14ac:dyDescent="0.25">
      <c r="A185" s="3" t="s">
        <v>6983</v>
      </c>
      <c r="B185" s="3" t="s">
        <v>6987</v>
      </c>
      <c r="C185" s="3" t="s">
        <v>6985</v>
      </c>
      <c r="D185" s="3" t="s">
        <v>2113</v>
      </c>
      <c r="E185" s="3">
        <v>184</v>
      </c>
      <c r="F185" s="3" t="s">
        <v>1606</v>
      </c>
      <c r="G185" s="3" t="s">
        <v>20</v>
      </c>
      <c r="H185" s="3" t="str">
        <f t="shared" si="6"/>
        <v>Output A1 C Loss of Comms, from Ballast PLC.</v>
      </c>
    </row>
    <row r="186" spans="1:8" x14ac:dyDescent="0.25">
      <c r="A186" s="3" t="s">
        <v>6983</v>
      </c>
      <c r="B186" s="3" t="s">
        <v>6987</v>
      </c>
      <c r="C186" s="3" t="s">
        <v>6985</v>
      </c>
      <c r="D186" s="3" t="s">
        <v>2113</v>
      </c>
      <c r="E186" s="3">
        <v>185</v>
      </c>
      <c r="F186" s="3" t="s">
        <v>1607</v>
      </c>
      <c r="G186" s="3" t="s">
        <v>20</v>
      </c>
      <c r="H186" s="3" t="str">
        <f t="shared" si="6"/>
        <v>Output A5 A Loss of Comms, from Ballast PLC.</v>
      </c>
    </row>
    <row r="187" spans="1:8" x14ac:dyDescent="0.25">
      <c r="A187" s="3" t="s">
        <v>6983</v>
      </c>
      <c r="B187" s="3" t="s">
        <v>6987</v>
      </c>
      <c r="C187" s="3" t="s">
        <v>6985</v>
      </c>
      <c r="D187" s="3" t="s">
        <v>2113</v>
      </c>
      <c r="E187" s="3">
        <v>186</v>
      </c>
      <c r="F187" s="3" t="s">
        <v>1608</v>
      </c>
      <c r="G187" s="3" t="s">
        <v>20</v>
      </c>
      <c r="H187" s="3" t="str">
        <f t="shared" si="6"/>
        <v>Output A5 B Loss of Comms, from Ballast PLC.</v>
      </c>
    </row>
    <row r="188" spans="1:8" x14ac:dyDescent="0.25">
      <c r="A188" s="3" t="s">
        <v>6983</v>
      </c>
      <c r="B188" s="3" t="s">
        <v>6987</v>
      </c>
      <c r="C188" s="3" t="s">
        <v>6985</v>
      </c>
      <c r="D188" s="3" t="s">
        <v>2113</v>
      </c>
      <c r="E188" s="3">
        <v>187</v>
      </c>
      <c r="F188" s="3" t="s">
        <v>1609</v>
      </c>
      <c r="G188" s="3" t="s">
        <v>20</v>
      </c>
      <c r="H188" s="3" t="str">
        <f t="shared" si="6"/>
        <v>Output A5 C Loss of Comms, from Ballast PLC.</v>
      </c>
    </row>
    <row r="189" spans="1:8" x14ac:dyDescent="0.25">
      <c r="A189" s="3" t="s">
        <v>6983</v>
      </c>
      <c r="B189" s="3" t="s">
        <v>6987</v>
      </c>
      <c r="C189" s="3" t="s">
        <v>6985</v>
      </c>
      <c r="D189" s="3" t="s">
        <v>2113</v>
      </c>
      <c r="E189" s="3">
        <v>188</v>
      </c>
      <c r="F189" s="3" t="s">
        <v>1610</v>
      </c>
      <c r="G189" s="3" t="s">
        <v>20</v>
      </c>
      <c r="H189" s="3" t="str">
        <f t="shared" si="6"/>
        <v>Output E5 A Loss of Comms, from Ballast PLC.</v>
      </c>
    </row>
    <row r="190" spans="1:8" x14ac:dyDescent="0.25">
      <c r="A190" s="3" t="s">
        <v>6983</v>
      </c>
      <c r="B190" s="3" t="s">
        <v>6987</v>
      </c>
      <c r="C190" s="3" t="s">
        <v>6985</v>
      </c>
      <c r="D190" s="3" t="s">
        <v>2113</v>
      </c>
      <c r="E190" s="3">
        <v>189</v>
      </c>
      <c r="F190" s="3" t="s">
        <v>1611</v>
      </c>
      <c r="G190" s="3" t="s">
        <v>20</v>
      </c>
      <c r="H190" s="3" t="str">
        <f t="shared" si="6"/>
        <v>Output E5 B Loss of Comms, from Ballast PLC.</v>
      </c>
    </row>
    <row r="191" spans="1:8" x14ac:dyDescent="0.25">
      <c r="A191" s="3" t="s">
        <v>6983</v>
      </c>
      <c r="B191" s="3" t="s">
        <v>6987</v>
      </c>
      <c r="C191" s="3" t="s">
        <v>6985</v>
      </c>
      <c r="D191" s="3" t="s">
        <v>2113</v>
      </c>
      <c r="E191" s="3">
        <v>190</v>
      </c>
      <c r="F191" s="3" t="s">
        <v>1612</v>
      </c>
      <c r="G191" s="3" t="s">
        <v>20</v>
      </c>
      <c r="H191" s="3" t="str">
        <f t="shared" si="6"/>
        <v>Output E5 C Loss of Comms, from Ballast PLC.</v>
      </c>
    </row>
    <row r="192" spans="1:8" x14ac:dyDescent="0.25">
      <c r="A192" s="3" t="s">
        <v>6983</v>
      </c>
      <c r="B192" s="3" t="s">
        <v>6987</v>
      </c>
      <c r="C192" s="3" t="s">
        <v>6985</v>
      </c>
      <c r="D192" s="3" t="s">
        <v>2113</v>
      </c>
      <c r="E192" s="3">
        <v>191</v>
      </c>
      <c r="F192" s="3" t="s">
        <v>1613</v>
      </c>
      <c r="G192" s="3" t="s">
        <v>1093</v>
      </c>
      <c r="H192" s="3" t="str">
        <f t="shared" ref="H192:H195" si="7">_xlfn.CONCAT("Output ",F192, ", from Mooring, Draft &amp; Tanks.")</f>
        <v>Output ABJ-820 Level, from Mooring, Draft &amp; Tanks.</v>
      </c>
    </row>
    <row r="193" spans="1:8" x14ac:dyDescent="0.25">
      <c r="A193" s="3" t="s">
        <v>6983</v>
      </c>
      <c r="B193" s="3" t="s">
        <v>6987</v>
      </c>
      <c r="C193" s="3" t="s">
        <v>6985</v>
      </c>
      <c r="D193" s="3" t="s">
        <v>2113</v>
      </c>
      <c r="E193" s="3">
        <v>192</v>
      </c>
      <c r="F193" s="3" t="s">
        <v>1614</v>
      </c>
      <c r="G193" s="3" t="s">
        <v>1093</v>
      </c>
      <c r="H193" s="3" t="str">
        <f t="shared" si="7"/>
        <v>Output MBJ-809 Level, from Mooring, Draft &amp; Tanks.</v>
      </c>
    </row>
    <row r="194" spans="1:8" x14ac:dyDescent="0.25">
      <c r="A194" s="3" t="s">
        <v>6983</v>
      </c>
      <c r="B194" s="3" t="s">
        <v>6987</v>
      </c>
      <c r="C194" s="3" t="s">
        <v>6985</v>
      </c>
      <c r="D194" s="3" t="s">
        <v>2113</v>
      </c>
      <c r="E194" s="3">
        <v>193</v>
      </c>
      <c r="F194" s="3" t="s">
        <v>1615</v>
      </c>
      <c r="G194" s="3" t="s">
        <v>1093</v>
      </c>
      <c r="H194" s="3" t="str">
        <f t="shared" si="7"/>
        <v>Output ABJ-310 Level, from Mooring, Draft &amp; Tanks.</v>
      </c>
    </row>
    <row r="195" spans="1:8" x14ac:dyDescent="0.25">
      <c r="A195" s="3" t="s">
        <v>6983</v>
      </c>
      <c r="B195" s="3" t="s">
        <v>6987</v>
      </c>
      <c r="C195" s="3" t="s">
        <v>6985</v>
      </c>
      <c r="D195" s="3" t="s">
        <v>2113</v>
      </c>
      <c r="E195" s="3">
        <v>194</v>
      </c>
      <c r="F195" s="3" t="s">
        <v>1616</v>
      </c>
      <c r="G195" s="3" t="s">
        <v>1093</v>
      </c>
      <c r="H195" s="3" t="str">
        <f t="shared" si="7"/>
        <v>Output ABJ-320 Level, from Mooring, Draft &amp; Tanks.</v>
      </c>
    </row>
    <row r="196" spans="1:8" x14ac:dyDescent="0.25">
      <c r="A196" s="3" t="s">
        <v>6983</v>
      </c>
      <c r="B196" s="3" t="s">
        <v>6987</v>
      </c>
      <c r="C196" s="3" t="s">
        <v>6985</v>
      </c>
      <c r="D196" s="3" t="s">
        <v>1138</v>
      </c>
      <c r="E196" s="3">
        <v>195</v>
      </c>
      <c r="F196" s="3" t="s">
        <v>1617</v>
      </c>
      <c r="G196" s="3" t="s">
        <v>20</v>
      </c>
      <c r="H196" s="3" t="str">
        <f t="shared" ref="H196:H211" si="8">_xlfn.CONCAT("Output ",F196, ", from Ballast PLC.")</f>
        <v>Output A1 DLR Fault CP1-CP3, from Ballast PLC.</v>
      </c>
    </row>
    <row r="197" spans="1:8" x14ac:dyDescent="0.25">
      <c r="A197" s="3" t="s">
        <v>6983</v>
      </c>
      <c r="B197" s="3" t="s">
        <v>6987</v>
      </c>
      <c r="C197" s="3" t="s">
        <v>6985</v>
      </c>
      <c r="D197" s="3" t="s">
        <v>1138</v>
      </c>
      <c r="E197" s="3">
        <v>196</v>
      </c>
      <c r="F197" s="3" t="s">
        <v>1618</v>
      </c>
      <c r="G197" s="3" t="s">
        <v>2103</v>
      </c>
      <c r="H197" s="3" t="str">
        <f t="shared" si="8"/>
        <v>Output A1 DLR Fault CP1-CP4, from Ballast PLC.</v>
      </c>
    </row>
    <row r="198" spans="1:8" x14ac:dyDescent="0.25">
      <c r="A198" s="3" t="s">
        <v>6983</v>
      </c>
      <c r="B198" s="3" t="s">
        <v>6987</v>
      </c>
      <c r="C198" s="3" t="s">
        <v>6985</v>
      </c>
      <c r="D198" s="3" t="s">
        <v>1138</v>
      </c>
      <c r="E198" s="3">
        <v>197</v>
      </c>
      <c r="F198" s="3" t="s">
        <v>1619</v>
      </c>
      <c r="G198" s="3" t="s">
        <v>20</v>
      </c>
      <c r="H198" s="3" t="str">
        <f t="shared" si="8"/>
        <v>Output A1 DLR Fault CP3-CP2, from Ballast PLC.</v>
      </c>
    </row>
    <row r="199" spans="1:8" x14ac:dyDescent="0.25">
      <c r="A199" s="3" t="s">
        <v>6983</v>
      </c>
      <c r="B199" s="3" t="s">
        <v>6987</v>
      </c>
      <c r="C199" s="3" t="s">
        <v>6985</v>
      </c>
      <c r="D199" s="3" t="s">
        <v>1138</v>
      </c>
      <c r="E199" s="3">
        <v>198</v>
      </c>
      <c r="F199" s="3" t="s">
        <v>1620</v>
      </c>
      <c r="G199" s="3" t="s">
        <v>20</v>
      </c>
      <c r="H199" s="3" t="str">
        <f t="shared" si="8"/>
        <v>Output A1 DLR Fault CP4-CP2, from Ballast PLC.</v>
      </c>
    </row>
    <row r="200" spans="1:8" x14ac:dyDescent="0.25">
      <c r="A200" s="3" t="s">
        <v>6983</v>
      </c>
      <c r="B200" s="3" t="s">
        <v>6987</v>
      </c>
      <c r="C200" s="3" t="s">
        <v>6985</v>
      </c>
      <c r="D200" s="3" t="s">
        <v>1138</v>
      </c>
      <c r="E200" s="3">
        <v>199</v>
      </c>
      <c r="F200" s="3" t="s">
        <v>1621</v>
      </c>
      <c r="G200" s="3" t="s">
        <v>20</v>
      </c>
      <c r="H200" s="3" t="str">
        <f t="shared" si="8"/>
        <v>Output A5 DLR Fault CP1-CP3, from Ballast PLC.</v>
      </c>
    </row>
    <row r="201" spans="1:8" x14ac:dyDescent="0.25">
      <c r="A201" s="3" t="s">
        <v>6983</v>
      </c>
      <c r="B201" s="3" t="s">
        <v>6987</v>
      </c>
      <c r="C201" s="3" t="s">
        <v>6985</v>
      </c>
      <c r="D201" s="3" t="s">
        <v>1138</v>
      </c>
      <c r="E201" s="3">
        <v>200</v>
      </c>
      <c r="F201" s="3" t="s">
        <v>1622</v>
      </c>
      <c r="G201" s="3" t="s">
        <v>20</v>
      </c>
      <c r="H201" s="3" t="str">
        <f t="shared" si="8"/>
        <v>Output A5 DLR Fault CP1-CP4, from Ballast PLC.</v>
      </c>
    </row>
    <row r="202" spans="1:8" x14ac:dyDescent="0.25">
      <c r="A202" s="3" t="s">
        <v>6983</v>
      </c>
      <c r="B202" s="3" t="s">
        <v>6987</v>
      </c>
      <c r="C202" s="3" t="s">
        <v>6985</v>
      </c>
      <c r="D202" s="3" t="s">
        <v>1138</v>
      </c>
      <c r="E202" s="3">
        <v>201</v>
      </c>
      <c r="F202" s="3" t="s">
        <v>1623</v>
      </c>
      <c r="G202" s="3" t="s">
        <v>20</v>
      </c>
      <c r="H202" s="3" t="str">
        <f t="shared" si="8"/>
        <v>Output A5 DLR Fault CP3-CP2, from Ballast PLC.</v>
      </c>
    </row>
    <row r="203" spans="1:8" x14ac:dyDescent="0.25">
      <c r="A203" s="3" t="s">
        <v>6983</v>
      </c>
      <c r="B203" s="3" t="s">
        <v>6987</v>
      </c>
      <c r="C203" s="3" t="s">
        <v>6985</v>
      </c>
      <c r="D203" s="3" t="s">
        <v>1138</v>
      </c>
      <c r="E203" s="3">
        <v>202</v>
      </c>
      <c r="F203" s="3" t="s">
        <v>1624</v>
      </c>
      <c r="G203" s="3" t="s">
        <v>20</v>
      </c>
      <c r="H203" s="3" t="str">
        <f t="shared" si="8"/>
        <v>Output A5 DLR Fault CP4-CP2, from Ballast PLC.</v>
      </c>
    </row>
    <row r="204" spans="1:8" x14ac:dyDescent="0.25">
      <c r="A204" s="3" t="s">
        <v>6983</v>
      </c>
      <c r="B204" s="3" t="s">
        <v>6987</v>
      </c>
      <c r="C204" s="3" t="s">
        <v>6985</v>
      </c>
      <c r="D204" s="3" t="s">
        <v>1138</v>
      </c>
      <c r="E204" s="3">
        <v>203</v>
      </c>
      <c r="F204" s="3" t="s">
        <v>1625</v>
      </c>
      <c r="G204" s="3" t="s">
        <v>20</v>
      </c>
      <c r="H204" s="3" t="str">
        <f t="shared" si="8"/>
        <v>Output E1 DLR Fault CP1-CP3, from Ballast PLC.</v>
      </c>
    </row>
    <row r="205" spans="1:8" x14ac:dyDescent="0.25">
      <c r="A205" s="3" t="s">
        <v>6983</v>
      </c>
      <c r="B205" s="3" t="s">
        <v>6987</v>
      </c>
      <c r="C205" s="3" t="s">
        <v>6985</v>
      </c>
      <c r="D205" s="3" t="s">
        <v>1138</v>
      </c>
      <c r="E205" s="3">
        <v>204</v>
      </c>
      <c r="F205" s="3" t="s">
        <v>1626</v>
      </c>
      <c r="G205" s="3" t="s">
        <v>20</v>
      </c>
      <c r="H205" s="3" t="str">
        <f t="shared" si="8"/>
        <v>Output E1 DLR Fault CP1-CP4, from Ballast PLC.</v>
      </c>
    </row>
    <row r="206" spans="1:8" x14ac:dyDescent="0.25">
      <c r="A206" s="3" t="s">
        <v>6983</v>
      </c>
      <c r="B206" s="3" t="s">
        <v>6987</v>
      </c>
      <c r="C206" s="3" t="s">
        <v>6985</v>
      </c>
      <c r="D206" s="3" t="s">
        <v>1138</v>
      </c>
      <c r="E206" s="3">
        <v>205</v>
      </c>
      <c r="F206" s="3" t="s">
        <v>1627</v>
      </c>
      <c r="G206" s="3" t="s">
        <v>20</v>
      </c>
      <c r="H206" s="3" t="str">
        <f t="shared" si="8"/>
        <v>Output E1 DLR Fault CP3-CP2, from Ballast PLC.</v>
      </c>
    </row>
    <row r="207" spans="1:8" x14ac:dyDescent="0.25">
      <c r="A207" s="3" t="s">
        <v>6983</v>
      </c>
      <c r="B207" s="3" t="s">
        <v>6987</v>
      </c>
      <c r="C207" s="3" t="s">
        <v>6985</v>
      </c>
      <c r="D207" s="3" t="s">
        <v>1138</v>
      </c>
      <c r="E207" s="3">
        <v>206</v>
      </c>
      <c r="F207" s="3" t="s">
        <v>1628</v>
      </c>
      <c r="G207" s="3" t="s">
        <v>20</v>
      </c>
      <c r="H207" s="3" t="str">
        <f t="shared" si="8"/>
        <v>Output E1 DLR Fault CP4-CP2, from Ballast PLC.</v>
      </c>
    </row>
    <row r="208" spans="1:8" x14ac:dyDescent="0.25">
      <c r="A208" s="3" t="s">
        <v>6983</v>
      </c>
      <c r="B208" s="3" t="s">
        <v>6987</v>
      </c>
      <c r="C208" s="3" t="s">
        <v>6985</v>
      </c>
      <c r="D208" s="3" t="s">
        <v>1138</v>
      </c>
      <c r="E208" s="3">
        <v>207</v>
      </c>
      <c r="F208" s="3" t="s">
        <v>1629</v>
      </c>
      <c r="G208" s="3" t="s">
        <v>20</v>
      </c>
      <c r="H208" s="3" t="str">
        <f t="shared" si="8"/>
        <v>Output E5 DLR Fault CP1-CP3, from Ballast PLC.</v>
      </c>
    </row>
    <row r="209" spans="1:8" x14ac:dyDescent="0.25">
      <c r="A209" s="3" t="s">
        <v>6983</v>
      </c>
      <c r="B209" s="3" t="s">
        <v>6987</v>
      </c>
      <c r="C209" s="3" t="s">
        <v>6985</v>
      </c>
      <c r="D209" s="3" t="s">
        <v>1138</v>
      </c>
      <c r="E209" s="3">
        <v>208</v>
      </c>
      <c r="F209" s="3" t="s">
        <v>1630</v>
      </c>
      <c r="G209" s="3" t="s">
        <v>20</v>
      </c>
      <c r="H209" s="3" t="str">
        <f t="shared" si="8"/>
        <v>Output E5 DLR Fault CP1-CP4, from Ballast PLC.</v>
      </c>
    </row>
    <row r="210" spans="1:8" x14ac:dyDescent="0.25">
      <c r="A210" s="3" t="s">
        <v>6983</v>
      </c>
      <c r="B210" s="3" t="s">
        <v>6987</v>
      </c>
      <c r="C210" s="3" t="s">
        <v>6985</v>
      </c>
      <c r="D210" s="3" t="s">
        <v>1138</v>
      </c>
      <c r="E210" s="3">
        <v>209</v>
      </c>
      <c r="F210" s="3" t="s">
        <v>1631</v>
      </c>
      <c r="G210" s="3" t="s">
        <v>20</v>
      </c>
      <c r="H210" s="3" t="str">
        <f t="shared" si="8"/>
        <v>Output E5 DLR Fault CP3-CP2, from Ballast PLC.</v>
      </c>
    </row>
    <row r="211" spans="1:8" x14ac:dyDescent="0.25">
      <c r="A211" s="3" t="s">
        <v>6983</v>
      </c>
      <c r="B211" s="3" t="s">
        <v>6987</v>
      </c>
      <c r="C211" s="3" t="s">
        <v>6985</v>
      </c>
      <c r="D211" s="3" t="s">
        <v>1138</v>
      </c>
      <c r="E211" s="3">
        <v>210</v>
      </c>
      <c r="F211" s="3" t="s">
        <v>1632</v>
      </c>
      <c r="G211" s="3" t="s">
        <v>20</v>
      </c>
      <c r="H211" s="3" t="str">
        <f t="shared" si="8"/>
        <v>Output E5 DLR Fault CP4-CP2, from Ballast PLC.</v>
      </c>
    </row>
    <row r="212" spans="1:8" x14ac:dyDescent="0.25">
      <c r="A212" s="3" t="s">
        <v>6983</v>
      </c>
      <c r="B212" s="3" t="s">
        <v>6987</v>
      </c>
      <c r="C212" s="3" t="s">
        <v>6985</v>
      </c>
      <c r="D212" s="3" t="s">
        <v>2114</v>
      </c>
      <c r="E212" s="3">
        <v>211</v>
      </c>
      <c r="F212" s="3" t="s">
        <v>1633</v>
      </c>
      <c r="G212" s="3" t="s">
        <v>16</v>
      </c>
      <c r="H212" s="3" t="s">
        <v>6961</v>
      </c>
    </row>
    <row r="213" spans="1:8" x14ac:dyDescent="0.25">
      <c r="A213" s="3" t="s">
        <v>6983</v>
      </c>
      <c r="B213" s="3" t="s">
        <v>6987</v>
      </c>
      <c r="C213" s="3" t="s">
        <v>6985</v>
      </c>
      <c r="D213" s="3" t="s">
        <v>2114</v>
      </c>
      <c r="E213" s="3">
        <v>212</v>
      </c>
      <c r="F213" s="3" t="s">
        <v>1634</v>
      </c>
      <c r="G213" s="3" t="s">
        <v>2104</v>
      </c>
      <c r="H213" s="3" t="s">
        <v>7040</v>
      </c>
    </row>
    <row r="214" spans="1:8" x14ac:dyDescent="0.25">
      <c r="A214" s="3" t="s">
        <v>6983</v>
      </c>
      <c r="B214" s="3" t="s">
        <v>6987</v>
      </c>
      <c r="C214" s="3" t="s">
        <v>6985</v>
      </c>
      <c r="D214" s="3" t="s">
        <v>2114</v>
      </c>
      <c r="E214" s="3">
        <v>213</v>
      </c>
      <c r="F214" s="3" t="s">
        <v>1635</v>
      </c>
      <c r="G214" s="3" t="s">
        <v>1100</v>
      </c>
      <c r="H214" s="3" t="str">
        <f>_xlfn.CONCAT("Calculated ",F214, ", from LMP.")</f>
        <v>Calculated Target Tendon 1, from LMP.</v>
      </c>
    </row>
    <row r="215" spans="1:8" x14ac:dyDescent="0.25">
      <c r="A215" s="3" t="s">
        <v>6983</v>
      </c>
      <c r="B215" s="3" t="s">
        <v>6987</v>
      </c>
      <c r="C215" s="3" t="s">
        <v>6985</v>
      </c>
      <c r="D215" s="3" t="s">
        <v>2114</v>
      </c>
      <c r="E215" s="3">
        <v>214</v>
      </c>
      <c r="F215" s="3" t="s">
        <v>1636</v>
      </c>
      <c r="G215" s="3" t="s">
        <v>1100</v>
      </c>
      <c r="H215" s="3" t="str">
        <f t="shared" ref="H215:H225" si="9">_xlfn.CONCAT("Calculated ",F215, ", from LMP.")</f>
        <v>Calculated Target Tendon 2, from LMP.</v>
      </c>
    </row>
    <row r="216" spans="1:8" x14ac:dyDescent="0.25">
      <c r="A216" s="3" t="s">
        <v>6983</v>
      </c>
      <c r="B216" s="3" t="s">
        <v>6987</v>
      </c>
      <c r="C216" s="3" t="s">
        <v>6985</v>
      </c>
      <c r="D216" s="3" t="s">
        <v>2114</v>
      </c>
      <c r="E216" s="3">
        <v>215</v>
      </c>
      <c r="F216" s="3" t="s">
        <v>1637</v>
      </c>
      <c r="G216" s="3" t="s">
        <v>1100</v>
      </c>
      <c r="H216" s="3" t="str">
        <f t="shared" si="9"/>
        <v>Calculated Target Tendon 3, from LMP.</v>
      </c>
    </row>
    <row r="217" spans="1:8" x14ac:dyDescent="0.25">
      <c r="A217" s="3" t="s">
        <v>6983</v>
      </c>
      <c r="B217" s="3" t="s">
        <v>6987</v>
      </c>
      <c r="C217" s="3" t="s">
        <v>6985</v>
      </c>
      <c r="D217" s="3" t="s">
        <v>2114</v>
      </c>
      <c r="E217" s="3">
        <v>216</v>
      </c>
      <c r="F217" s="3" t="s">
        <v>1638</v>
      </c>
      <c r="G217" s="3" t="s">
        <v>1100</v>
      </c>
      <c r="H217" s="3" t="str">
        <f t="shared" si="9"/>
        <v>Calculated Target Tendon 4, from LMP.</v>
      </c>
    </row>
    <row r="218" spans="1:8" x14ac:dyDescent="0.25">
      <c r="A218" s="3" t="s">
        <v>6983</v>
      </c>
      <c r="B218" s="3" t="s">
        <v>6987</v>
      </c>
      <c r="C218" s="3" t="s">
        <v>6985</v>
      </c>
      <c r="D218" s="3" t="s">
        <v>2114</v>
      </c>
      <c r="E218" s="3">
        <v>217</v>
      </c>
      <c r="F218" s="3" t="s">
        <v>1639</v>
      </c>
      <c r="G218" s="3" t="s">
        <v>1100</v>
      </c>
      <c r="H218" s="3" t="str">
        <f t="shared" si="9"/>
        <v>Calculated Target Tendon 5, from LMP.</v>
      </c>
    </row>
    <row r="219" spans="1:8" x14ac:dyDescent="0.25">
      <c r="A219" s="3" t="s">
        <v>6983</v>
      </c>
      <c r="B219" s="3" t="s">
        <v>6987</v>
      </c>
      <c r="C219" s="3" t="s">
        <v>6985</v>
      </c>
      <c r="D219" s="3" t="s">
        <v>2114</v>
      </c>
      <c r="E219" s="3">
        <v>218</v>
      </c>
      <c r="F219" s="3" t="s">
        <v>1640</v>
      </c>
      <c r="G219" s="3" t="s">
        <v>1100</v>
      </c>
      <c r="H219" s="3" t="str">
        <f t="shared" si="9"/>
        <v>Calculated Target Tendon 6, from LMP.</v>
      </c>
    </row>
    <row r="220" spans="1:8" x14ac:dyDescent="0.25">
      <c r="A220" s="3" t="s">
        <v>6983</v>
      </c>
      <c r="B220" s="3" t="s">
        <v>6987</v>
      </c>
      <c r="C220" s="3" t="s">
        <v>6985</v>
      </c>
      <c r="D220" s="3" t="s">
        <v>2114</v>
      </c>
      <c r="E220" s="3">
        <v>219</v>
      </c>
      <c r="F220" s="3" t="s">
        <v>1641</v>
      </c>
      <c r="G220" s="3" t="s">
        <v>1100</v>
      </c>
      <c r="H220" s="3" t="str">
        <f t="shared" si="9"/>
        <v>Calculated Target Tendon 7, from LMP.</v>
      </c>
    </row>
    <row r="221" spans="1:8" x14ac:dyDescent="0.25">
      <c r="A221" s="3" t="s">
        <v>6983</v>
      </c>
      <c r="B221" s="3" t="s">
        <v>6987</v>
      </c>
      <c r="C221" s="3" t="s">
        <v>6985</v>
      </c>
      <c r="D221" s="3" t="s">
        <v>2114</v>
      </c>
      <c r="E221" s="3">
        <v>220</v>
      </c>
      <c r="F221" s="3" t="s">
        <v>1642</v>
      </c>
      <c r="G221" s="3" t="s">
        <v>1100</v>
      </c>
      <c r="H221" s="3" t="str">
        <f t="shared" si="9"/>
        <v>Calculated Target Tendon 8, from LMP.</v>
      </c>
    </row>
    <row r="222" spans="1:8" x14ac:dyDescent="0.25">
      <c r="A222" s="3" t="s">
        <v>6983</v>
      </c>
      <c r="B222" s="3" t="s">
        <v>6987</v>
      </c>
      <c r="C222" s="3" t="s">
        <v>6985</v>
      </c>
      <c r="D222" s="3" t="s">
        <v>2114</v>
      </c>
      <c r="E222" s="3">
        <v>221</v>
      </c>
      <c r="F222" s="3" t="s">
        <v>1643</v>
      </c>
      <c r="G222" s="3" t="s">
        <v>1100</v>
      </c>
      <c r="H222" s="3" t="str">
        <f t="shared" si="9"/>
        <v>Calculated Target Tendon 9, from LMP.</v>
      </c>
    </row>
    <row r="223" spans="1:8" x14ac:dyDescent="0.25">
      <c r="A223" s="3" t="s">
        <v>6983</v>
      </c>
      <c r="B223" s="3" t="s">
        <v>6987</v>
      </c>
      <c r="C223" s="3" t="s">
        <v>6985</v>
      </c>
      <c r="D223" s="3" t="s">
        <v>2114</v>
      </c>
      <c r="E223" s="3">
        <v>222</v>
      </c>
      <c r="F223" s="3" t="s">
        <v>1644</v>
      </c>
      <c r="G223" s="3" t="s">
        <v>1100</v>
      </c>
      <c r="H223" s="3" t="str">
        <f t="shared" si="9"/>
        <v>Calculated Target Tendon 10, from LMP.</v>
      </c>
    </row>
    <row r="224" spans="1:8" x14ac:dyDescent="0.25">
      <c r="A224" s="3" t="s">
        <v>6983</v>
      </c>
      <c r="B224" s="3" t="s">
        <v>6987</v>
      </c>
      <c r="C224" s="3" t="s">
        <v>6985</v>
      </c>
      <c r="D224" s="3" t="s">
        <v>2114</v>
      </c>
      <c r="E224" s="3">
        <v>223</v>
      </c>
      <c r="F224" s="3" t="s">
        <v>1645</v>
      </c>
      <c r="G224" s="3" t="s">
        <v>1100</v>
      </c>
      <c r="H224" s="3" t="str">
        <f t="shared" si="9"/>
        <v>Calculated Target Tendon 11, from LMP.</v>
      </c>
    </row>
    <row r="225" spans="1:8" x14ac:dyDescent="0.25">
      <c r="A225" s="3" t="s">
        <v>6983</v>
      </c>
      <c r="B225" s="3" t="s">
        <v>6987</v>
      </c>
      <c r="C225" s="3" t="s">
        <v>6985</v>
      </c>
      <c r="D225" s="3" t="s">
        <v>2114</v>
      </c>
      <c r="E225" s="3">
        <v>224</v>
      </c>
      <c r="F225" s="3" t="s">
        <v>1646</v>
      </c>
      <c r="G225" s="3" t="s">
        <v>1100</v>
      </c>
      <c r="H225" s="3" t="str">
        <f t="shared" si="9"/>
        <v>Calculated Target Tendon 12, from LMP.</v>
      </c>
    </row>
    <row r="226" spans="1:8" x14ac:dyDescent="0.25">
      <c r="A226" s="3" t="s">
        <v>6983</v>
      </c>
      <c r="B226" s="3" t="s">
        <v>6987</v>
      </c>
      <c r="C226" s="3" t="s">
        <v>6985</v>
      </c>
      <c r="D226" s="3" t="s">
        <v>2114</v>
      </c>
      <c r="E226" s="3">
        <v>225</v>
      </c>
      <c r="F226" s="4" t="s">
        <v>1647</v>
      </c>
      <c r="G226" s="3" t="s">
        <v>1100</v>
      </c>
      <c r="H226" s="3" t="str">
        <f>_xlfn.CONCAT("Calculated ", _xlfn.TEXTAFTER(F226,"Apparent "), ", from 3rd party Herbert-ABS LMP system.")</f>
        <v>Calculated Tendon 1, from 3rd party Herbert-ABS LMP system.</v>
      </c>
    </row>
    <row r="227" spans="1:8" x14ac:dyDescent="0.25">
      <c r="A227" s="3" t="s">
        <v>6983</v>
      </c>
      <c r="B227" s="3" t="s">
        <v>6987</v>
      </c>
      <c r="C227" s="3" t="s">
        <v>6985</v>
      </c>
      <c r="D227" s="3" t="s">
        <v>2114</v>
      </c>
      <c r="E227" s="3">
        <v>226</v>
      </c>
      <c r="F227" s="4" t="s">
        <v>1648</v>
      </c>
      <c r="G227" s="3" t="s">
        <v>1100</v>
      </c>
      <c r="H227" s="3" t="str">
        <f t="shared" ref="H227:H237" si="10">_xlfn.CONCAT("Calculated ", _xlfn.TEXTAFTER(F227,"Apparent "), ", from 3rd party Herbert-ABS LMP system.")</f>
        <v>Calculated Tendon 2, from 3rd party Herbert-ABS LMP system.</v>
      </c>
    </row>
    <row r="228" spans="1:8" x14ac:dyDescent="0.25">
      <c r="A228" s="3" t="s">
        <v>6983</v>
      </c>
      <c r="B228" s="3" t="s">
        <v>6987</v>
      </c>
      <c r="C228" s="3" t="s">
        <v>6985</v>
      </c>
      <c r="D228" s="3" t="s">
        <v>2114</v>
      </c>
      <c r="E228" s="3">
        <v>227</v>
      </c>
      <c r="F228" s="4" t="s">
        <v>1649</v>
      </c>
      <c r="G228" s="3" t="s">
        <v>1100</v>
      </c>
      <c r="H228" s="3" t="str">
        <f t="shared" si="10"/>
        <v>Calculated Tendon 3, from 3rd party Herbert-ABS LMP system.</v>
      </c>
    </row>
    <row r="229" spans="1:8" x14ac:dyDescent="0.25">
      <c r="A229" s="3" t="s">
        <v>6983</v>
      </c>
      <c r="B229" s="3" t="s">
        <v>6987</v>
      </c>
      <c r="C229" s="3" t="s">
        <v>6985</v>
      </c>
      <c r="D229" s="3" t="s">
        <v>2114</v>
      </c>
      <c r="E229" s="3">
        <v>228</v>
      </c>
      <c r="F229" s="4" t="s">
        <v>1650</v>
      </c>
      <c r="G229" s="3" t="s">
        <v>1100</v>
      </c>
      <c r="H229" s="3" t="str">
        <f t="shared" si="10"/>
        <v>Calculated Tendon 4, from 3rd party Herbert-ABS LMP system.</v>
      </c>
    </row>
    <row r="230" spans="1:8" x14ac:dyDescent="0.25">
      <c r="A230" s="3" t="s">
        <v>6983</v>
      </c>
      <c r="B230" s="3" t="s">
        <v>6987</v>
      </c>
      <c r="C230" s="3" t="s">
        <v>6985</v>
      </c>
      <c r="D230" s="3" t="s">
        <v>2114</v>
      </c>
      <c r="E230" s="3">
        <v>229</v>
      </c>
      <c r="F230" s="4" t="s">
        <v>1651</v>
      </c>
      <c r="G230" s="3" t="s">
        <v>1100</v>
      </c>
      <c r="H230" s="3" t="str">
        <f t="shared" si="10"/>
        <v>Calculated Tendon 5, from 3rd party Herbert-ABS LMP system.</v>
      </c>
    </row>
    <row r="231" spans="1:8" x14ac:dyDescent="0.25">
      <c r="A231" s="3" t="s">
        <v>6983</v>
      </c>
      <c r="B231" s="3" t="s">
        <v>6987</v>
      </c>
      <c r="C231" s="3" t="s">
        <v>6985</v>
      </c>
      <c r="D231" s="3" t="s">
        <v>2114</v>
      </c>
      <c r="E231" s="3">
        <v>230</v>
      </c>
      <c r="F231" s="4" t="s">
        <v>1652</v>
      </c>
      <c r="G231" s="3" t="s">
        <v>1100</v>
      </c>
      <c r="H231" s="3" t="str">
        <f t="shared" si="10"/>
        <v>Calculated Tendon 6, from 3rd party Herbert-ABS LMP system.</v>
      </c>
    </row>
    <row r="232" spans="1:8" x14ac:dyDescent="0.25">
      <c r="A232" s="3" t="s">
        <v>6983</v>
      </c>
      <c r="B232" s="3" t="s">
        <v>6987</v>
      </c>
      <c r="C232" s="3" t="s">
        <v>6985</v>
      </c>
      <c r="D232" s="3" t="s">
        <v>2114</v>
      </c>
      <c r="E232" s="3">
        <v>231</v>
      </c>
      <c r="F232" s="4" t="s">
        <v>1653</v>
      </c>
      <c r="G232" s="3" t="s">
        <v>1100</v>
      </c>
      <c r="H232" s="3" t="str">
        <f t="shared" si="10"/>
        <v>Calculated Tendon 7, from 3rd party Herbert-ABS LMP system.</v>
      </c>
    </row>
    <row r="233" spans="1:8" x14ac:dyDescent="0.25">
      <c r="A233" s="3" t="s">
        <v>6983</v>
      </c>
      <c r="B233" s="3" t="s">
        <v>6987</v>
      </c>
      <c r="C233" s="3" t="s">
        <v>6985</v>
      </c>
      <c r="D233" s="3" t="s">
        <v>2114</v>
      </c>
      <c r="E233" s="3">
        <v>232</v>
      </c>
      <c r="F233" s="4" t="s">
        <v>1654</v>
      </c>
      <c r="G233" s="3" t="s">
        <v>1100</v>
      </c>
      <c r="H233" s="3" t="str">
        <f t="shared" si="10"/>
        <v>Calculated Tendon 8, from 3rd party Herbert-ABS LMP system.</v>
      </c>
    </row>
    <row r="234" spans="1:8" x14ac:dyDescent="0.25">
      <c r="A234" s="3" t="s">
        <v>6983</v>
      </c>
      <c r="B234" s="3" t="s">
        <v>6987</v>
      </c>
      <c r="C234" s="3" t="s">
        <v>6985</v>
      </c>
      <c r="D234" s="3" t="s">
        <v>2114</v>
      </c>
      <c r="E234" s="3">
        <v>233</v>
      </c>
      <c r="F234" s="4" t="s">
        <v>1655</v>
      </c>
      <c r="G234" s="3" t="s">
        <v>1100</v>
      </c>
      <c r="H234" s="3" t="str">
        <f t="shared" si="10"/>
        <v>Calculated Tendon 9, from 3rd party Herbert-ABS LMP system.</v>
      </c>
    </row>
    <row r="235" spans="1:8" x14ac:dyDescent="0.25">
      <c r="A235" s="3" t="s">
        <v>6983</v>
      </c>
      <c r="B235" s="3" t="s">
        <v>6987</v>
      </c>
      <c r="C235" s="3" t="s">
        <v>6985</v>
      </c>
      <c r="D235" s="3" t="s">
        <v>2114</v>
      </c>
      <c r="E235" s="3">
        <v>234</v>
      </c>
      <c r="F235" s="4" t="s">
        <v>1656</v>
      </c>
      <c r="G235" s="3" t="s">
        <v>1100</v>
      </c>
      <c r="H235" s="3" t="str">
        <f t="shared" si="10"/>
        <v>Calculated Tendon 10, from 3rd party Herbert-ABS LMP system.</v>
      </c>
    </row>
    <row r="236" spans="1:8" x14ac:dyDescent="0.25">
      <c r="A236" s="3" t="s">
        <v>6983</v>
      </c>
      <c r="B236" s="3" t="s">
        <v>6987</v>
      </c>
      <c r="C236" s="3" t="s">
        <v>6985</v>
      </c>
      <c r="D236" s="3" t="s">
        <v>2114</v>
      </c>
      <c r="E236" s="3">
        <v>235</v>
      </c>
      <c r="F236" s="4" t="s">
        <v>1657</v>
      </c>
      <c r="G236" s="3" t="s">
        <v>1100</v>
      </c>
      <c r="H236" s="3" t="str">
        <f t="shared" si="10"/>
        <v>Calculated Tendon 11, from 3rd party Herbert-ABS LMP system.</v>
      </c>
    </row>
    <row r="237" spans="1:8" x14ac:dyDescent="0.25">
      <c r="A237" s="3" t="s">
        <v>6983</v>
      </c>
      <c r="B237" s="3" t="s">
        <v>6987</v>
      </c>
      <c r="C237" s="3" t="s">
        <v>6985</v>
      </c>
      <c r="D237" s="3" t="s">
        <v>2114</v>
      </c>
      <c r="E237" s="3">
        <v>236</v>
      </c>
      <c r="F237" s="4" t="s">
        <v>1658</v>
      </c>
      <c r="G237" s="3" t="s">
        <v>1100</v>
      </c>
      <c r="H237" s="3" t="str">
        <f t="shared" si="10"/>
        <v>Calculated Tendon 12, from 3rd party Herbert-ABS LMP system.</v>
      </c>
    </row>
    <row r="238" spans="1:8" x14ac:dyDescent="0.25">
      <c r="A238" s="3" t="s">
        <v>6983</v>
      </c>
      <c r="B238" s="3" t="s">
        <v>6987</v>
      </c>
      <c r="C238" s="3" t="s">
        <v>6985</v>
      </c>
      <c r="D238" s="3" t="s">
        <v>2114</v>
      </c>
      <c r="E238" s="3">
        <v>237</v>
      </c>
      <c r="F238" s="3" t="s">
        <v>233</v>
      </c>
      <c r="G238" s="3" t="s">
        <v>1100</v>
      </c>
      <c r="H238" s="3" t="s">
        <v>2160</v>
      </c>
    </row>
    <row r="239" spans="1:8" x14ac:dyDescent="0.25">
      <c r="A239" s="3" t="s">
        <v>6983</v>
      </c>
      <c r="B239" s="3" t="s">
        <v>6987</v>
      </c>
      <c r="C239" s="3" t="s">
        <v>6985</v>
      </c>
      <c r="D239" s="3" t="s">
        <v>2114</v>
      </c>
      <c r="E239" s="3">
        <v>238</v>
      </c>
      <c r="F239" s="3" t="s">
        <v>234</v>
      </c>
      <c r="G239" s="3" t="s">
        <v>1093</v>
      </c>
      <c r="H239" s="3" t="s">
        <v>1312</v>
      </c>
    </row>
    <row r="240" spans="1:8" x14ac:dyDescent="0.25">
      <c r="A240" s="3" t="s">
        <v>6983</v>
      </c>
      <c r="B240" s="3" t="s">
        <v>6987</v>
      </c>
      <c r="C240" s="3" t="s">
        <v>6985</v>
      </c>
      <c r="D240" s="3" t="s">
        <v>2114</v>
      </c>
      <c r="E240" s="3">
        <v>239</v>
      </c>
      <c r="F240" s="3" t="s">
        <v>235</v>
      </c>
      <c r="G240" s="3" t="s">
        <v>1093</v>
      </c>
      <c r="H240" s="3" t="s">
        <v>1313</v>
      </c>
    </row>
    <row r="241" spans="1:9" x14ac:dyDescent="0.25">
      <c r="A241" s="3" t="s">
        <v>6983</v>
      </c>
      <c r="B241" s="3" t="s">
        <v>6987</v>
      </c>
      <c r="C241" s="3" t="s">
        <v>6985</v>
      </c>
      <c r="D241" s="3" t="s">
        <v>2114</v>
      </c>
      <c r="E241" s="3">
        <v>240</v>
      </c>
      <c r="F241" s="3" t="s">
        <v>1659</v>
      </c>
      <c r="G241" s="3" t="s">
        <v>1100</v>
      </c>
      <c r="H241" s="3" t="s">
        <v>2158</v>
      </c>
    </row>
    <row r="242" spans="1:9" x14ac:dyDescent="0.25">
      <c r="A242" s="3" t="s">
        <v>6983</v>
      </c>
      <c r="B242" s="3" t="s">
        <v>6987</v>
      </c>
      <c r="C242" s="3" t="s">
        <v>6985</v>
      </c>
      <c r="D242" s="3" t="s">
        <v>2114</v>
      </c>
      <c r="E242" s="3">
        <v>241</v>
      </c>
      <c r="F242" s="3" t="s">
        <v>1660</v>
      </c>
      <c r="G242" s="3" t="s">
        <v>1100</v>
      </c>
      <c r="H242" s="3" t="s">
        <v>2159</v>
      </c>
    </row>
    <row r="243" spans="1:9" x14ac:dyDescent="0.25">
      <c r="A243" s="3" t="s">
        <v>6983</v>
      </c>
      <c r="B243" s="3" t="s">
        <v>6987</v>
      </c>
      <c r="C243" s="3" t="s">
        <v>6985</v>
      </c>
      <c r="D243" s="3" t="s">
        <v>2114</v>
      </c>
      <c r="E243" s="3">
        <v>242</v>
      </c>
      <c r="F243" s="3" t="s">
        <v>1661</v>
      </c>
      <c r="G243" s="3" t="s">
        <v>1101</v>
      </c>
      <c r="H243" s="3" t="s">
        <v>1289</v>
      </c>
    </row>
    <row r="244" spans="1:9" x14ac:dyDescent="0.25">
      <c r="A244" s="3" t="s">
        <v>6983</v>
      </c>
      <c r="B244" s="3" t="s">
        <v>6987</v>
      </c>
      <c r="C244" s="3" t="s">
        <v>6985</v>
      </c>
      <c r="D244" s="3" t="s">
        <v>2114</v>
      </c>
      <c r="E244" s="3">
        <v>243</v>
      </c>
      <c r="F244" s="3" t="s">
        <v>1662</v>
      </c>
      <c r="G244" s="3" t="s">
        <v>1101</v>
      </c>
      <c r="H244" s="3" t="s">
        <v>1288</v>
      </c>
    </row>
    <row r="245" spans="1:9" x14ac:dyDescent="0.25">
      <c r="A245" s="3" t="s">
        <v>6983</v>
      </c>
      <c r="B245" s="3" t="s">
        <v>6987</v>
      </c>
      <c r="C245" s="3" t="s">
        <v>6985</v>
      </c>
      <c r="D245" s="3" t="s">
        <v>2114</v>
      </c>
      <c r="E245" s="3">
        <v>244</v>
      </c>
      <c r="F245" s="4" t="s">
        <v>1663</v>
      </c>
      <c r="G245" s="3" t="s">
        <v>1093</v>
      </c>
      <c r="H245" s="3" t="str">
        <f>_xlfn.CONCAT("Calculated ", _xlfn.TEXTAFTER(F245,"Apparent "), ", from 3rd party Herbert-ABS LMP system.")</f>
        <v>Calculated Draft, from 3rd party Herbert-ABS LMP system.</v>
      </c>
    </row>
    <row r="246" spans="1:9" x14ac:dyDescent="0.25">
      <c r="A246" s="3" t="s">
        <v>6983</v>
      </c>
      <c r="B246" s="3" t="s">
        <v>6987</v>
      </c>
      <c r="C246" s="3" t="s">
        <v>6985</v>
      </c>
      <c r="D246" s="3" t="s">
        <v>2114</v>
      </c>
      <c r="E246" s="3">
        <v>245</v>
      </c>
      <c r="F246" s="4" t="s">
        <v>1664</v>
      </c>
      <c r="G246" s="3" t="s">
        <v>4</v>
      </c>
      <c r="H246" s="3" t="str">
        <f t="shared" ref="H246:H247" si="11">_xlfn.CONCAT("Calculated ", _xlfn.TEXTAFTER(F246,"Apparent "), ", from 3rd party Herbert-ABS LMP system.")</f>
        <v>Calculated TLP Incli EW, from 3rd party Herbert-ABS LMP system.</v>
      </c>
    </row>
    <row r="247" spans="1:9" x14ac:dyDescent="0.25">
      <c r="A247" s="3" t="s">
        <v>6983</v>
      </c>
      <c r="B247" s="3" t="s">
        <v>6987</v>
      </c>
      <c r="C247" s="3" t="s">
        <v>6985</v>
      </c>
      <c r="D247" s="3" t="s">
        <v>2114</v>
      </c>
      <c r="E247" s="3">
        <v>246</v>
      </c>
      <c r="F247" s="4" t="s">
        <v>1665</v>
      </c>
      <c r="G247" s="3" t="s">
        <v>4</v>
      </c>
      <c r="H247" s="3" t="str">
        <f t="shared" si="11"/>
        <v>Calculated TLP Incli NS, from 3rd party Herbert-ABS LMP system.</v>
      </c>
    </row>
    <row r="248" spans="1:9" x14ac:dyDescent="0.25">
      <c r="A248" s="3" t="s">
        <v>6983</v>
      </c>
      <c r="B248" s="3" t="s">
        <v>6987</v>
      </c>
      <c r="C248" s="3" t="s">
        <v>6985</v>
      </c>
      <c r="D248" s="3" t="s">
        <v>2114</v>
      </c>
      <c r="E248" s="3">
        <v>247</v>
      </c>
      <c r="F248" s="3" t="s">
        <v>1666</v>
      </c>
      <c r="G248" s="3" t="s">
        <v>1093</v>
      </c>
      <c r="H248" s="3" t="s">
        <v>1303</v>
      </c>
    </row>
    <row r="249" spans="1:9" x14ac:dyDescent="0.25">
      <c r="A249" s="3" t="s">
        <v>6983</v>
      </c>
      <c r="B249" s="3" t="s">
        <v>6987</v>
      </c>
      <c r="C249" s="3" t="s">
        <v>6985</v>
      </c>
      <c r="D249" s="3" t="s">
        <v>2114</v>
      </c>
      <c r="E249" s="3">
        <v>248</v>
      </c>
      <c r="F249" s="3" t="s">
        <v>1667</v>
      </c>
      <c r="G249" s="3" t="s">
        <v>1093</v>
      </c>
      <c r="H249" s="3" t="str">
        <f t="shared" ref="H249:H250" si="12">_xlfn.CONCAT("Calculated ",F249, ", from LMP.")</f>
        <v>Calculated KG Allow Hurricane, from LMP.</v>
      </c>
    </row>
    <row r="250" spans="1:9" x14ac:dyDescent="0.25">
      <c r="A250" s="3" t="s">
        <v>6983</v>
      </c>
      <c r="B250" s="3" t="s">
        <v>6987</v>
      </c>
      <c r="C250" s="3" t="s">
        <v>6985</v>
      </c>
      <c r="D250" s="3" t="s">
        <v>2114</v>
      </c>
      <c r="E250" s="3">
        <v>249</v>
      </c>
      <c r="F250" s="3" t="s">
        <v>1668</v>
      </c>
      <c r="G250" s="3" t="s">
        <v>1093</v>
      </c>
      <c r="H250" s="3" t="str">
        <f t="shared" si="12"/>
        <v>Calculated KG Allow Winter Storm, from LMP.</v>
      </c>
      <c r="I250" s="3" t="s">
        <v>1304</v>
      </c>
    </row>
    <row r="251" spans="1:9" x14ac:dyDescent="0.25">
      <c r="A251" s="3" t="s">
        <v>6983</v>
      </c>
      <c r="B251" s="3" t="s">
        <v>6987</v>
      </c>
      <c r="C251" s="3" t="s">
        <v>6985</v>
      </c>
      <c r="D251" s="3" t="s">
        <v>2114</v>
      </c>
      <c r="E251" s="3">
        <v>250</v>
      </c>
      <c r="F251" s="3" t="s">
        <v>1669</v>
      </c>
      <c r="G251" s="3" t="s">
        <v>1093</v>
      </c>
      <c r="H251" s="3" t="str">
        <f>_xlfn.CONCAT(F251, ", indicates the rig location from mannual selection.")</f>
        <v>Rig Location EW, indicates the rig location from mannual selection.</v>
      </c>
      <c r="I251" s="3" t="s">
        <v>1305</v>
      </c>
    </row>
    <row r="252" spans="1:9" x14ac:dyDescent="0.25">
      <c r="A252" s="3" t="s">
        <v>6983</v>
      </c>
      <c r="B252" s="3" t="s">
        <v>6987</v>
      </c>
      <c r="C252" s="3" t="s">
        <v>6985</v>
      </c>
      <c r="D252" s="3" t="s">
        <v>2114</v>
      </c>
      <c r="E252" s="3">
        <v>251</v>
      </c>
      <c r="F252" s="3" t="s">
        <v>1670</v>
      </c>
      <c r="G252" s="3" t="s">
        <v>1093</v>
      </c>
      <c r="H252" s="3" t="str">
        <f>_xlfn.CONCAT(F252, ", indicates the rig location from mannual selection.")</f>
        <v>Rig Location NS, indicates the rig location from mannual selection.</v>
      </c>
    </row>
    <row r="253" spans="1:9" x14ac:dyDescent="0.25">
      <c r="A253" s="3" t="s">
        <v>6983</v>
      </c>
      <c r="B253" s="3" t="s">
        <v>6987</v>
      </c>
      <c r="C253" s="3" t="s">
        <v>6985</v>
      </c>
      <c r="D253" s="3" t="s">
        <v>2115</v>
      </c>
      <c r="E253" s="3">
        <v>252</v>
      </c>
      <c r="F253" s="3" t="s">
        <v>1671</v>
      </c>
      <c r="G253" s="3" t="s">
        <v>1093</v>
      </c>
      <c r="H253" s="3" t="str">
        <f>_xlfn.CONCAT(F253, ", computed by LMP.")</f>
        <v>P1A Advisor Level, computed by LMP.</v>
      </c>
    </row>
    <row r="254" spans="1:9" x14ac:dyDescent="0.25">
      <c r="A254" s="3" t="s">
        <v>6983</v>
      </c>
      <c r="B254" s="3" t="s">
        <v>6987</v>
      </c>
      <c r="C254" s="3" t="s">
        <v>6985</v>
      </c>
      <c r="D254" s="3" t="s">
        <v>2115</v>
      </c>
      <c r="E254" s="3">
        <v>253</v>
      </c>
      <c r="F254" s="3" t="s">
        <v>1672</v>
      </c>
      <c r="G254" s="3" t="s">
        <v>1093</v>
      </c>
      <c r="H254" s="3" t="str">
        <f t="shared" ref="H254:H282" si="13">_xlfn.CONCAT(F254, ", computed by LMP.")</f>
        <v>P1B Advisor Level, computed by LMP.</v>
      </c>
    </row>
    <row r="255" spans="1:9" x14ac:dyDescent="0.25">
      <c r="A255" s="3" t="s">
        <v>6983</v>
      </c>
      <c r="B255" s="3" t="s">
        <v>6987</v>
      </c>
      <c r="C255" s="3" t="s">
        <v>6985</v>
      </c>
      <c r="D255" s="3" t="s">
        <v>2115</v>
      </c>
      <c r="E255" s="3">
        <v>254</v>
      </c>
      <c r="F255" s="3" t="s">
        <v>1673</v>
      </c>
      <c r="G255" s="3" t="s">
        <v>1093</v>
      </c>
      <c r="H255" s="3" t="str">
        <f t="shared" si="13"/>
        <v>P1C Advisor Level, computed by LMP.</v>
      </c>
    </row>
    <row r="256" spans="1:9" x14ac:dyDescent="0.25">
      <c r="A256" s="3" t="s">
        <v>6983</v>
      </c>
      <c r="B256" s="3" t="s">
        <v>6987</v>
      </c>
      <c r="C256" s="3" t="s">
        <v>6985</v>
      </c>
      <c r="D256" s="3" t="s">
        <v>2115</v>
      </c>
      <c r="E256" s="3">
        <v>255</v>
      </c>
      <c r="F256" s="3" t="s">
        <v>1674</v>
      </c>
      <c r="G256" s="3" t="s">
        <v>1093</v>
      </c>
      <c r="H256" s="3" t="str">
        <f t="shared" si="13"/>
        <v>P5A Advisor Level, computed by LMP.</v>
      </c>
    </row>
    <row r="257" spans="1:8" x14ac:dyDescent="0.25">
      <c r="A257" s="3" t="s">
        <v>6983</v>
      </c>
      <c r="B257" s="3" t="s">
        <v>6987</v>
      </c>
      <c r="C257" s="3" t="s">
        <v>6985</v>
      </c>
      <c r="D257" s="3" t="s">
        <v>2115</v>
      </c>
      <c r="E257" s="3">
        <v>256</v>
      </c>
      <c r="F257" s="3" t="s">
        <v>1675</v>
      </c>
      <c r="G257" s="3" t="s">
        <v>1093</v>
      </c>
      <c r="H257" s="3" t="str">
        <f t="shared" si="13"/>
        <v>P5B Advisor Level, computed by LMP.</v>
      </c>
    </row>
    <row r="258" spans="1:8" x14ac:dyDescent="0.25">
      <c r="A258" s="3" t="s">
        <v>6983</v>
      </c>
      <c r="B258" s="3" t="s">
        <v>6987</v>
      </c>
      <c r="C258" s="3" t="s">
        <v>6985</v>
      </c>
      <c r="D258" s="3" t="s">
        <v>2115</v>
      </c>
      <c r="E258" s="3">
        <v>257</v>
      </c>
      <c r="F258" s="3" t="s">
        <v>1676</v>
      </c>
      <c r="G258" s="3" t="s">
        <v>1093</v>
      </c>
      <c r="H258" s="3" t="str">
        <f t="shared" si="13"/>
        <v>P5C Advisor Level, computed by LMP.</v>
      </c>
    </row>
    <row r="259" spans="1:8" x14ac:dyDescent="0.25">
      <c r="A259" s="3" t="s">
        <v>6983</v>
      </c>
      <c r="B259" s="3" t="s">
        <v>6987</v>
      </c>
      <c r="C259" s="3" t="s">
        <v>6985</v>
      </c>
      <c r="D259" s="3" t="s">
        <v>2115</v>
      </c>
      <c r="E259" s="3">
        <v>258</v>
      </c>
      <c r="F259" s="3" t="s">
        <v>1677</v>
      </c>
      <c r="G259" s="3" t="s">
        <v>1093</v>
      </c>
      <c r="H259" s="3" t="str">
        <f t="shared" si="13"/>
        <v>PAA Advisor Level, computed by LMP.</v>
      </c>
    </row>
    <row r="260" spans="1:8" x14ac:dyDescent="0.25">
      <c r="A260" s="3" t="s">
        <v>6983</v>
      </c>
      <c r="B260" s="3" t="s">
        <v>6987</v>
      </c>
      <c r="C260" s="3" t="s">
        <v>6985</v>
      </c>
      <c r="D260" s="3" t="s">
        <v>2115</v>
      </c>
      <c r="E260" s="3">
        <v>259</v>
      </c>
      <c r="F260" s="3" t="s">
        <v>1678</v>
      </c>
      <c r="G260" s="3" t="s">
        <v>1093</v>
      </c>
      <c r="H260" s="3" t="str">
        <f t="shared" si="13"/>
        <v>PAB Advisor Level, computed by LMP.</v>
      </c>
    </row>
    <row r="261" spans="1:8" x14ac:dyDescent="0.25">
      <c r="A261" s="3" t="s">
        <v>6983</v>
      </c>
      <c r="B261" s="3" t="s">
        <v>6987</v>
      </c>
      <c r="C261" s="3" t="s">
        <v>6985</v>
      </c>
      <c r="D261" s="3" t="s">
        <v>2115</v>
      </c>
      <c r="E261" s="3">
        <v>260</v>
      </c>
      <c r="F261" s="3" t="s">
        <v>1679</v>
      </c>
      <c r="G261" s="3" t="s">
        <v>1093</v>
      </c>
      <c r="H261" s="3" t="str">
        <f t="shared" si="13"/>
        <v>PEA Advisor Level, computed by LMP.</v>
      </c>
    </row>
    <row r="262" spans="1:8" x14ac:dyDescent="0.25">
      <c r="A262" s="3" t="s">
        <v>6983</v>
      </c>
      <c r="B262" s="3" t="s">
        <v>6987</v>
      </c>
      <c r="C262" s="3" t="s">
        <v>6985</v>
      </c>
      <c r="D262" s="3" t="s">
        <v>2115</v>
      </c>
      <c r="E262" s="3">
        <v>261</v>
      </c>
      <c r="F262" s="3" t="s">
        <v>1680</v>
      </c>
      <c r="G262" s="3" t="s">
        <v>1093</v>
      </c>
      <c r="H262" s="3" t="str">
        <f t="shared" si="13"/>
        <v>PEB Advisor Level, computed by LMP.</v>
      </c>
    </row>
    <row r="263" spans="1:8" x14ac:dyDescent="0.25">
      <c r="A263" s="3" t="s">
        <v>6983</v>
      </c>
      <c r="B263" s="3" t="s">
        <v>6987</v>
      </c>
      <c r="C263" s="3" t="s">
        <v>6985</v>
      </c>
      <c r="D263" s="3" t="s">
        <v>2115</v>
      </c>
      <c r="E263" s="3">
        <v>262</v>
      </c>
      <c r="F263" s="3" t="s">
        <v>1681</v>
      </c>
      <c r="G263" s="3" t="s">
        <v>1093</v>
      </c>
      <c r="H263" s="3" t="str">
        <f t="shared" si="13"/>
        <v>CA1-B0 Advisor Level, computed by LMP.</v>
      </c>
    </row>
    <row r="264" spans="1:8" x14ac:dyDescent="0.25">
      <c r="A264" s="3" t="s">
        <v>6983</v>
      </c>
      <c r="B264" s="3" t="s">
        <v>6987</v>
      </c>
      <c r="C264" s="3" t="s">
        <v>6985</v>
      </c>
      <c r="D264" s="3" t="s">
        <v>2115</v>
      </c>
      <c r="E264" s="3">
        <v>263</v>
      </c>
      <c r="F264" s="3" t="s">
        <v>1682</v>
      </c>
      <c r="G264" s="3" t="s">
        <v>1093</v>
      </c>
      <c r="H264" s="3" t="str">
        <f t="shared" si="13"/>
        <v>CA1-C0 Advisor Level, computed by LMP.</v>
      </c>
    </row>
    <row r="265" spans="1:8" x14ac:dyDescent="0.25">
      <c r="A265" s="3" t="s">
        <v>6983</v>
      </c>
      <c r="B265" s="3" t="s">
        <v>6987</v>
      </c>
      <c r="C265" s="3" t="s">
        <v>6985</v>
      </c>
      <c r="D265" s="3" t="s">
        <v>2115</v>
      </c>
      <c r="E265" s="3">
        <v>264</v>
      </c>
      <c r="F265" s="3" t="s">
        <v>1683</v>
      </c>
      <c r="G265" s="3" t="s">
        <v>1093</v>
      </c>
      <c r="H265" s="3" t="str">
        <f t="shared" si="13"/>
        <v>CA1-D0 Advisor Level, computed by LMP.</v>
      </c>
    </row>
    <row r="266" spans="1:8" x14ac:dyDescent="0.25">
      <c r="A266" s="3" t="s">
        <v>6983</v>
      </c>
      <c r="B266" s="3" t="s">
        <v>6987</v>
      </c>
      <c r="C266" s="3" t="s">
        <v>6985</v>
      </c>
      <c r="D266" s="3" t="s">
        <v>2115</v>
      </c>
      <c r="E266" s="3">
        <v>265</v>
      </c>
      <c r="F266" s="3" t="s">
        <v>1684</v>
      </c>
      <c r="G266" s="3" t="s">
        <v>1093</v>
      </c>
      <c r="H266" s="3" t="str">
        <f t="shared" si="13"/>
        <v>CA1-E0 Advisor Level, computed by LMP.</v>
      </c>
    </row>
    <row r="267" spans="1:8" x14ac:dyDescent="0.25">
      <c r="A267" s="3" t="s">
        <v>6983</v>
      </c>
      <c r="B267" s="3" t="s">
        <v>6987</v>
      </c>
      <c r="C267" s="3" t="s">
        <v>6985</v>
      </c>
      <c r="D267" s="3" t="s">
        <v>2115</v>
      </c>
      <c r="E267" s="3">
        <v>266</v>
      </c>
      <c r="F267" s="3" t="s">
        <v>1685</v>
      </c>
      <c r="G267" s="3" t="s">
        <v>1093</v>
      </c>
      <c r="H267" s="3" t="str">
        <f t="shared" si="13"/>
        <v>CA1-F0 Advisor Level, computed by LMP.</v>
      </c>
    </row>
    <row r="268" spans="1:8" x14ac:dyDescent="0.25">
      <c r="A268" s="3" t="s">
        <v>6983</v>
      </c>
      <c r="B268" s="3" t="s">
        <v>6987</v>
      </c>
      <c r="C268" s="3" t="s">
        <v>6985</v>
      </c>
      <c r="D268" s="3" t="s">
        <v>2115</v>
      </c>
      <c r="E268" s="3">
        <v>267</v>
      </c>
      <c r="F268" s="3" t="s">
        <v>1686</v>
      </c>
      <c r="G268" s="3" t="s">
        <v>1093</v>
      </c>
      <c r="H268" s="3" t="str">
        <f t="shared" si="13"/>
        <v>CA5-B0 Advisor Level, computed by LMP.</v>
      </c>
    </row>
    <row r="269" spans="1:8" x14ac:dyDescent="0.25">
      <c r="A269" s="3" t="s">
        <v>6983</v>
      </c>
      <c r="B269" s="3" t="s">
        <v>6987</v>
      </c>
      <c r="C269" s="3" t="s">
        <v>6985</v>
      </c>
      <c r="D269" s="3" t="s">
        <v>2115</v>
      </c>
      <c r="E269" s="3">
        <v>268</v>
      </c>
      <c r="F269" s="3" t="s">
        <v>1687</v>
      </c>
      <c r="G269" s="3" t="s">
        <v>1093</v>
      </c>
      <c r="H269" s="3" t="str">
        <f t="shared" si="13"/>
        <v>CA5-C0 Advisor Level, computed by LMP.</v>
      </c>
    </row>
    <row r="270" spans="1:8" x14ac:dyDescent="0.25">
      <c r="A270" s="3" t="s">
        <v>6983</v>
      </c>
      <c r="B270" s="3" t="s">
        <v>6987</v>
      </c>
      <c r="C270" s="3" t="s">
        <v>6985</v>
      </c>
      <c r="D270" s="3" t="s">
        <v>2115</v>
      </c>
      <c r="E270" s="3">
        <v>269</v>
      </c>
      <c r="F270" s="3" t="s">
        <v>1688</v>
      </c>
      <c r="G270" s="3" t="s">
        <v>1093</v>
      </c>
      <c r="H270" s="3" t="str">
        <f t="shared" si="13"/>
        <v>CA5-D0 Advisor Level, computed by LMP.</v>
      </c>
    </row>
    <row r="271" spans="1:8" x14ac:dyDescent="0.25">
      <c r="A271" s="3" t="s">
        <v>6983</v>
      </c>
      <c r="B271" s="3" t="s">
        <v>6987</v>
      </c>
      <c r="C271" s="3" t="s">
        <v>6985</v>
      </c>
      <c r="D271" s="3" t="s">
        <v>2115</v>
      </c>
      <c r="E271" s="3">
        <v>270</v>
      </c>
      <c r="F271" s="3" t="s">
        <v>1689</v>
      </c>
      <c r="G271" s="3" t="s">
        <v>1093</v>
      </c>
      <c r="H271" s="3" t="str">
        <f t="shared" si="13"/>
        <v>CA5-E0 Advisor Level, computed by LMP.</v>
      </c>
    </row>
    <row r="272" spans="1:8" x14ac:dyDescent="0.25">
      <c r="A272" s="3" t="s">
        <v>6983</v>
      </c>
      <c r="B272" s="3" t="s">
        <v>6987</v>
      </c>
      <c r="C272" s="3" t="s">
        <v>6985</v>
      </c>
      <c r="D272" s="3" t="s">
        <v>2115</v>
      </c>
      <c r="E272" s="3">
        <v>271</v>
      </c>
      <c r="F272" s="3" t="s">
        <v>1690</v>
      </c>
      <c r="G272" s="3" t="s">
        <v>1093</v>
      </c>
      <c r="H272" s="3" t="str">
        <f t="shared" si="13"/>
        <v>CA5-F0 Advisor Level, computed by LMP.</v>
      </c>
    </row>
    <row r="273" spans="1:8" x14ac:dyDescent="0.25">
      <c r="A273" s="3" t="s">
        <v>6983</v>
      </c>
      <c r="B273" s="3" t="s">
        <v>6987</v>
      </c>
      <c r="C273" s="3" t="s">
        <v>6985</v>
      </c>
      <c r="D273" s="3" t="s">
        <v>2115</v>
      </c>
      <c r="E273" s="3">
        <v>272</v>
      </c>
      <c r="F273" s="3" t="s">
        <v>1691</v>
      </c>
      <c r="G273" s="3" t="s">
        <v>1093</v>
      </c>
      <c r="H273" s="3" t="str">
        <f t="shared" si="13"/>
        <v>CE1-B0 Advisor Level, computed by LMP.</v>
      </c>
    </row>
    <row r="274" spans="1:8" x14ac:dyDescent="0.25">
      <c r="A274" s="3" t="s">
        <v>6983</v>
      </c>
      <c r="B274" s="3" t="s">
        <v>6987</v>
      </c>
      <c r="C274" s="3" t="s">
        <v>6985</v>
      </c>
      <c r="D274" s="3" t="s">
        <v>2115</v>
      </c>
      <c r="E274" s="3">
        <v>273</v>
      </c>
      <c r="F274" s="3" t="s">
        <v>1692</v>
      </c>
      <c r="G274" s="3" t="s">
        <v>1093</v>
      </c>
      <c r="H274" s="3" t="str">
        <f t="shared" si="13"/>
        <v>CE1-C0 Advisor Level, computed by LMP.</v>
      </c>
    </row>
    <row r="275" spans="1:8" x14ac:dyDescent="0.25">
      <c r="A275" s="3" t="s">
        <v>6983</v>
      </c>
      <c r="B275" s="3" t="s">
        <v>6987</v>
      </c>
      <c r="C275" s="3" t="s">
        <v>6985</v>
      </c>
      <c r="D275" s="3" t="s">
        <v>2115</v>
      </c>
      <c r="E275" s="3">
        <v>274</v>
      </c>
      <c r="F275" s="3" t="s">
        <v>1693</v>
      </c>
      <c r="G275" s="3" t="s">
        <v>1093</v>
      </c>
      <c r="H275" s="3" t="str">
        <f t="shared" si="13"/>
        <v>CE1-D0 Advisor Level, computed by LMP.</v>
      </c>
    </row>
    <row r="276" spans="1:8" x14ac:dyDescent="0.25">
      <c r="A276" s="3" t="s">
        <v>6983</v>
      </c>
      <c r="B276" s="3" t="s">
        <v>6987</v>
      </c>
      <c r="C276" s="3" t="s">
        <v>6985</v>
      </c>
      <c r="D276" s="3" t="s">
        <v>2115</v>
      </c>
      <c r="E276" s="3">
        <v>275</v>
      </c>
      <c r="F276" s="3" t="s">
        <v>1694</v>
      </c>
      <c r="G276" s="3" t="s">
        <v>1093</v>
      </c>
      <c r="H276" s="3" t="str">
        <f t="shared" si="13"/>
        <v>CE1-E0 Advisor Level, computed by LMP.</v>
      </c>
    </row>
    <row r="277" spans="1:8" x14ac:dyDescent="0.25">
      <c r="A277" s="3" t="s">
        <v>6983</v>
      </c>
      <c r="B277" s="3" t="s">
        <v>6987</v>
      </c>
      <c r="C277" s="3" t="s">
        <v>6985</v>
      </c>
      <c r="D277" s="3" t="s">
        <v>2115</v>
      </c>
      <c r="E277" s="3">
        <v>276</v>
      </c>
      <c r="F277" s="3" t="s">
        <v>1695</v>
      </c>
      <c r="G277" s="3" t="s">
        <v>1093</v>
      </c>
      <c r="H277" s="3" t="str">
        <f t="shared" si="13"/>
        <v>CE1-F0 Advisor Level, computed by LMP.</v>
      </c>
    </row>
    <row r="278" spans="1:8" x14ac:dyDescent="0.25">
      <c r="A278" s="3" t="s">
        <v>6983</v>
      </c>
      <c r="B278" s="3" t="s">
        <v>6987</v>
      </c>
      <c r="C278" s="3" t="s">
        <v>6985</v>
      </c>
      <c r="D278" s="3" t="s">
        <v>2115</v>
      </c>
      <c r="E278" s="3">
        <v>277</v>
      </c>
      <c r="F278" s="3" t="s">
        <v>1696</v>
      </c>
      <c r="G278" s="3" t="s">
        <v>1093</v>
      </c>
      <c r="H278" s="3" t="str">
        <f t="shared" si="13"/>
        <v>CE5-B0 Advisor Level, computed by LMP.</v>
      </c>
    </row>
    <row r="279" spans="1:8" x14ac:dyDescent="0.25">
      <c r="A279" s="3" t="s">
        <v>6983</v>
      </c>
      <c r="B279" s="3" t="s">
        <v>6987</v>
      </c>
      <c r="C279" s="3" t="s">
        <v>6985</v>
      </c>
      <c r="D279" s="3" t="s">
        <v>2115</v>
      </c>
      <c r="E279" s="3">
        <v>278</v>
      </c>
      <c r="F279" s="3" t="s">
        <v>1697</v>
      </c>
      <c r="G279" s="3" t="s">
        <v>1093</v>
      </c>
      <c r="H279" s="3" t="str">
        <f t="shared" si="13"/>
        <v>CE5-C0 Advisor Level, computed by LMP.</v>
      </c>
    </row>
    <row r="280" spans="1:8" x14ac:dyDescent="0.25">
      <c r="A280" s="3" t="s">
        <v>6983</v>
      </c>
      <c r="B280" s="3" t="s">
        <v>6987</v>
      </c>
      <c r="C280" s="3" t="s">
        <v>6985</v>
      </c>
      <c r="D280" s="3" t="s">
        <v>2115</v>
      </c>
      <c r="E280" s="3">
        <v>279</v>
      </c>
      <c r="F280" s="3" t="s">
        <v>1698</v>
      </c>
      <c r="G280" s="3" t="s">
        <v>1093</v>
      </c>
      <c r="H280" s="3" t="str">
        <f t="shared" si="13"/>
        <v>CE5-D0 Advisor Level, computed by LMP.</v>
      </c>
    </row>
    <row r="281" spans="1:8" x14ac:dyDescent="0.25">
      <c r="A281" s="3" t="s">
        <v>6983</v>
      </c>
      <c r="B281" s="3" t="s">
        <v>6987</v>
      </c>
      <c r="C281" s="3" t="s">
        <v>6985</v>
      </c>
      <c r="D281" s="3" t="s">
        <v>2115</v>
      </c>
      <c r="E281" s="3">
        <v>280</v>
      </c>
      <c r="F281" s="3" t="s">
        <v>1699</v>
      </c>
      <c r="G281" s="3" t="s">
        <v>1093</v>
      </c>
      <c r="H281" s="3" t="str">
        <f t="shared" si="13"/>
        <v>CE5-E0 Advisor Level, computed by LMP.</v>
      </c>
    </row>
    <row r="282" spans="1:8" x14ac:dyDescent="0.25">
      <c r="A282" s="3" t="s">
        <v>6983</v>
      </c>
      <c r="B282" s="3" t="s">
        <v>6987</v>
      </c>
      <c r="C282" s="3" t="s">
        <v>6985</v>
      </c>
      <c r="D282" s="3" t="s">
        <v>2115</v>
      </c>
      <c r="E282" s="3">
        <v>281</v>
      </c>
      <c r="F282" s="3" t="s">
        <v>1700</v>
      </c>
      <c r="G282" s="3" t="s">
        <v>1093</v>
      </c>
      <c r="H282" s="3" t="str">
        <f t="shared" si="13"/>
        <v>CE5-F0 Advisor Level, computed by LMP.</v>
      </c>
    </row>
    <row r="283" spans="1:8" x14ac:dyDescent="0.25">
      <c r="A283" s="3" t="s">
        <v>6983</v>
      </c>
      <c r="B283" s="3" t="s">
        <v>6987</v>
      </c>
      <c r="C283" s="3" t="s">
        <v>6985</v>
      </c>
      <c r="D283" s="3" t="s">
        <v>2115</v>
      </c>
      <c r="E283" s="3">
        <v>282</v>
      </c>
      <c r="F283" s="3" t="s">
        <v>1701</v>
      </c>
      <c r="G283" s="3" t="s">
        <v>1106</v>
      </c>
      <c r="H283" s="3" t="str">
        <f>_xlfn.CONCAT(F283, ", indicates the rig location from mannual selection.")</f>
        <v>Rig Location Index, indicates the rig location from mannual selection.</v>
      </c>
    </row>
    <row r="284" spans="1:8" x14ac:dyDescent="0.25">
      <c r="A284" s="3" t="s">
        <v>6983</v>
      </c>
      <c r="B284" s="3" t="s">
        <v>6987</v>
      </c>
      <c r="C284" s="3" t="s">
        <v>6985</v>
      </c>
      <c r="D284" s="4" t="s">
        <v>2116</v>
      </c>
      <c r="E284" s="3">
        <v>283</v>
      </c>
      <c r="F284" s="3" t="s">
        <v>1702</v>
      </c>
      <c r="G284" s="3" t="s">
        <v>20</v>
      </c>
      <c r="H284" s="3" t="s">
        <v>7041</v>
      </c>
    </row>
    <row r="285" spans="1:8" x14ac:dyDescent="0.25">
      <c r="A285" s="3" t="s">
        <v>6983</v>
      </c>
      <c r="B285" s="3" t="s">
        <v>6987</v>
      </c>
      <c r="C285" s="3" t="s">
        <v>6985</v>
      </c>
      <c r="D285" s="4" t="s">
        <v>2116</v>
      </c>
      <c r="E285" s="3">
        <v>284</v>
      </c>
      <c r="F285" s="3" t="s">
        <v>1703</v>
      </c>
      <c r="G285" s="3" t="s">
        <v>20</v>
      </c>
      <c r="H285" s="3" t="s">
        <v>7041</v>
      </c>
    </row>
    <row r="286" spans="1:8" x14ac:dyDescent="0.25">
      <c r="A286" s="3" t="s">
        <v>6983</v>
      </c>
      <c r="B286" s="3" t="s">
        <v>6987</v>
      </c>
      <c r="C286" s="3" t="s">
        <v>6985</v>
      </c>
      <c r="D286" s="4" t="s">
        <v>2116</v>
      </c>
      <c r="E286" s="3">
        <v>285</v>
      </c>
      <c r="F286" s="3" t="s">
        <v>1704</v>
      </c>
      <c r="G286" s="3" t="s">
        <v>20</v>
      </c>
      <c r="H286" s="3" t="s">
        <v>7041</v>
      </c>
    </row>
    <row r="287" spans="1:8" x14ac:dyDescent="0.25">
      <c r="A287" s="3" t="s">
        <v>6983</v>
      </c>
      <c r="B287" s="3" t="s">
        <v>6987</v>
      </c>
      <c r="C287" s="3" t="s">
        <v>6985</v>
      </c>
      <c r="D287" s="4" t="s">
        <v>2116</v>
      </c>
      <c r="E287" s="3">
        <v>286</v>
      </c>
      <c r="F287" s="3" t="s">
        <v>1705</v>
      </c>
      <c r="G287" s="3" t="s">
        <v>20</v>
      </c>
      <c r="H287" s="3" t="s">
        <v>7041</v>
      </c>
    </row>
    <row r="288" spans="1:8" x14ac:dyDescent="0.25">
      <c r="A288" s="3" t="s">
        <v>6983</v>
      </c>
      <c r="B288" s="3" t="s">
        <v>6987</v>
      </c>
      <c r="C288" s="3" t="s">
        <v>6985</v>
      </c>
      <c r="D288" s="4" t="s">
        <v>2116</v>
      </c>
      <c r="E288" s="3">
        <v>287</v>
      </c>
      <c r="F288" s="3" t="s">
        <v>1706</v>
      </c>
      <c r="G288" s="3" t="s">
        <v>20</v>
      </c>
      <c r="H288" s="3" t="s">
        <v>7041</v>
      </c>
    </row>
    <row r="289" spans="1:8" x14ac:dyDescent="0.25">
      <c r="A289" s="3" t="s">
        <v>6983</v>
      </c>
      <c r="B289" s="3" t="s">
        <v>6987</v>
      </c>
      <c r="C289" s="3" t="s">
        <v>6985</v>
      </c>
      <c r="D289" s="4" t="s">
        <v>2116</v>
      </c>
      <c r="E289" s="3">
        <v>288</v>
      </c>
      <c r="F289" s="3" t="s">
        <v>1707</v>
      </c>
      <c r="G289" s="3" t="s">
        <v>20</v>
      </c>
      <c r="H289" s="3" t="s">
        <v>7041</v>
      </c>
    </row>
    <row r="290" spans="1:8" x14ac:dyDescent="0.25">
      <c r="A290" s="3" t="s">
        <v>6983</v>
      </c>
      <c r="B290" s="3" t="s">
        <v>6987</v>
      </c>
      <c r="C290" s="3" t="s">
        <v>6985</v>
      </c>
      <c r="D290" s="4" t="s">
        <v>2116</v>
      </c>
      <c r="E290" s="3">
        <v>289</v>
      </c>
      <c r="F290" s="3" t="s">
        <v>1708</v>
      </c>
      <c r="G290" s="3" t="s">
        <v>20</v>
      </c>
      <c r="H290" s="3" t="s">
        <v>7041</v>
      </c>
    </row>
    <row r="291" spans="1:8" x14ac:dyDescent="0.25">
      <c r="A291" s="3" t="s">
        <v>6983</v>
      </c>
      <c r="B291" s="3" t="s">
        <v>6987</v>
      </c>
      <c r="C291" s="3" t="s">
        <v>6985</v>
      </c>
      <c r="D291" s="4" t="s">
        <v>2116</v>
      </c>
      <c r="E291" s="3">
        <v>290</v>
      </c>
      <c r="F291" s="3" t="s">
        <v>1709</v>
      </c>
      <c r="G291" s="3" t="s">
        <v>20</v>
      </c>
      <c r="H291" s="3" t="s">
        <v>7041</v>
      </c>
    </row>
    <row r="292" spans="1:8" x14ac:dyDescent="0.25">
      <c r="A292" s="3" t="s">
        <v>6983</v>
      </c>
      <c r="B292" s="3" t="s">
        <v>6987</v>
      </c>
      <c r="C292" s="3" t="s">
        <v>6985</v>
      </c>
      <c r="D292" s="4" t="s">
        <v>2116</v>
      </c>
      <c r="E292" s="3">
        <v>291</v>
      </c>
      <c r="F292" s="3" t="s">
        <v>1710</v>
      </c>
      <c r="G292" s="3" t="s">
        <v>20</v>
      </c>
      <c r="H292" s="3" t="s">
        <v>7041</v>
      </c>
    </row>
    <row r="293" spans="1:8" x14ac:dyDescent="0.25">
      <c r="A293" s="3" t="s">
        <v>6983</v>
      </c>
      <c r="B293" s="3" t="s">
        <v>6987</v>
      </c>
      <c r="C293" s="3" t="s">
        <v>6985</v>
      </c>
      <c r="D293" s="4" t="s">
        <v>2116</v>
      </c>
      <c r="E293" s="3">
        <v>292</v>
      </c>
      <c r="F293" s="3" t="s">
        <v>1711</v>
      </c>
      <c r="G293" s="3" t="s">
        <v>20</v>
      </c>
      <c r="H293" s="3" t="s">
        <v>7041</v>
      </c>
    </row>
    <row r="294" spans="1:8" x14ac:dyDescent="0.25">
      <c r="A294" s="3" t="s">
        <v>6983</v>
      </c>
      <c r="B294" s="3" t="s">
        <v>6987</v>
      </c>
      <c r="C294" s="3" t="s">
        <v>6985</v>
      </c>
      <c r="D294" s="4" t="s">
        <v>2116</v>
      </c>
      <c r="E294" s="3">
        <v>293</v>
      </c>
      <c r="F294" s="3" t="s">
        <v>1712</v>
      </c>
      <c r="G294" s="3" t="s">
        <v>20</v>
      </c>
      <c r="H294" s="3" t="s">
        <v>7041</v>
      </c>
    </row>
    <row r="295" spans="1:8" x14ac:dyDescent="0.25">
      <c r="A295" s="3" t="s">
        <v>6983</v>
      </c>
      <c r="B295" s="3" t="s">
        <v>6987</v>
      </c>
      <c r="C295" s="3" t="s">
        <v>6985</v>
      </c>
      <c r="D295" s="4" t="s">
        <v>2116</v>
      </c>
      <c r="E295" s="3">
        <v>294</v>
      </c>
      <c r="F295" s="3" t="s">
        <v>1713</v>
      </c>
      <c r="G295" s="3" t="s">
        <v>20</v>
      </c>
      <c r="H295" s="3" t="s">
        <v>7041</v>
      </c>
    </row>
    <row r="296" spans="1:8" x14ac:dyDescent="0.25">
      <c r="A296" s="3" t="s">
        <v>6983</v>
      </c>
      <c r="B296" s="3" t="s">
        <v>6987</v>
      </c>
      <c r="C296" s="3" t="s">
        <v>6985</v>
      </c>
      <c r="D296" s="4" t="s">
        <v>2116</v>
      </c>
      <c r="E296" s="3">
        <v>295</v>
      </c>
      <c r="F296" s="3" t="s">
        <v>1714</v>
      </c>
      <c r="G296" s="3" t="s">
        <v>20</v>
      </c>
      <c r="H296" s="3" t="s">
        <v>7041</v>
      </c>
    </row>
    <row r="297" spans="1:8" x14ac:dyDescent="0.25">
      <c r="A297" s="3" t="s">
        <v>6983</v>
      </c>
      <c r="B297" s="3" t="s">
        <v>6987</v>
      </c>
      <c r="C297" s="3" t="s">
        <v>6985</v>
      </c>
      <c r="D297" s="4" t="s">
        <v>2116</v>
      </c>
      <c r="E297" s="3">
        <v>296</v>
      </c>
      <c r="F297" s="3" t="s">
        <v>1715</v>
      </c>
      <c r="G297" s="3" t="s">
        <v>20</v>
      </c>
      <c r="H297" s="3" t="s">
        <v>7041</v>
      </c>
    </row>
    <row r="298" spans="1:8" x14ac:dyDescent="0.25">
      <c r="A298" s="3" t="s">
        <v>6983</v>
      </c>
      <c r="B298" s="3" t="s">
        <v>6987</v>
      </c>
      <c r="C298" s="3" t="s">
        <v>6985</v>
      </c>
      <c r="D298" s="4" t="s">
        <v>2116</v>
      </c>
      <c r="E298" s="3">
        <v>297</v>
      </c>
      <c r="F298" s="3" t="s">
        <v>1716</v>
      </c>
      <c r="G298" s="3" t="s">
        <v>20</v>
      </c>
      <c r="H298" s="3" t="s">
        <v>7041</v>
      </c>
    </row>
    <row r="299" spans="1:8" x14ac:dyDescent="0.25">
      <c r="A299" s="3" t="s">
        <v>6983</v>
      </c>
      <c r="B299" s="3" t="s">
        <v>6987</v>
      </c>
      <c r="C299" s="3" t="s">
        <v>6985</v>
      </c>
      <c r="D299" s="4" t="s">
        <v>2116</v>
      </c>
      <c r="E299" s="3">
        <v>298</v>
      </c>
      <c r="F299" s="3" t="s">
        <v>1717</v>
      </c>
      <c r="G299" s="3" t="s">
        <v>20</v>
      </c>
      <c r="H299" s="3" t="s">
        <v>7041</v>
      </c>
    </row>
    <row r="300" spans="1:8" x14ac:dyDescent="0.25">
      <c r="A300" s="3" t="s">
        <v>6983</v>
      </c>
      <c r="B300" s="3" t="s">
        <v>6987</v>
      </c>
      <c r="C300" s="3" t="s">
        <v>6985</v>
      </c>
      <c r="D300" s="4" t="s">
        <v>2116</v>
      </c>
      <c r="E300" s="3">
        <v>299</v>
      </c>
      <c r="F300" s="3" t="s">
        <v>1718</v>
      </c>
      <c r="G300" s="3" t="s">
        <v>20</v>
      </c>
      <c r="H300" s="3" t="s">
        <v>7041</v>
      </c>
    </row>
    <row r="301" spans="1:8" x14ac:dyDescent="0.25">
      <c r="A301" s="3" t="s">
        <v>6983</v>
      </c>
      <c r="B301" s="3" t="s">
        <v>6987</v>
      </c>
      <c r="C301" s="3" t="s">
        <v>6985</v>
      </c>
      <c r="D301" s="4" t="s">
        <v>2116</v>
      </c>
      <c r="E301" s="3">
        <v>300</v>
      </c>
      <c r="F301" s="3" t="s">
        <v>1719</v>
      </c>
      <c r="G301" s="3" t="s">
        <v>20</v>
      </c>
      <c r="H301" s="3" t="s">
        <v>7041</v>
      </c>
    </row>
    <row r="302" spans="1:8" x14ac:dyDescent="0.25">
      <c r="A302" s="3" t="s">
        <v>6983</v>
      </c>
      <c r="B302" s="3" t="s">
        <v>6987</v>
      </c>
      <c r="C302" s="3" t="s">
        <v>6985</v>
      </c>
      <c r="D302" s="4" t="s">
        <v>2116</v>
      </c>
      <c r="E302" s="3">
        <v>301</v>
      </c>
      <c r="F302" s="3" t="s">
        <v>1720</v>
      </c>
      <c r="G302" s="3" t="s">
        <v>20</v>
      </c>
      <c r="H302" s="3" t="s">
        <v>7041</v>
      </c>
    </row>
    <row r="303" spans="1:8" x14ac:dyDescent="0.25">
      <c r="A303" s="3" t="s">
        <v>6983</v>
      </c>
      <c r="B303" s="3" t="s">
        <v>6987</v>
      </c>
      <c r="C303" s="3" t="s">
        <v>6985</v>
      </c>
      <c r="D303" s="4" t="s">
        <v>2116</v>
      </c>
      <c r="E303" s="3">
        <v>302</v>
      </c>
      <c r="F303" s="3" t="s">
        <v>1721</v>
      </c>
      <c r="G303" s="3" t="s">
        <v>20</v>
      </c>
      <c r="H303" s="3" t="s">
        <v>7041</v>
      </c>
    </row>
    <row r="304" spans="1:8" x14ac:dyDescent="0.25">
      <c r="A304" s="3" t="s">
        <v>6983</v>
      </c>
      <c r="B304" s="3" t="s">
        <v>6987</v>
      </c>
      <c r="C304" s="3" t="s">
        <v>6985</v>
      </c>
      <c r="D304" s="4" t="s">
        <v>2116</v>
      </c>
      <c r="E304" s="3">
        <v>303</v>
      </c>
      <c r="F304" s="3" t="s">
        <v>1722</v>
      </c>
      <c r="G304" s="3" t="s">
        <v>20</v>
      </c>
      <c r="H304" s="3" t="s">
        <v>7041</v>
      </c>
    </row>
    <row r="305" spans="1:8" x14ac:dyDescent="0.25">
      <c r="A305" s="3" t="s">
        <v>6983</v>
      </c>
      <c r="B305" s="3" t="s">
        <v>6987</v>
      </c>
      <c r="C305" s="3" t="s">
        <v>6985</v>
      </c>
      <c r="D305" s="4" t="s">
        <v>2116</v>
      </c>
      <c r="E305" s="3">
        <v>304</v>
      </c>
      <c r="F305" s="3" t="s">
        <v>1723</v>
      </c>
      <c r="G305" s="3" t="s">
        <v>20</v>
      </c>
      <c r="H305" s="3" t="s">
        <v>7041</v>
      </c>
    </row>
    <row r="306" spans="1:8" x14ac:dyDescent="0.25">
      <c r="A306" s="3" t="s">
        <v>6983</v>
      </c>
      <c r="B306" s="3" t="s">
        <v>6987</v>
      </c>
      <c r="C306" s="3" t="s">
        <v>6985</v>
      </c>
      <c r="D306" s="4" t="s">
        <v>2116</v>
      </c>
      <c r="E306" s="3">
        <v>305</v>
      </c>
      <c r="F306" s="3" t="s">
        <v>1724</v>
      </c>
      <c r="G306" s="3" t="s">
        <v>20</v>
      </c>
      <c r="H306" s="3" t="s">
        <v>7041</v>
      </c>
    </row>
    <row r="307" spans="1:8" x14ac:dyDescent="0.25">
      <c r="A307" s="3" t="s">
        <v>6983</v>
      </c>
      <c r="B307" s="3" t="s">
        <v>6987</v>
      </c>
      <c r="C307" s="3" t="s">
        <v>6985</v>
      </c>
      <c r="D307" s="4" t="s">
        <v>2116</v>
      </c>
      <c r="E307" s="3">
        <v>306</v>
      </c>
      <c r="F307" s="3" t="s">
        <v>1725</v>
      </c>
      <c r="G307" s="3" t="s">
        <v>20</v>
      </c>
      <c r="H307" s="3" t="s">
        <v>7041</v>
      </c>
    </row>
    <row r="308" spans="1:8" x14ac:dyDescent="0.25">
      <c r="A308" s="3" t="s">
        <v>6983</v>
      </c>
      <c r="B308" s="3" t="s">
        <v>6987</v>
      </c>
      <c r="C308" s="3" t="s">
        <v>6985</v>
      </c>
      <c r="D308" s="4" t="s">
        <v>2116</v>
      </c>
      <c r="E308" s="3">
        <v>307</v>
      </c>
      <c r="F308" s="3" t="s">
        <v>1726</v>
      </c>
      <c r="G308" s="3" t="s">
        <v>20</v>
      </c>
      <c r="H308" s="3" t="s">
        <v>7041</v>
      </c>
    </row>
    <row r="309" spans="1:8" x14ac:dyDescent="0.25">
      <c r="A309" s="3" t="s">
        <v>6983</v>
      </c>
      <c r="B309" s="3" t="s">
        <v>6987</v>
      </c>
      <c r="C309" s="3" t="s">
        <v>6985</v>
      </c>
      <c r="D309" s="4" t="s">
        <v>2116</v>
      </c>
      <c r="E309" s="4">
        <v>308</v>
      </c>
      <c r="F309" s="3" t="s">
        <v>1727</v>
      </c>
      <c r="G309" s="3" t="s">
        <v>20</v>
      </c>
      <c r="H309" s="3" t="s">
        <v>7041</v>
      </c>
    </row>
    <row r="310" spans="1:8" x14ac:dyDescent="0.25">
      <c r="A310" s="3" t="s">
        <v>6983</v>
      </c>
      <c r="B310" s="3" t="s">
        <v>6987</v>
      </c>
      <c r="C310" s="3" t="s">
        <v>6985</v>
      </c>
      <c r="D310" s="4" t="s">
        <v>2116</v>
      </c>
      <c r="E310" s="3">
        <v>309</v>
      </c>
      <c r="F310" s="3" t="s">
        <v>1728</v>
      </c>
      <c r="G310" s="3" t="s">
        <v>20</v>
      </c>
      <c r="H310" s="3" t="s">
        <v>7041</v>
      </c>
    </row>
    <row r="311" spans="1:8" x14ac:dyDescent="0.25">
      <c r="A311" s="3" t="s">
        <v>6983</v>
      </c>
      <c r="B311" s="3" t="s">
        <v>6987</v>
      </c>
      <c r="C311" s="3" t="s">
        <v>6985</v>
      </c>
      <c r="D311" s="4" t="s">
        <v>2116</v>
      </c>
      <c r="E311" s="3">
        <v>310</v>
      </c>
      <c r="F311" s="3" t="s">
        <v>1729</v>
      </c>
      <c r="G311" s="3" t="s">
        <v>20</v>
      </c>
      <c r="H311" s="3" t="s">
        <v>7041</v>
      </c>
    </row>
    <row r="312" spans="1:8" x14ac:dyDescent="0.25">
      <c r="A312" s="3" t="s">
        <v>6983</v>
      </c>
      <c r="B312" s="3" t="s">
        <v>6987</v>
      </c>
      <c r="C312" s="3" t="s">
        <v>6985</v>
      </c>
      <c r="D312" s="4" t="s">
        <v>2116</v>
      </c>
      <c r="E312" s="3">
        <v>311</v>
      </c>
      <c r="F312" s="3" t="s">
        <v>1730</v>
      </c>
      <c r="G312" s="3" t="s">
        <v>20</v>
      </c>
      <c r="H312" s="3" t="s">
        <v>7041</v>
      </c>
    </row>
    <row r="313" spans="1:8" x14ac:dyDescent="0.25">
      <c r="A313" s="3" t="s">
        <v>6983</v>
      </c>
      <c r="B313" s="3" t="s">
        <v>6987</v>
      </c>
      <c r="C313" s="3" t="s">
        <v>6985</v>
      </c>
      <c r="D313" s="4" t="s">
        <v>2116</v>
      </c>
      <c r="E313" s="3">
        <v>312</v>
      </c>
      <c r="F313" s="3" t="s">
        <v>1731</v>
      </c>
      <c r="G313" s="3" t="s">
        <v>20</v>
      </c>
      <c r="H313" s="3" t="s">
        <v>7041</v>
      </c>
    </row>
    <row r="314" spans="1:8" x14ac:dyDescent="0.25">
      <c r="A314" s="3" t="s">
        <v>6983</v>
      </c>
      <c r="B314" s="3" t="s">
        <v>6987</v>
      </c>
      <c r="C314" s="3" t="s">
        <v>6985</v>
      </c>
      <c r="D314" s="4" t="s">
        <v>2116</v>
      </c>
      <c r="E314" s="3">
        <v>313</v>
      </c>
      <c r="F314" s="3" t="s">
        <v>1732</v>
      </c>
      <c r="G314" s="3" t="s">
        <v>20</v>
      </c>
      <c r="H314" s="3" t="s">
        <v>7041</v>
      </c>
    </row>
    <row r="315" spans="1:8" x14ac:dyDescent="0.25">
      <c r="A315" s="3" t="s">
        <v>6983</v>
      </c>
      <c r="B315" s="3" t="s">
        <v>6987</v>
      </c>
      <c r="C315" s="3" t="s">
        <v>6985</v>
      </c>
      <c r="D315" s="4" t="s">
        <v>2116</v>
      </c>
      <c r="E315" s="3">
        <v>314</v>
      </c>
      <c r="F315" s="3" t="s">
        <v>1733</v>
      </c>
      <c r="G315" s="3" t="s">
        <v>20</v>
      </c>
      <c r="H315" s="3" t="s">
        <v>7041</v>
      </c>
    </row>
    <row r="316" spans="1:8" x14ac:dyDescent="0.25">
      <c r="A316" s="3" t="s">
        <v>6983</v>
      </c>
      <c r="B316" s="3" t="s">
        <v>6987</v>
      </c>
      <c r="C316" s="3" t="s">
        <v>6985</v>
      </c>
      <c r="D316" s="4" t="s">
        <v>2116</v>
      </c>
      <c r="E316" s="3">
        <v>315</v>
      </c>
      <c r="F316" s="3" t="s">
        <v>1734</v>
      </c>
      <c r="G316" s="3" t="s">
        <v>20</v>
      </c>
      <c r="H316" s="3" t="s">
        <v>7041</v>
      </c>
    </row>
    <row r="317" spans="1:8" x14ac:dyDescent="0.25">
      <c r="A317" s="3" t="s">
        <v>6983</v>
      </c>
      <c r="B317" s="3" t="s">
        <v>6987</v>
      </c>
      <c r="C317" s="3" t="s">
        <v>6985</v>
      </c>
      <c r="D317" s="4" t="s">
        <v>2116</v>
      </c>
      <c r="E317" s="3">
        <v>316</v>
      </c>
      <c r="F317" s="3" t="s">
        <v>1735</v>
      </c>
      <c r="G317" s="3" t="s">
        <v>20</v>
      </c>
      <c r="H317" s="3" t="s">
        <v>7041</v>
      </c>
    </row>
    <row r="318" spans="1:8" x14ac:dyDescent="0.25">
      <c r="A318" s="3" t="s">
        <v>6983</v>
      </c>
      <c r="B318" s="3" t="s">
        <v>6987</v>
      </c>
      <c r="C318" s="3" t="s">
        <v>6985</v>
      </c>
      <c r="D318" s="4" t="s">
        <v>2116</v>
      </c>
      <c r="E318" s="3">
        <v>317</v>
      </c>
      <c r="F318" s="3" t="s">
        <v>1736</v>
      </c>
      <c r="G318" s="3" t="s">
        <v>20</v>
      </c>
      <c r="H318" s="3" t="s">
        <v>7041</v>
      </c>
    </row>
    <row r="319" spans="1:8" x14ac:dyDescent="0.25">
      <c r="A319" s="3" t="s">
        <v>6983</v>
      </c>
      <c r="B319" s="3" t="s">
        <v>6987</v>
      </c>
      <c r="C319" s="3" t="s">
        <v>6985</v>
      </c>
      <c r="D319" s="4" t="s">
        <v>2116</v>
      </c>
      <c r="E319" s="3">
        <v>318</v>
      </c>
      <c r="F319" s="3" t="s">
        <v>1737</v>
      </c>
      <c r="G319" s="3" t="s">
        <v>20</v>
      </c>
      <c r="H319" s="3" t="s">
        <v>7041</v>
      </c>
    </row>
    <row r="320" spans="1:8" x14ac:dyDescent="0.25">
      <c r="A320" s="3" t="s">
        <v>6983</v>
      </c>
      <c r="B320" s="3" t="s">
        <v>6987</v>
      </c>
      <c r="C320" s="3" t="s">
        <v>6985</v>
      </c>
      <c r="D320" s="4" t="s">
        <v>2116</v>
      </c>
      <c r="E320" s="3">
        <v>319</v>
      </c>
      <c r="F320" s="3" t="s">
        <v>1738</v>
      </c>
      <c r="G320" s="3" t="s">
        <v>20</v>
      </c>
      <c r="H320" s="3" t="s">
        <v>7041</v>
      </c>
    </row>
    <row r="321" spans="1:8" x14ac:dyDescent="0.25">
      <c r="A321" s="3" t="s">
        <v>6983</v>
      </c>
      <c r="B321" s="3" t="s">
        <v>6987</v>
      </c>
      <c r="C321" s="3" t="s">
        <v>6985</v>
      </c>
      <c r="D321" s="4" t="s">
        <v>2116</v>
      </c>
      <c r="E321" s="3">
        <v>320</v>
      </c>
      <c r="F321" s="3" t="s">
        <v>1739</v>
      </c>
      <c r="G321" s="3" t="s">
        <v>20</v>
      </c>
      <c r="H321" s="3" t="s">
        <v>7041</v>
      </c>
    </row>
    <row r="322" spans="1:8" x14ac:dyDescent="0.25">
      <c r="A322" s="3" t="s">
        <v>6983</v>
      </c>
      <c r="B322" s="3" t="s">
        <v>6987</v>
      </c>
      <c r="C322" s="3" t="s">
        <v>6985</v>
      </c>
      <c r="D322" s="4" t="s">
        <v>2116</v>
      </c>
      <c r="E322" s="3">
        <v>321</v>
      </c>
      <c r="F322" s="3" t="s">
        <v>1740</v>
      </c>
      <c r="G322" s="3" t="s">
        <v>20</v>
      </c>
      <c r="H322" s="3" t="s">
        <v>7041</v>
      </c>
    </row>
    <row r="323" spans="1:8" x14ac:dyDescent="0.25">
      <c r="A323" s="3" t="s">
        <v>6983</v>
      </c>
      <c r="B323" s="3" t="s">
        <v>6987</v>
      </c>
      <c r="C323" s="3" t="s">
        <v>6985</v>
      </c>
      <c r="D323" s="4" t="s">
        <v>2116</v>
      </c>
      <c r="E323" s="3">
        <v>322</v>
      </c>
      <c r="F323" s="3" t="s">
        <v>1741</v>
      </c>
      <c r="G323" s="3" t="s">
        <v>20</v>
      </c>
      <c r="H323" s="3" t="s">
        <v>7041</v>
      </c>
    </row>
    <row r="324" spans="1:8" x14ac:dyDescent="0.25">
      <c r="A324" s="3" t="s">
        <v>6983</v>
      </c>
      <c r="B324" s="3" t="s">
        <v>6987</v>
      </c>
      <c r="C324" s="3" t="s">
        <v>6985</v>
      </c>
      <c r="D324" s="4" t="s">
        <v>2116</v>
      </c>
      <c r="E324" s="3">
        <v>323</v>
      </c>
      <c r="F324" s="3" t="s">
        <v>1742</v>
      </c>
      <c r="G324" s="3" t="s">
        <v>20</v>
      </c>
      <c r="H324" s="3" t="s">
        <v>7041</v>
      </c>
    </row>
    <row r="325" spans="1:8" x14ac:dyDescent="0.25">
      <c r="A325" s="3" t="s">
        <v>6983</v>
      </c>
      <c r="B325" s="3" t="s">
        <v>6987</v>
      </c>
      <c r="C325" s="3" t="s">
        <v>6985</v>
      </c>
      <c r="D325" s="4" t="s">
        <v>2116</v>
      </c>
      <c r="E325" s="3">
        <v>324</v>
      </c>
      <c r="F325" s="3" t="s">
        <v>1743</v>
      </c>
      <c r="G325" s="3" t="s">
        <v>20</v>
      </c>
      <c r="H325" s="3" t="s">
        <v>7041</v>
      </c>
    </row>
    <row r="326" spans="1:8" x14ac:dyDescent="0.25">
      <c r="A326" s="3" t="s">
        <v>6983</v>
      </c>
      <c r="B326" s="3" t="s">
        <v>6987</v>
      </c>
      <c r="C326" s="3" t="s">
        <v>6985</v>
      </c>
      <c r="D326" s="4" t="s">
        <v>2116</v>
      </c>
      <c r="E326" s="3">
        <v>325</v>
      </c>
      <c r="F326" s="3" t="s">
        <v>1744</v>
      </c>
      <c r="G326" s="3" t="s">
        <v>20</v>
      </c>
      <c r="H326" s="3" t="s">
        <v>7041</v>
      </c>
    </row>
    <row r="327" spans="1:8" x14ac:dyDescent="0.25">
      <c r="A327" s="3" t="s">
        <v>6983</v>
      </c>
      <c r="B327" s="3" t="s">
        <v>6987</v>
      </c>
      <c r="C327" s="3" t="s">
        <v>6985</v>
      </c>
      <c r="D327" s="4" t="s">
        <v>2116</v>
      </c>
      <c r="E327" s="3">
        <v>326</v>
      </c>
      <c r="F327" s="3" t="s">
        <v>1745</v>
      </c>
      <c r="G327" s="3" t="s">
        <v>20</v>
      </c>
      <c r="H327" s="3" t="s">
        <v>7041</v>
      </c>
    </row>
    <row r="328" spans="1:8" x14ac:dyDescent="0.25">
      <c r="A328" s="3" t="s">
        <v>6983</v>
      </c>
      <c r="B328" s="3" t="s">
        <v>6987</v>
      </c>
      <c r="C328" s="3" t="s">
        <v>6985</v>
      </c>
      <c r="D328" s="4" t="s">
        <v>2116</v>
      </c>
      <c r="E328" s="3">
        <v>327</v>
      </c>
      <c r="F328" s="3" t="s">
        <v>1746</v>
      </c>
      <c r="G328" s="3" t="s">
        <v>20</v>
      </c>
      <c r="H328" s="3" t="s">
        <v>7041</v>
      </c>
    </row>
    <row r="329" spans="1:8" x14ac:dyDescent="0.25">
      <c r="A329" s="3" t="s">
        <v>6983</v>
      </c>
      <c r="B329" s="3" t="s">
        <v>6987</v>
      </c>
      <c r="C329" s="3" t="s">
        <v>6985</v>
      </c>
      <c r="D329" s="4" t="s">
        <v>2116</v>
      </c>
      <c r="E329" s="3">
        <v>328</v>
      </c>
      <c r="F329" s="3" t="s">
        <v>1747</v>
      </c>
      <c r="G329" s="3" t="s">
        <v>20</v>
      </c>
      <c r="H329" s="3" t="s">
        <v>7041</v>
      </c>
    </row>
    <row r="330" spans="1:8" x14ac:dyDescent="0.25">
      <c r="A330" s="3" t="s">
        <v>6983</v>
      </c>
      <c r="B330" s="3" t="s">
        <v>6987</v>
      </c>
      <c r="C330" s="3" t="s">
        <v>6985</v>
      </c>
      <c r="D330" s="4" t="s">
        <v>2116</v>
      </c>
      <c r="E330" s="3">
        <v>329</v>
      </c>
      <c r="F330" s="3" t="s">
        <v>1748</v>
      </c>
      <c r="G330" s="3" t="s">
        <v>20</v>
      </c>
      <c r="H330" s="3" t="s">
        <v>7041</v>
      </c>
    </row>
    <row r="331" spans="1:8" x14ac:dyDescent="0.25">
      <c r="A331" s="3" t="s">
        <v>6983</v>
      </c>
      <c r="B331" s="3" t="s">
        <v>6987</v>
      </c>
      <c r="C331" s="3" t="s">
        <v>6985</v>
      </c>
      <c r="D331" s="4" t="s">
        <v>2116</v>
      </c>
      <c r="E331" s="3">
        <v>330</v>
      </c>
      <c r="F331" s="3" t="s">
        <v>1749</v>
      </c>
      <c r="G331" s="3" t="s">
        <v>20</v>
      </c>
      <c r="H331" s="3" t="s">
        <v>7041</v>
      </c>
    </row>
    <row r="332" spans="1:8" x14ac:dyDescent="0.25">
      <c r="A332" s="3" t="s">
        <v>6983</v>
      </c>
      <c r="B332" s="3" t="s">
        <v>6987</v>
      </c>
      <c r="C332" s="3" t="s">
        <v>6985</v>
      </c>
      <c r="D332" s="4" t="s">
        <v>2116</v>
      </c>
      <c r="E332" s="3">
        <v>331</v>
      </c>
      <c r="F332" s="3" t="s">
        <v>1750</v>
      </c>
      <c r="G332" s="3" t="s">
        <v>20</v>
      </c>
      <c r="H332" s="3" t="s">
        <v>7041</v>
      </c>
    </row>
    <row r="333" spans="1:8" x14ac:dyDescent="0.25">
      <c r="A333" s="3" t="s">
        <v>6983</v>
      </c>
      <c r="B333" s="3" t="s">
        <v>6987</v>
      </c>
      <c r="C333" s="3" t="s">
        <v>6985</v>
      </c>
      <c r="D333" s="4" t="s">
        <v>2116</v>
      </c>
      <c r="E333" s="3">
        <v>332</v>
      </c>
      <c r="F333" s="3" t="s">
        <v>1751</v>
      </c>
      <c r="G333" s="3" t="s">
        <v>20</v>
      </c>
      <c r="H333" s="3" t="s">
        <v>7041</v>
      </c>
    </row>
    <row r="334" spans="1:8" x14ac:dyDescent="0.25">
      <c r="A334" s="3" t="s">
        <v>6983</v>
      </c>
      <c r="B334" s="3" t="s">
        <v>6987</v>
      </c>
      <c r="C334" s="3" t="s">
        <v>6985</v>
      </c>
      <c r="D334" s="4" t="s">
        <v>2116</v>
      </c>
      <c r="E334" s="3">
        <v>333</v>
      </c>
      <c r="F334" s="3" t="s">
        <v>1752</v>
      </c>
      <c r="G334" s="3" t="s">
        <v>20</v>
      </c>
      <c r="H334" s="3" t="s">
        <v>7041</v>
      </c>
    </row>
    <row r="335" spans="1:8" x14ac:dyDescent="0.25">
      <c r="A335" s="3" t="s">
        <v>6983</v>
      </c>
      <c r="B335" s="3" t="s">
        <v>6987</v>
      </c>
      <c r="C335" s="3" t="s">
        <v>6985</v>
      </c>
      <c r="D335" s="4" t="s">
        <v>2116</v>
      </c>
      <c r="E335" s="3">
        <v>334</v>
      </c>
      <c r="F335" s="3" t="s">
        <v>1753</v>
      </c>
      <c r="G335" s="3" t="s">
        <v>20</v>
      </c>
      <c r="H335" s="3" t="s">
        <v>7041</v>
      </c>
    </row>
    <row r="336" spans="1:8" x14ac:dyDescent="0.25">
      <c r="A336" s="3" t="s">
        <v>6983</v>
      </c>
      <c r="B336" s="3" t="s">
        <v>6987</v>
      </c>
      <c r="C336" s="3" t="s">
        <v>6985</v>
      </c>
      <c r="D336" s="4" t="s">
        <v>2116</v>
      </c>
      <c r="E336" s="3">
        <v>335</v>
      </c>
      <c r="F336" s="3" t="s">
        <v>1754</v>
      </c>
      <c r="G336" s="3" t="s">
        <v>20</v>
      </c>
      <c r="H336" s="3" t="s">
        <v>7041</v>
      </c>
    </row>
    <row r="337" spans="1:8" x14ac:dyDescent="0.25">
      <c r="A337" s="3" t="s">
        <v>6983</v>
      </c>
      <c r="B337" s="3" t="s">
        <v>6987</v>
      </c>
      <c r="C337" s="3" t="s">
        <v>6985</v>
      </c>
      <c r="D337" s="4" t="s">
        <v>2116</v>
      </c>
      <c r="E337" s="3">
        <v>336</v>
      </c>
      <c r="F337" s="3" t="s">
        <v>1755</v>
      </c>
      <c r="G337" s="3" t="s">
        <v>1093</v>
      </c>
      <c r="H337" s="3" t="s">
        <v>7041</v>
      </c>
    </row>
    <row r="338" spans="1:8" x14ac:dyDescent="0.25">
      <c r="A338" s="3" t="s">
        <v>6983</v>
      </c>
      <c r="B338" s="3" t="s">
        <v>6987</v>
      </c>
      <c r="C338" s="3" t="s">
        <v>6985</v>
      </c>
      <c r="D338" s="4" t="s">
        <v>2116</v>
      </c>
      <c r="E338" s="3">
        <v>337</v>
      </c>
      <c r="F338" s="3" t="s">
        <v>1756</v>
      </c>
      <c r="G338" s="3" t="s">
        <v>12</v>
      </c>
      <c r="H338" s="3" t="s">
        <v>7041</v>
      </c>
    </row>
    <row r="339" spans="1:8" x14ac:dyDescent="0.25">
      <c r="A339" s="3" t="s">
        <v>6983</v>
      </c>
      <c r="B339" s="3" t="s">
        <v>6987</v>
      </c>
      <c r="C339" s="3" t="s">
        <v>6985</v>
      </c>
      <c r="D339" s="4" t="s">
        <v>2116</v>
      </c>
      <c r="E339" s="3">
        <v>338</v>
      </c>
      <c r="F339" s="3" t="s">
        <v>1757</v>
      </c>
      <c r="G339" s="3" t="s">
        <v>8</v>
      </c>
      <c r="H339" s="3" t="s">
        <v>7041</v>
      </c>
    </row>
    <row r="340" spans="1:8" x14ac:dyDescent="0.25">
      <c r="A340" s="3" t="s">
        <v>6983</v>
      </c>
      <c r="B340" s="3" t="s">
        <v>6987</v>
      </c>
      <c r="C340" s="3" t="s">
        <v>6985</v>
      </c>
      <c r="D340" s="4" t="s">
        <v>2116</v>
      </c>
      <c r="E340" s="3">
        <v>339</v>
      </c>
      <c r="F340" s="3" t="s">
        <v>1758</v>
      </c>
      <c r="G340" s="3" t="s">
        <v>1093</v>
      </c>
      <c r="H340" s="3" t="s">
        <v>7041</v>
      </c>
    </row>
    <row r="341" spans="1:8" x14ac:dyDescent="0.25">
      <c r="A341" s="3" t="s">
        <v>6983</v>
      </c>
      <c r="B341" s="3" t="s">
        <v>6987</v>
      </c>
      <c r="C341" s="3" t="s">
        <v>6985</v>
      </c>
      <c r="D341" s="4" t="s">
        <v>2116</v>
      </c>
      <c r="E341" s="3">
        <v>340</v>
      </c>
      <c r="F341" s="3" t="s">
        <v>1759</v>
      </c>
      <c r="G341" s="3" t="s">
        <v>12</v>
      </c>
      <c r="H341" s="3" t="s">
        <v>7041</v>
      </c>
    </row>
    <row r="342" spans="1:8" x14ac:dyDescent="0.25">
      <c r="A342" s="3" t="s">
        <v>6983</v>
      </c>
      <c r="B342" s="3" t="s">
        <v>6987</v>
      </c>
      <c r="C342" s="3" t="s">
        <v>6985</v>
      </c>
      <c r="D342" s="4" t="s">
        <v>2116</v>
      </c>
      <c r="E342" s="3">
        <v>341</v>
      </c>
      <c r="F342" s="3" t="s">
        <v>1760</v>
      </c>
      <c r="G342" s="3" t="s">
        <v>8</v>
      </c>
      <c r="H342" s="3" t="s">
        <v>7041</v>
      </c>
    </row>
    <row r="343" spans="1:8" x14ac:dyDescent="0.25">
      <c r="A343" s="3" t="s">
        <v>6983</v>
      </c>
      <c r="B343" s="3" t="s">
        <v>6987</v>
      </c>
      <c r="C343" s="3" t="s">
        <v>6985</v>
      </c>
      <c r="D343" s="4" t="s">
        <v>2116</v>
      </c>
      <c r="E343" s="3">
        <v>342</v>
      </c>
      <c r="F343" s="3" t="s">
        <v>1761</v>
      </c>
      <c r="G343" s="3" t="s">
        <v>20</v>
      </c>
      <c r="H343" s="3" t="s">
        <v>7041</v>
      </c>
    </row>
    <row r="344" spans="1:8" x14ac:dyDescent="0.25">
      <c r="A344" s="3" t="s">
        <v>6983</v>
      </c>
      <c r="B344" s="3" t="s">
        <v>6987</v>
      </c>
      <c r="C344" s="3" t="s">
        <v>6985</v>
      </c>
      <c r="D344" s="4" t="s">
        <v>2116</v>
      </c>
      <c r="E344" s="3">
        <v>343</v>
      </c>
      <c r="F344" s="3" t="s">
        <v>1762</v>
      </c>
      <c r="G344" s="3" t="s">
        <v>20</v>
      </c>
      <c r="H344" s="3" t="s">
        <v>7041</v>
      </c>
    </row>
    <row r="345" spans="1:8" x14ac:dyDescent="0.25">
      <c r="A345" s="3" t="s">
        <v>6983</v>
      </c>
      <c r="B345" s="3" t="s">
        <v>6987</v>
      </c>
      <c r="C345" s="3" t="s">
        <v>6985</v>
      </c>
      <c r="D345" s="4" t="s">
        <v>2116</v>
      </c>
      <c r="E345" s="3">
        <v>344</v>
      </c>
      <c r="F345" s="3" t="s">
        <v>1763</v>
      </c>
      <c r="G345" s="3" t="s">
        <v>20</v>
      </c>
      <c r="H345" s="3" t="s">
        <v>7041</v>
      </c>
    </row>
    <row r="346" spans="1:8" x14ac:dyDescent="0.25">
      <c r="A346" s="3" t="s">
        <v>6983</v>
      </c>
      <c r="B346" s="3" t="s">
        <v>6987</v>
      </c>
      <c r="C346" s="3" t="s">
        <v>6985</v>
      </c>
      <c r="D346" s="4" t="s">
        <v>2116</v>
      </c>
      <c r="E346" s="3">
        <v>345</v>
      </c>
      <c r="F346" s="3" t="s">
        <v>1764</v>
      </c>
      <c r="G346" s="3" t="s">
        <v>20</v>
      </c>
      <c r="H346" s="3" t="s">
        <v>7041</v>
      </c>
    </row>
    <row r="347" spans="1:8" x14ac:dyDescent="0.25">
      <c r="A347" s="3" t="s">
        <v>6983</v>
      </c>
      <c r="B347" s="3" t="s">
        <v>6987</v>
      </c>
      <c r="C347" s="3" t="s">
        <v>6985</v>
      </c>
      <c r="D347" s="4" t="s">
        <v>2116</v>
      </c>
      <c r="E347" s="3">
        <v>346</v>
      </c>
      <c r="F347" s="3" t="s">
        <v>1765</v>
      </c>
      <c r="G347" s="3" t="s">
        <v>1093</v>
      </c>
      <c r="H347" s="3" t="s">
        <v>7041</v>
      </c>
    </row>
    <row r="348" spans="1:8" x14ac:dyDescent="0.25">
      <c r="A348" s="3" t="s">
        <v>6983</v>
      </c>
      <c r="B348" s="3" t="s">
        <v>6987</v>
      </c>
      <c r="C348" s="3" t="s">
        <v>6985</v>
      </c>
      <c r="D348" s="4" t="s">
        <v>2116</v>
      </c>
      <c r="E348" s="3">
        <v>347</v>
      </c>
      <c r="F348" s="3" t="s">
        <v>1766</v>
      </c>
      <c r="G348" s="3" t="s">
        <v>1093</v>
      </c>
      <c r="H348" s="3" t="s">
        <v>7041</v>
      </c>
    </row>
    <row r="349" spans="1:8" x14ac:dyDescent="0.25">
      <c r="A349" s="3" t="s">
        <v>6983</v>
      </c>
      <c r="B349" s="3" t="s">
        <v>6987</v>
      </c>
      <c r="C349" s="3" t="s">
        <v>6985</v>
      </c>
      <c r="D349" s="3" t="s">
        <v>2117</v>
      </c>
      <c r="E349" s="3">
        <v>348</v>
      </c>
      <c r="F349" s="3" t="s">
        <v>1767</v>
      </c>
      <c r="G349" s="3" t="s">
        <v>20</v>
      </c>
      <c r="H349" s="3" t="s">
        <v>2162</v>
      </c>
    </row>
    <row r="350" spans="1:8" x14ac:dyDescent="0.25">
      <c r="A350" s="3" t="s">
        <v>6983</v>
      </c>
      <c r="B350" s="3" t="s">
        <v>6987</v>
      </c>
      <c r="C350" s="3" t="s">
        <v>6985</v>
      </c>
      <c r="D350" s="3" t="s">
        <v>2117</v>
      </c>
      <c r="E350" s="3">
        <v>349</v>
      </c>
      <c r="F350" s="3" t="s">
        <v>1768</v>
      </c>
      <c r="G350" s="3" t="s">
        <v>20</v>
      </c>
      <c r="H350" s="3" t="s">
        <v>2162</v>
      </c>
    </row>
    <row r="351" spans="1:8" x14ac:dyDescent="0.25">
      <c r="A351" s="3" t="s">
        <v>6983</v>
      </c>
      <c r="B351" s="3" t="s">
        <v>6987</v>
      </c>
      <c r="C351" s="3" t="s">
        <v>6985</v>
      </c>
      <c r="D351" s="3" t="s">
        <v>2117</v>
      </c>
      <c r="E351" s="3">
        <v>350</v>
      </c>
      <c r="F351" s="3" t="s">
        <v>1769</v>
      </c>
      <c r="G351" s="3" t="s">
        <v>20</v>
      </c>
      <c r="H351" s="3" t="s">
        <v>2162</v>
      </c>
    </row>
    <row r="352" spans="1:8" x14ac:dyDescent="0.25">
      <c r="A352" s="3" t="s">
        <v>6983</v>
      </c>
      <c r="B352" s="3" t="s">
        <v>6987</v>
      </c>
      <c r="C352" s="3" t="s">
        <v>6985</v>
      </c>
      <c r="D352" s="3" t="s">
        <v>2117</v>
      </c>
      <c r="E352" s="3">
        <v>351</v>
      </c>
      <c r="F352" s="3" t="s">
        <v>1770</v>
      </c>
      <c r="G352" s="3" t="s">
        <v>20</v>
      </c>
      <c r="H352" s="3" t="s">
        <v>2162</v>
      </c>
    </row>
    <row r="353" spans="1:8" x14ac:dyDescent="0.25">
      <c r="A353" s="3" t="s">
        <v>6983</v>
      </c>
      <c r="B353" s="3" t="s">
        <v>6987</v>
      </c>
      <c r="C353" s="3" t="s">
        <v>6985</v>
      </c>
      <c r="D353" s="3" t="s">
        <v>2117</v>
      </c>
      <c r="E353" s="3">
        <v>352</v>
      </c>
      <c r="F353" s="3" t="s">
        <v>1771</v>
      </c>
      <c r="G353" s="3" t="s">
        <v>20</v>
      </c>
      <c r="H353" s="3" t="s">
        <v>2162</v>
      </c>
    </row>
    <row r="354" spans="1:8" x14ac:dyDescent="0.25">
      <c r="A354" s="3" t="s">
        <v>6983</v>
      </c>
      <c r="B354" s="3" t="s">
        <v>6987</v>
      </c>
      <c r="C354" s="3" t="s">
        <v>6985</v>
      </c>
      <c r="D354" s="3" t="s">
        <v>2117</v>
      </c>
      <c r="E354" s="3">
        <v>353</v>
      </c>
      <c r="F354" s="3" t="s">
        <v>1772</v>
      </c>
      <c r="G354" s="3" t="s">
        <v>20</v>
      </c>
      <c r="H354" s="3" t="s">
        <v>2162</v>
      </c>
    </row>
    <row r="355" spans="1:8" x14ac:dyDescent="0.25">
      <c r="A355" s="3" t="s">
        <v>6983</v>
      </c>
      <c r="B355" s="3" t="s">
        <v>6987</v>
      </c>
      <c r="C355" s="3" t="s">
        <v>6985</v>
      </c>
      <c r="D355" s="3" t="s">
        <v>2117</v>
      </c>
      <c r="E355" s="3">
        <v>354</v>
      </c>
      <c r="F355" s="3" t="s">
        <v>1773</v>
      </c>
      <c r="G355" s="3" t="s">
        <v>20</v>
      </c>
      <c r="H355" s="3" t="s">
        <v>2162</v>
      </c>
    </row>
    <row r="356" spans="1:8" x14ac:dyDescent="0.25">
      <c r="A356" s="3" t="s">
        <v>6983</v>
      </c>
      <c r="B356" s="3" t="s">
        <v>6987</v>
      </c>
      <c r="C356" s="3" t="s">
        <v>6985</v>
      </c>
      <c r="D356" s="3" t="s">
        <v>2117</v>
      </c>
      <c r="E356" s="3">
        <v>355</v>
      </c>
      <c r="F356" s="3" t="s">
        <v>1774</v>
      </c>
      <c r="G356" s="3" t="s">
        <v>20</v>
      </c>
      <c r="H356" s="3" t="s">
        <v>2162</v>
      </c>
    </row>
    <row r="357" spans="1:8" x14ac:dyDescent="0.25">
      <c r="A357" s="3" t="s">
        <v>6983</v>
      </c>
      <c r="B357" s="3" t="s">
        <v>6987</v>
      </c>
      <c r="C357" s="3" t="s">
        <v>6985</v>
      </c>
      <c r="D357" s="3" t="s">
        <v>2117</v>
      </c>
      <c r="E357" s="3">
        <v>356</v>
      </c>
      <c r="F357" s="3" t="s">
        <v>1775</v>
      </c>
      <c r="G357" s="3" t="s">
        <v>20</v>
      </c>
      <c r="H357" s="3" t="s">
        <v>2162</v>
      </c>
    </row>
    <row r="358" spans="1:8" x14ac:dyDescent="0.25">
      <c r="A358" s="3" t="s">
        <v>6983</v>
      </c>
      <c r="B358" s="3" t="s">
        <v>6987</v>
      </c>
      <c r="C358" s="3" t="s">
        <v>6985</v>
      </c>
      <c r="D358" s="3" t="s">
        <v>2117</v>
      </c>
      <c r="E358" s="3">
        <v>357</v>
      </c>
      <c r="F358" s="3" t="s">
        <v>1776</v>
      </c>
      <c r="G358" s="3" t="s">
        <v>20</v>
      </c>
      <c r="H358" s="3" t="s">
        <v>2162</v>
      </c>
    </row>
    <row r="359" spans="1:8" x14ac:dyDescent="0.25">
      <c r="A359" s="3" t="s">
        <v>6983</v>
      </c>
      <c r="B359" s="3" t="s">
        <v>6987</v>
      </c>
      <c r="C359" s="3" t="s">
        <v>6985</v>
      </c>
      <c r="D359" s="3" t="s">
        <v>2117</v>
      </c>
      <c r="E359" s="3">
        <v>358</v>
      </c>
      <c r="F359" s="3" t="s">
        <v>1777</v>
      </c>
      <c r="G359" s="3" t="s">
        <v>20</v>
      </c>
      <c r="H359" s="3" t="s">
        <v>2162</v>
      </c>
    </row>
    <row r="360" spans="1:8" x14ac:dyDescent="0.25">
      <c r="A360" s="3" t="s">
        <v>6983</v>
      </c>
      <c r="B360" s="3" t="s">
        <v>6987</v>
      </c>
      <c r="C360" s="3" t="s">
        <v>6985</v>
      </c>
      <c r="D360" s="3" t="s">
        <v>2117</v>
      </c>
      <c r="E360" s="3">
        <v>359</v>
      </c>
      <c r="F360" s="3" t="s">
        <v>1778</v>
      </c>
      <c r="G360" s="3" t="s">
        <v>20</v>
      </c>
      <c r="H360" s="3" t="s">
        <v>2162</v>
      </c>
    </row>
    <row r="361" spans="1:8" x14ac:dyDescent="0.25">
      <c r="A361" s="3" t="s">
        <v>6983</v>
      </c>
      <c r="B361" s="3" t="s">
        <v>6987</v>
      </c>
      <c r="C361" s="3" t="s">
        <v>6985</v>
      </c>
      <c r="D361" s="3" t="s">
        <v>2117</v>
      </c>
      <c r="E361" s="3">
        <v>360</v>
      </c>
      <c r="F361" s="3" t="s">
        <v>1779</v>
      </c>
      <c r="G361" s="3" t="s">
        <v>20</v>
      </c>
      <c r="H361" s="3" t="s">
        <v>2162</v>
      </c>
    </row>
    <row r="362" spans="1:8" x14ac:dyDescent="0.25">
      <c r="A362" s="3" t="s">
        <v>6983</v>
      </c>
      <c r="B362" s="3" t="s">
        <v>6987</v>
      </c>
      <c r="C362" s="3" t="s">
        <v>6985</v>
      </c>
      <c r="D362" s="3" t="s">
        <v>2117</v>
      </c>
      <c r="E362" s="3">
        <v>361</v>
      </c>
      <c r="F362" s="3" t="s">
        <v>1780</v>
      </c>
      <c r="G362" s="3" t="s">
        <v>20</v>
      </c>
      <c r="H362" s="3" t="s">
        <v>2162</v>
      </c>
    </row>
    <row r="363" spans="1:8" x14ac:dyDescent="0.25">
      <c r="A363" s="3" t="s">
        <v>6983</v>
      </c>
      <c r="B363" s="3" t="s">
        <v>6987</v>
      </c>
      <c r="C363" s="3" t="s">
        <v>6985</v>
      </c>
      <c r="D363" s="3" t="s">
        <v>2117</v>
      </c>
      <c r="E363" s="3">
        <v>362</v>
      </c>
      <c r="F363" s="3" t="s">
        <v>1781</v>
      </c>
      <c r="G363" s="3" t="s">
        <v>20</v>
      </c>
      <c r="H363" s="3" t="s">
        <v>2162</v>
      </c>
    </row>
    <row r="364" spans="1:8" x14ac:dyDescent="0.25">
      <c r="A364" s="3" t="s">
        <v>6983</v>
      </c>
      <c r="B364" s="3" t="s">
        <v>6987</v>
      </c>
      <c r="C364" s="3" t="s">
        <v>6985</v>
      </c>
      <c r="D364" s="3" t="s">
        <v>2117</v>
      </c>
      <c r="E364" s="3">
        <v>363</v>
      </c>
      <c r="F364" s="3" t="s">
        <v>1782</v>
      </c>
      <c r="G364" s="3" t="s">
        <v>20</v>
      </c>
      <c r="H364" s="3" t="s">
        <v>2162</v>
      </c>
    </row>
    <row r="365" spans="1:8" x14ac:dyDescent="0.25">
      <c r="A365" s="3" t="s">
        <v>6983</v>
      </c>
      <c r="B365" s="3" t="s">
        <v>6987</v>
      </c>
      <c r="C365" s="3" t="s">
        <v>6985</v>
      </c>
      <c r="D365" s="3" t="s">
        <v>2117</v>
      </c>
      <c r="E365" s="3">
        <v>364</v>
      </c>
      <c r="F365" s="3" t="s">
        <v>1783</v>
      </c>
      <c r="G365" s="3" t="s">
        <v>20</v>
      </c>
      <c r="H365" s="3" t="s">
        <v>2162</v>
      </c>
    </row>
    <row r="366" spans="1:8" x14ac:dyDescent="0.25">
      <c r="A366" s="3" t="s">
        <v>6983</v>
      </c>
      <c r="B366" s="3" t="s">
        <v>6987</v>
      </c>
      <c r="C366" s="3" t="s">
        <v>6985</v>
      </c>
      <c r="D366" s="3" t="s">
        <v>2117</v>
      </c>
      <c r="E366" s="3">
        <v>365</v>
      </c>
      <c r="F366" s="3" t="s">
        <v>1784</v>
      </c>
      <c r="G366" s="3" t="s">
        <v>20</v>
      </c>
      <c r="H366" s="3" t="s">
        <v>2162</v>
      </c>
    </row>
    <row r="367" spans="1:8" x14ac:dyDescent="0.25">
      <c r="A367" s="3" t="s">
        <v>6983</v>
      </c>
      <c r="B367" s="3" t="s">
        <v>6987</v>
      </c>
      <c r="C367" s="3" t="s">
        <v>6985</v>
      </c>
      <c r="D367" s="3" t="s">
        <v>2117</v>
      </c>
      <c r="E367" s="3">
        <v>366</v>
      </c>
      <c r="F367" s="3" t="s">
        <v>1785</v>
      </c>
      <c r="G367" s="3" t="s">
        <v>20</v>
      </c>
      <c r="H367" s="3" t="s">
        <v>2162</v>
      </c>
    </row>
    <row r="368" spans="1:8" x14ac:dyDescent="0.25">
      <c r="A368" s="3" t="s">
        <v>6983</v>
      </c>
      <c r="B368" s="3" t="s">
        <v>6987</v>
      </c>
      <c r="C368" s="3" t="s">
        <v>6985</v>
      </c>
      <c r="D368" s="3" t="s">
        <v>2117</v>
      </c>
      <c r="E368" s="3">
        <v>367</v>
      </c>
      <c r="F368" s="3" t="s">
        <v>1786</v>
      </c>
      <c r="G368" s="3" t="s">
        <v>20</v>
      </c>
      <c r="H368" s="3" t="s">
        <v>2162</v>
      </c>
    </row>
    <row r="369" spans="1:8" x14ac:dyDescent="0.25">
      <c r="A369" s="3" t="s">
        <v>6983</v>
      </c>
      <c r="B369" s="3" t="s">
        <v>6987</v>
      </c>
      <c r="C369" s="3" t="s">
        <v>6985</v>
      </c>
      <c r="D369" s="3" t="s">
        <v>2117</v>
      </c>
      <c r="E369" s="3">
        <v>368</v>
      </c>
      <c r="F369" s="3" t="s">
        <v>1787</v>
      </c>
      <c r="G369" s="3" t="s">
        <v>20</v>
      </c>
      <c r="H369" s="3" t="s">
        <v>2162</v>
      </c>
    </row>
    <row r="370" spans="1:8" x14ac:dyDescent="0.25">
      <c r="A370" s="3" t="s">
        <v>6983</v>
      </c>
      <c r="B370" s="3" t="s">
        <v>6987</v>
      </c>
      <c r="C370" s="3" t="s">
        <v>6985</v>
      </c>
      <c r="D370" s="3" t="s">
        <v>2117</v>
      </c>
      <c r="E370" s="3">
        <v>369</v>
      </c>
      <c r="F370" s="3" t="s">
        <v>1788</v>
      </c>
      <c r="G370" s="3" t="s">
        <v>20</v>
      </c>
      <c r="H370" s="3" t="s">
        <v>2162</v>
      </c>
    </row>
    <row r="371" spans="1:8" x14ac:dyDescent="0.25">
      <c r="A371" s="3" t="s">
        <v>6983</v>
      </c>
      <c r="B371" s="3" t="s">
        <v>6987</v>
      </c>
      <c r="C371" s="3" t="s">
        <v>6985</v>
      </c>
      <c r="D371" s="3" t="s">
        <v>2117</v>
      </c>
      <c r="E371" s="3">
        <v>370</v>
      </c>
      <c r="F371" s="3" t="s">
        <v>1789</v>
      </c>
      <c r="G371" s="3" t="s">
        <v>20</v>
      </c>
      <c r="H371" s="3" t="s">
        <v>2162</v>
      </c>
    </row>
    <row r="372" spans="1:8" x14ac:dyDescent="0.25">
      <c r="A372" s="3" t="s">
        <v>6983</v>
      </c>
      <c r="B372" s="3" t="s">
        <v>6987</v>
      </c>
      <c r="C372" s="3" t="s">
        <v>6985</v>
      </c>
      <c r="D372" s="3" t="s">
        <v>2117</v>
      </c>
      <c r="E372" s="3">
        <v>371</v>
      </c>
      <c r="F372" s="3" t="s">
        <v>1790</v>
      </c>
      <c r="G372" s="3" t="s">
        <v>20</v>
      </c>
      <c r="H372" s="3" t="s">
        <v>2162</v>
      </c>
    </row>
    <row r="373" spans="1:8" x14ac:dyDescent="0.25">
      <c r="A373" s="3" t="s">
        <v>6983</v>
      </c>
      <c r="B373" s="3" t="s">
        <v>6987</v>
      </c>
      <c r="C373" s="3" t="s">
        <v>6985</v>
      </c>
      <c r="D373" s="3" t="s">
        <v>2117</v>
      </c>
      <c r="E373" s="3">
        <v>372</v>
      </c>
      <c r="F373" s="3" t="s">
        <v>1791</v>
      </c>
      <c r="G373" s="3" t="s">
        <v>20</v>
      </c>
      <c r="H373" s="3" t="s">
        <v>2162</v>
      </c>
    </row>
    <row r="374" spans="1:8" x14ac:dyDescent="0.25">
      <c r="A374" s="3" t="s">
        <v>6983</v>
      </c>
      <c r="B374" s="3" t="s">
        <v>6987</v>
      </c>
      <c r="C374" s="3" t="s">
        <v>6985</v>
      </c>
      <c r="D374" s="3" t="s">
        <v>2117</v>
      </c>
      <c r="E374" s="3">
        <v>373</v>
      </c>
      <c r="F374" s="3" t="s">
        <v>1792</v>
      </c>
      <c r="G374" s="3" t="s">
        <v>20</v>
      </c>
      <c r="H374" s="3" t="s">
        <v>2162</v>
      </c>
    </row>
    <row r="375" spans="1:8" x14ac:dyDescent="0.25">
      <c r="A375" s="3" t="s">
        <v>6983</v>
      </c>
      <c r="B375" s="3" t="s">
        <v>6987</v>
      </c>
      <c r="C375" s="3" t="s">
        <v>6985</v>
      </c>
      <c r="D375" s="3" t="s">
        <v>2117</v>
      </c>
      <c r="E375" s="3">
        <v>374</v>
      </c>
      <c r="F375" s="3" t="s">
        <v>1793</v>
      </c>
      <c r="G375" s="3" t="s">
        <v>20</v>
      </c>
      <c r="H375" s="3" t="s">
        <v>2162</v>
      </c>
    </row>
    <row r="376" spans="1:8" x14ac:dyDescent="0.25">
      <c r="A376" s="3" t="s">
        <v>6983</v>
      </c>
      <c r="B376" s="3" t="s">
        <v>6987</v>
      </c>
      <c r="C376" s="3" t="s">
        <v>6985</v>
      </c>
      <c r="D376" s="3" t="s">
        <v>2117</v>
      </c>
      <c r="E376" s="3">
        <v>375</v>
      </c>
      <c r="F376" s="3" t="s">
        <v>1794</v>
      </c>
      <c r="G376" s="3" t="s">
        <v>20</v>
      </c>
      <c r="H376" s="3" t="s">
        <v>2162</v>
      </c>
    </row>
    <row r="377" spans="1:8" x14ac:dyDescent="0.25">
      <c r="A377" s="3" t="s">
        <v>6983</v>
      </c>
      <c r="B377" s="3" t="s">
        <v>6987</v>
      </c>
      <c r="C377" s="3" t="s">
        <v>6985</v>
      </c>
      <c r="D377" s="3" t="s">
        <v>2117</v>
      </c>
      <c r="E377" s="3">
        <v>376</v>
      </c>
      <c r="F377" s="3" t="s">
        <v>1795</v>
      </c>
      <c r="G377" s="3" t="s">
        <v>20</v>
      </c>
      <c r="H377" s="3" t="s">
        <v>2162</v>
      </c>
    </row>
    <row r="378" spans="1:8" x14ac:dyDescent="0.25">
      <c r="A378" s="3" t="s">
        <v>6983</v>
      </c>
      <c r="B378" s="3" t="s">
        <v>6987</v>
      </c>
      <c r="C378" s="3" t="s">
        <v>6985</v>
      </c>
      <c r="D378" s="3" t="s">
        <v>2117</v>
      </c>
      <c r="E378" s="3">
        <v>377</v>
      </c>
      <c r="F378" s="3" t="s">
        <v>1796</v>
      </c>
      <c r="G378" s="3" t="s">
        <v>20</v>
      </c>
      <c r="H378" s="3" t="s">
        <v>2162</v>
      </c>
    </row>
    <row r="379" spans="1:8" x14ac:dyDescent="0.25">
      <c r="A379" s="3" t="s">
        <v>6983</v>
      </c>
      <c r="B379" s="3" t="s">
        <v>6987</v>
      </c>
      <c r="C379" s="3" t="s">
        <v>6985</v>
      </c>
      <c r="D379" s="3" t="s">
        <v>2117</v>
      </c>
      <c r="E379" s="3">
        <v>378</v>
      </c>
      <c r="F379" s="3" t="s">
        <v>1797</v>
      </c>
      <c r="G379" s="3" t="s">
        <v>20</v>
      </c>
      <c r="H379" s="3" t="s">
        <v>2162</v>
      </c>
    </row>
    <row r="380" spans="1:8" x14ac:dyDescent="0.25">
      <c r="A380" s="3" t="s">
        <v>6983</v>
      </c>
      <c r="B380" s="3" t="s">
        <v>6987</v>
      </c>
      <c r="C380" s="3" t="s">
        <v>6985</v>
      </c>
      <c r="D380" s="3" t="s">
        <v>2117</v>
      </c>
      <c r="E380" s="3">
        <v>379</v>
      </c>
      <c r="F380" s="3" t="s">
        <v>1798</v>
      </c>
      <c r="G380" s="3" t="s">
        <v>20</v>
      </c>
      <c r="H380" s="3" t="s">
        <v>2162</v>
      </c>
    </row>
    <row r="381" spans="1:8" x14ac:dyDescent="0.25">
      <c r="A381" s="3" t="s">
        <v>6983</v>
      </c>
      <c r="B381" s="3" t="s">
        <v>6987</v>
      </c>
      <c r="C381" s="3" t="s">
        <v>6985</v>
      </c>
      <c r="D381" s="3" t="s">
        <v>2117</v>
      </c>
      <c r="E381" s="3">
        <v>380</v>
      </c>
      <c r="F381" s="3" t="s">
        <v>1799</v>
      </c>
      <c r="G381" s="3" t="s">
        <v>20</v>
      </c>
      <c r="H381" s="3" t="s">
        <v>2162</v>
      </c>
    </row>
    <row r="382" spans="1:8" x14ac:dyDescent="0.25">
      <c r="A382" s="3" t="s">
        <v>6983</v>
      </c>
      <c r="B382" s="3" t="s">
        <v>6987</v>
      </c>
      <c r="C382" s="3" t="s">
        <v>6985</v>
      </c>
      <c r="D382" s="3" t="s">
        <v>2117</v>
      </c>
      <c r="E382" s="3">
        <v>381</v>
      </c>
      <c r="F382" s="3" t="s">
        <v>1800</v>
      </c>
      <c r="G382" s="3" t="s">
        <v>20</v>
      </c>
      <c r="H382" s="3" t="s">
        <v>2162</v>
      </c>
    </row>
    <row r="383" spans="1:8" x14ac:dyDescent="0.25">
      <c r="A383" s="3" t="s">
        <v>6983</v>
      </c>
      <c r="B383" s="3" t="s">
        <v>6987</v>
      </c>
      <c r="C383" s="3" t="s">
        <v>6985</v>
      </c>
      <c r="D383" s="3" t="s">
        <v>2117</v>
      </c>
      <c r="E383" s="3">
        <v>382</v>
      </c>
      <c r="F383" s="3" t="s">
        <v>1801</v>
      </c>
      <c r="G383" s="3" t="s">
        <v>20</v>
      </c>
      <c r="H383" s="3" t="s">
        <v>2162</v>
      </c>
    </row>
    <row r="384" spans="1:8" x14ac:dyDescent="0.25">
      <c r="A384" s="3" t="s">
        <v>6983</v>
      </c>
      <c r="B384" s="3" t="s">
        <v>6987</v>
      </c>
      <c r="C384" s="3" t="s">
        <v>6985</v>
      </c>
      <c r="D384" s="3" t="s">
        <v>2117</v>
      </c>
      <c r="E384" s="3">
        <v>383</v>
      </c>
      <c r="F384" s="3" t="s">
        <v>1802</v>
      </c>
      <c r="G384" s="3" t="s">
        <v>20</v>
      </c>
      <c r="H384" s="3" t="s">
        <v>2162</v>
      </c>
    </row>
    <row r="385" spans="1:8" x14ac:dyDescent="0.25">
      <c r="A385" s="3" t="s">
        <v>6983</v>
      </c>
      <c r="B385" s="3" t="s">
        <v>6987</v>
      </c>
      <c r="C385" s="3" t="s">
        <v>6985</v>
      </c>
      <c r="D385" s="3" t="s">
        <v>2117</v>
      </c>
      <c r="E385" s="3">
        <v>384</v>
      </c>
      <c r="F385" s="3" t="s">
        <v>1803</v>
      </c>
      <c r="G385" s="3" t="s">
        <v>20</v>
      </c>
      <c r="H385" s="3" t="s">
        <v>2162</v>
      </c>
    </row>
    <row r="386" spans="1:8" x14ac:dyDescent="0.25">
      <c r="A386" s="3" t="s">
        <v>6983</v>
      </c>
      <c r="B386" s="3" t="s">
        <v>6987</v>
      </c>
      <c r="C386" s="3" t="s">
        <v>6985</v>
      </c>
      <c r="D386" s="3" t="s">
        <v>2117</v>
      </c>
      <c r="E386" s="3">
        <v>385</v>
      </c>
      <c r="F386" s="3" t="s">
        <v>1804</v>
      </c>
      <c r="G386" s="3" t="s">
        <v>20</v>
      </c>
      <c r="H386" s="3" t="s">
        <v>2162</v>
      </c>
    </row>
    <row r="387" spans="1:8" x14ac:dyDescent="0.25">
      <c r="A387" s="3" t="s">
        <v>6983</v>
      </c>
      <c r="B387" s="3" t="s">
        <v>6987</v>
      </c>
      <c r="C387" s="3" t="s">
        <v>6985</v>
      </c>
      <c r="D387" s="3" t="s">
        <v>2117</v>
      </c>
      <c r="E387" s="3">
        <v>386</v>
      </c>
      <c r="F387" s="3" t="s">
        <v>1805</v>
      </c>
      <c r="G387" s="3" t="s">
        <v>20</v>
      </c>
      <c r="H387" s="3" t="s">
        <v>2162</v>
      </c>
    </row>
    <row r="388" spans="1:8" x14ac:dyDescent="0.25">
      <c r="A388" s="3" t="s">
        <v>6983</v>
      </c>
      <c r="B388" s="3" t="s">
        <v>6987</v>
      </c>
      <c r="C388" s="3" t="s">
        <v>6985</v>
      </c>
      <c r="D388" s="3" t="s">
        <v>2117</v>
      </c>
      <c r="E388" s="3">
        <v>387</v>
      </c>
      <c r="F388" s="3" t="s">
        <v>1806</v>
      </c>
      <c r="G388" s="3" t="s">
        <v>20</v>
      </c>
      <c r="H388" s="3" t="s">
        <v>2162</v>
      </c>
    </row>
    <row r="389" spans="1:8" x14ac:dyDescent="0.25">
      <c r="A389" s="3" t="s">
        <v>6983</v>
      </c>
      <c r="B389" s="3" t="s">
        <v>6987</v>
      </c>
      <c r="C389" s="3" t="s">
        <v>6985</v>
      </c>
      <c r="D389" s="3" t="s">
        <v>2117</v>
      </c>
      <c r="E389" s="3">
        <v>388</v>
      </c>
      <c r="F389" s="3" t="s">
        <v>1807</v>
      </c>
      <c r="G389" s="3" t="s">
        <v>20</v>
      </c>
      <c r="H389" s="3" t="s">
        <v>2162</v>
      </c>
    </row>
    <row r="390" spans="1:8" x14ac:dyDescent="0.25">
      <c r="A390" s="3" t="s">
        <v>6983</v>
      </c>
      <c r="B390" s="3" t="s">
        <v>6987</v>
      </c>
      <c r="C390" s="3" t="s">
        <v>6985</v>
      </c>
      <c r="D390" s="3" t="s">
        <v>2117</v>
      </c>
      <c r="E390" s="3">
        <v>389</v>
      </c>
      <c r="F390" s="3" t="s">
        <v>1808</v>
      </c>
      <c r="G390" s="3" t="s">
        <v>20</v>
      </c>
      <c r="H390" s="3" t="s">
        <v>2162</v>
      </c>
    </row>
    <row r="391" spans="1:8" x14ac:dyDescent="0.25">
      <c r="A391" s="3" t="s">
        <v>6983</v>
      </c>
      <c r="B391" s="3" t="s">
        <v>6987</v>
      </c>
      <c r="C391" s="3" t="s">
        <v>6985</v>
      </c>
      <c r="D391" s="3" t="s">
        <v>2117</v>
      </c>
      <c r="E391" s="3">
        <v>390</v>
      </c>
      <c r="F391" s="3" t="s">
        <v>1809</v>
      </c>
      <c r="G391" s="3" t="s">
        <v>20</v>
      </c>
      <c r="H391" s="3" t="s">
        <v>2162</v>
      </c>
    </row>
    <row r="392" spans="1:8" x14ac:dyDescent="0.25">
      <c r="A392" s="3" t="s">
        <v>6983</v>
      </c>
      <c r="B392" s="3" t="s">
        <v>6987</v>
      </c>
      <c r="C392" s="3" t="s">
        <v>6985</v>
      </c>
      <c r="D392" s="3" t="s">
        <v>2117</v>
      </c>
      <c r="E392" s="3">
        <v>391</v>
      </c>
      <c r="F392" s="3" t="s">
        <v>1810</v>
      </c>
      <c r="G392" s="3" t="s">
        <v>20</v>
      </c>
      <c r="H392" s="3" t="s">
        <v>2162</v>
      </c>
    </row>
    <row r="393" spans="1:8" x14ac:dyDescent="0.25">
      <c r="A393" s="3" t="s">
        <v>6983</v>
      </c>
      <c r="B393" s="3" t="s">
        <v>6987</v>
      </c>
      <c r="C393" s="3" t="s">
        <v>6985</v>
      </c>
      <c r="D393" s="3" t="s">
        <v>2117</v>
      </c>
      <c r="E393" s="3">
        <v>392</v>
      </c>
      <c r="F393" s="3" t="s">
        <v>1811</v>
      </c>
      <c r="G393" s="3" t="s">
        <v>20</v>
      </c>
      <c r="H393" s="3" t="s">
        <v>2162</v>
      </c>
    </row>
    <row r="394" spans="1:8" x14ac:dyDescent="0.25">
      <c r="A394" s="3" t="s">
        <v>6983</v>
      </c>
      <c r="B394" s="3" t="s">
        <v>6987</v>
      </c>
      <c r="C394" s="3" t="s">
        <v>6985</v>
      </c>
      <c r="D394" s="3" t="s">
        <v>2117</v>
      </c>
      <c r="E394" s="3">
        <v>393</v>
      </c>
      <c r="F394" s="3" t="s">
        <v>1812</v>
      </c>
      <c r="G394" s="3" t="s">
        <v>20</v>
      </c>
      <c r="H394" s="3" t="s">
        <v>2162</v>
      </c>
    </row>
    <row r="395" spans="1:8" x14ac:dyDescent="0.25">
      <c r="A395" s="3" t="s">
        <v>6983</v>
      </c>
      <c r="B395" s="3" t="s">
        <v>6987</v>
      </c>
      <c r="C395" s="3" t="s">
        <v>6985</v>
      </c>
      <c r="D395" s="3" t="s">
        <v>2117</v>
      </c>
      <c r="E395" s="3">
        <v>394</v>
      </c>
      <c r="F395" s="3" t="s">
        <v>1813</v>
      </c>
      <c r="G395" s="3" t="s">
        <v>20</v>
      </c>
      <c r="H395" s="3" t="s">
        <v>2162</v>
      </c>
    </row>
    <row r="396" spans="1:8" x14ac:dyDescent="0.25">
      <c r="A396" s="3" t="s">
        <v>6983</v>
      </c>
      <c r="B396" s="3" t="s">
        <v>6987</v>
      </c>
      <c r="C396" s="3" t="s">
        <v>6985</v>
      </c>
      <c r="D396" s="3" t="s">
        <v>2117</v>
      </c>
      <c r="E396" s="3">
        <v>395</v>
      </c>
      <c r="F396" s="3" t="s">
        <v>1814</v>
      </c>
      <c r="G396" s="3" t="s">
        <v>20</v>
      </c>
      <c r="H396" s="3" t="s">
        <v>2162</v>
      </c>
    </row>
    <row r="397" spans="1:8" x14ac:dyDescent="0.25">
      <c r="A397" s="3" t="s">
        <v>6983</v>
      </c>
      <c r="B397" s="3" t="s">
        <v>6987</v>
      </c>
      <c r="C397" s="3" t="s">
        <v>6985</v>
      </c>
      <c r="D397" s="3" t="s">
        <v>2117</v>
      </c>
      <c r="E397" s="3">
        <v>396</v>
      </c>
      <c r="F397" s="3" t="s">
        <v>1815</v>
      </c>
      <c r="G397" s="3" t="s">
        <v>20</v>
      </c>
      <c r="H397" s="3" t="s">
        <v>2162</v>
      </c>
    </row>
    <row r="398" spans="1:8" x14ac:dyDescent="0.25">
      <c r="A398" s="3" t="s">
        <v>6983</v>
      </c>
      <c r="B398" s="3" t="s">
        <v>6987</v>
      </c>
      <c r="C398" s="3" t="s">
        <v>6985</v>
      </c>
      <c r="D398" s="3" t="s">
        <v>2117</v>
      </c>
      <c r="E398" s="3">
        <v>397</v>
      </c>
      <c r="F398" s="3" t="s">
        <v>1816</v>
      </c>
      <c r="G398" s="3" t="s">
        <v>20</v>
      </c>
      <c r="H398" s="3" t="s">
        <v>2162</v>
      </c>
    </row>
    <row r="399" spans="1:8" x14ac:dyDescent="0.25">
      <c r="A399" s="3" t="s">
        <v>6983</v>
      </c>
      <c r="B399" s="3" t="s">
        <v>6987</v>
      </c>
      <c r="C399" s="3" t="s">
        <v>6985</v>
      </c>
      <c r="D399" s="3" t="s">
        <v>2117</v>
      </c>
      <c r="E399" s="3">
        <v>398</v>
      </c>
      <c r="F399" s="3" t="s">
        <v>1817</v>
      </c>
      <c r="G399" s="3" t="s">
        <v>20</v>
      </c>
      <c r="H399" s="3" t="s">
        <v>2162</v>
      </c>
    </row>
    <row r="400" spans="1:8" x14ac:dyDescent="0.25">
      <c r="A400" s="3" t="s">
        <v>6983</v>
      </c>
      <c r="B400" s="3" t="s">
        <v>6987</v>
      </c>
      <c r="C400" s="3" t="s">
        <v>6985</v>
      </c>
      <c r="D400" s="3" t="s">
        <v>2117</v>
      </c>
      <c r="E400" s="3">
        <v>399</v>
      </c>
      <c r="F400" s="3" t="s">
        <v>1818</v>
      </c>
      <c r="G400" s="3" t="s">
        <v>20</v>
      </c>
      <c r="H400" s="3" t="s">
        <v>2162</v>
      </c>
    </row>
    <row r="401" spans="1:8" x14ac:dyDescent="0.25">
      <c r="A401" s="3" t="s">
        <v>6983</v>
      </c>
      <c r="B401" s="3" t="s">
        <v>6987</v>
      </c>
      <c r="C401" s="3" t="s">
        <v>6985</v>
      </c>
      <c r="D401" s="3" t="s">
        <v>2117</v>
      </c>
      <c r="E401" s="3">
        <v>400</v>
      </c>
      <c r="F401" s="3" t="s">
        <v>1819</v>
      </c>
      <c r="G401" s="3" t="s">
        <v>20</v>
      </c>
      <c r="H401" s="3" t="s">
        <v>2162</v>
      </c>
    </row>
    <row r="402" spans="1:8" x14ac:dyDescent="0.25">
      <c r="A402" s="3" t="s">
        <v>6983</v>
      </c>
      <c r="B402" s="3" t="s">
        <v>6987</v>
      </c>
      <c r="C402" s="3" t="s">
        <v>6985</v>
      </c>
      <c r="D402" s="3" t="s">
        <v>2117</v>
      </c>
      <c r="E402" s="3">
        <v>401</v>
      </c>
      <c r="F402" s="3" t="s">
        <v>1820</v>
      </c>
      <c r="G402" s="3" t="s">
        <v>1093</v>
      </c>
      <c r="H402" s="3" t="s">
        <v>2162</v>
      </c>
    </row>
    <row r="403" spans="1:8" x14ac:dyDescent="0.25">
      <c r="A403" s="3" t="s">
        <v>6983</v>
      </c>
      <c r="B403" s="3" t="s">
        <v>6987</v>
      </c>
      <c r="C403" s="3" t="s">
        <v>6985</v>
      </c>
      <c r="D403" s="3" t="s">
        <v>2117</v>
      </c>
      <c r="E403" s="3">
        <v>402</v>
      </c>
      <c r="F403" s="3" t="s">
        <v>1821</v>
      </c>
      <c r="G403" s="3" t="s">
        <v>12</v>
      </c>
      <c r="H403" s="3" t="s">
        <v>2162</v>
      </c>
    </row>
    <row r="404" spans="1:8" x14ac:dyDescent="0.25">
      <c r="A404" s="3" t="s">
        <v>6983</v>
      </c>
      <c r="B404" s="3" t="s">
        <v>6987</v>
      </c>
      <c r="C404" s="3" t="s">
        <v>6985</v>
      </c>
      <c r="D404" s="3" t="s">
        <v>2117</v>
      </c>
      <c r="E404" s="3">
        <v>403</v>
      </c>
      <c r="F404" s="3" t="s">
        <v>1822</v>
      </c>
      <c r="G404" s="3" t="s">
        <v>8</v>
      </c>
      <c r="H404" s="3" t="s">
        <v>2162</v>
      </c>
    </row>
    <row r="405" spans="1:8" x14ac:dyDescent="0.25">
      <c r="A405" s="3" t="s">
        <v>6983</v>
      </c>
      <c r="B405" s="3" t="s">
        <v>6987</v>
      </c>
      <c r="C405" s="3" t="s">
        <v>6985</v>
      </c>
      <c r="D405" s="3" t="s">
        <v>2117</v>
      </c>
      <c r="E405" s="3">
        <v>404</v>
      </c>
      <c r="F405" s="3" t="s">
        <v>1823</v>
      </c>
      <c r="G405" s="3" t="s">
        <v>1093</v>
      </c>
      <c r="H405" s="3" t="s">
        <v>2162</v>
      </c>
    </row>
    <row r="406" spans="1:8" x14ac:dyDescent="0.25">
      <c r="A406" s="3" t="s">
        <v>6983</v>
      </c>
      <c r="B406" s="3" t="s">
        <v>6987</v>
      </c>
      <c r="C406" s="3" t="s">
        <v>6985</v>
      </c>
      <c r="D406" s="3" t="s">
        <v>2117</v>
      </c>
      <c r="E406" s="3">
        <v>405</v>
      </c>
      <c r="F406" s="3" t="s">
        <v>1824</v>
      </c>
      <c r="G406" s="3" t="s">
        <v>12</v>
      </c>
      <c r="H406" s="3" t="s">
        <v>2162</v>
      </c>
    </row>
    <row r="407" spans="1:8" x14ac:dyDescent="0.25">
      <c r="A407" s="3" t="s">
        <v>6983</v>
      </c>
      <c r="B407" s="3" t="s">
        <v>6987</v>
      </c>
      <c r="C407" s="3" t="s">
        <v>6985</v>
      </c>
      <c r="D407" s="3" t="s">
        <v>2117</v>
      </c>
      <c r="E407" s="3">
        <v>406</v>
      </c>
      <c r="F407" s="3" t="s">
        <v>1825</v>
      </c>
      <c r="G407" s="3" t="s">
        <v>8</v>
      </c>
      <c r="H407" s="3" t="s">
        <v>2162</v>
      </c>
    </row>
    <row r="408" spans="1:8" x14ac:dyDescent="0.25">
      <c r="A408" s="3" t="s">
        <v>6983</v>
      </c>
      <c r="B408" s="3" t="s">
        <v>6987</v>
      </c>
      <c r="C408" s="3" t="s">
        <v>6985</v>
      </c>
      <c r="D408" s="3" t="s">
        <v>2117</v>
      </c>
      <c r="E408" s="3">
        <v>407</v>
      </c>
      <c r="F408" s="3" t="s">
        <v>1826</v>
      </c>
      <c r="G408" s="3" t="s">
        <v>20</v>
      </c>
      <c r="H408" s="3" t="s">
        <v>2162</v>
      </c>
    </row>
    <row r="409" spans="1:8" x14ac:dyDescent="0.25">
      <c r="A409" s="3" t="s">
        <v>6983</v>
      </c>
      <c r="B409" s="3" t="s">
        <v>6987</v>
      </c>
      <c r="C409" s="3" t="s">
        <v>6985</v>
      </c>
      <c r="D409" s="3" t="s">
        <v>2117</v>
      </c>
      <c r="E409" s="3">
        <v>408</v>
      </c>
      <c r="F409" s="3" t="s">
        <v>1827</v>
      </c>
      <c r="G409" s="3" t="s">
        <v>20</v>
      </c>
      <c r="H409" s="3" t="s">
        <v>2162</v>
      </c>
    </row>
    <row r="410" spans="1:8" x14ac:dyDescent="0.25">
      <c r="A410" s="3" t="s">
        <v>6983</v>
      </c>
      <c r="B410" s="3" t="s">
        <v>6987</v>
      </c>
      <c r="C410" s="3" t="s">
        <v>6985</v>
      </c>
      <c r="D410" s="3" t="s">
        <v>2117</v>
      </c>
      <c r="E410" s="3">
        <v>409</v>
      </c>
      <c r="F410" s="3" t="s">
        <v>1828</v>
      </c>
      <c r="G410" s="3" t="s">
        <v>20</v>
      </c>
      <c r="H410" s="3" t="s">
        <v>2162</v>
      </c>
    </row>
    <row r="411" spans="1:8" x14ac:dyDescent="0.25">
      <c r="A411" s="3" t="s">
        <v>6983</v>
      </c>
      <c r="B411" s="3" t="s">
        <v>6987</v>
      </c>
      <c r="C411" s="3" t="s">
        <v>6985</v>
      </c>
      <c r="D411" s="3" t="s">
        <v>2117</v>
      </c>
      <c r="E411" s="3">
        <v>410</v>
      </c>
      <c r="F411" s="3" t="s">
        <v>1829</v>
      </c>
      <c r="G411" s="3" t="s">
        <v>20</v>
      </c>
      <c r="H411" s="3" t="s">
        <v>2162</v>
      </c>
    </row>
    <row r="412" spans="1:8" x14ac:dyDescent="0.25">
      <c r="A412" s="3" t="s">
        <v>6983</v>
      </c>
      <c r="B412" s="3" t="s">
        <v>6987</v>
      </c>
      <c r="C412" s="3" t="s">
        <v>6985</v>
      </c>
      <c r="D412" s="3" t="s">
        <v>2117</v>
      </c>
      <c r="E412" s="3">
        <v>411</v>
      </c>
      <c r="F412" s="3" t="s">
        <v>1830</v>
      </c>
      <c r="G412" s="3" t="s">
        <v>1093</v>
      </c>
      <c r="H412" s="3" t="s">
        <v>2162</v>
      </c>
    </row>
    <row r="413" spans="1:8" x14ac:dyDescent="0.25">
      <c r="A413" s="3" t="s">
        <v>6983</v>
      </c>
      <c r="B413" s="3" t="s">
        <v>6987</v>
      </c>
      <c r="C413" s="3" t="s">
        <v>6985</v>
      </c>
      <c r="D413" s="3" t="s">
        <v>2117</v>
      </c>
      <c r="E413" s="3">
        <v>412</v>
      </c>
      <c r="F413" s="3" t="s">
        <v>1831</v>
      </c>
      <c r="G413" s="3" t="s">
        <v>1093</v>
      </c>
      <c r="H413" s="3" t="s">
        <v>2162</v>
      </c>
    </row>
    <row r="414" spans="1:8" x14ac:dyDescent="0.25">
      <c r="A414" s="3" t="s">
        <v>6983</v>
      </c>
      <c r="B414" s="3" t="s">
        <v>6987</v>
      </c>
      <c r="C414" s="3" t="s">
        <v>6985</v>
      </c>
      <c r="D414" s="3" t="s">
        <v>2118</v>
      </c>
      <c r="E414" s="3">
        <v>413</v>
      </c>
      <c r="F414" s="3" t="s">
        <v>1832</v>
      </c>
      <c r="G414" s="3" t="s">
        <v>20</v>
      </c>
      <c r="H414" s="3" t="s">
        <v>2163</v>
      </c>
    </row>
    <row r="415" spans="1:8" x14ac:dyDescent="0.25">
      <c r="A415" s="3" t="s">
        <v>6983</v>
      </c>
      <c r="B415" s="3" t="s">
        <v>6987</v>
      </c>
      <c r="C415" s="3" t="s">
        <v>6985</v>
      </c>
      <c r="D415" s="3" t="s">
        <v>2118</v>
      </c>
      <c r="E415" s="3">
        <v>414</v>
      </c>
      <c r="F415" s="3" t="s">
        <v>1833</v>
      </c>
      <c r="G415" s="3" t="s">
        <v>20</v>
      </c>
      <c r="H415" s="3" t="s">
        <v>2163</v>
      </c>
    </row>
    <row r="416" spans="1:8" x14ac:dyDescent="0.25">
      <c r="A416" s="3" t="s">
        <v>6983</v>
      </c>
      <c r="B416" s="3" t="s">
        <v>6987</v>
      </c>
      <c r="C416" s="3" t="s">
        <v>6985</v>
      </c>
      <c r="D416" s="3" t="s">
        <v>2118</v>
      </c>
      <c r="E416" s="3">
        <v>415</v>
      </c>
      <c r="F416" s="3" t="s">
        <v>1834</v>
      </c>
      <c r="G416" s="3" t="s">
        <v>20</v>
      </c>
      <c r="H416" s="3" t="s">
        <v>2163</v>
      </c>
    </row>
    <row r="417" spans="1:8" x14ac:dyDescent="0.25">
      <c r="A417" s="3" t="s">
        <v>6983</v>
      </c>
      <c r="B417" s="3" t="s">
        <v>6987</v>
      </c>
      <c r="C417" s="3" t="s">
        <v>6985</v>
      </c>
      <c r="D417" s="3" t="s">
        <v>2118</v>
      </c>
      <c r="E417" s="3">
        <v>416</v>
      </c>
      <c r="F417" s="3" t="s">
        <v>1835</v>
      </c>
      <c r="G417" s="3" t="s">
        <v>20</v>
      </c>
      <c r="H417" s="3" t="s">
        <v>2163</v>
      </c>
    </row>
    <row r="418" spans="1:8" x14ac:dyDescent="0.25">
      <c r="A418" s="3" t="s">
        <v>6983</v>
      </c>
      <c r="B418" s="3" t="s">
        <v>6987</v>
      </c>
      <c r="C418" s="3" t="s">
        <v>6985</v>
      </c>
      <c r="D418" s="3" t="s">
        <v>2118</v>
      </c>
      <c r="E418" s="3">
        <v>417</v>
      </c>
      <c r="F418" s="3" t="s">
        <v>1836</v>
      </c>
      <c r="G418" s="3" t="s">
        <v>20</v>
      </c>
      <c r="H418" s="3" t="s">
        <v>2163</v>
      </c>
    </row>
    <row r="419" spans="1:8" x14ac:dyDescent="0.25">
      <c r="A419" s="3" t="s">
        <v>6983</v>
      </c>
      <c r="B419" s="3" t="s">
        <v>6987</v>
      </c>
      <c r="C419" s="3" t="s">
        <v>6985</v>
      </c>
      <c r="D419" s="3" t="s">
        <v>2118</v>
      </c>
      <c r="E419" s="3">
        <v>418</v>
      </c>
      <c r="F419" s="3" t="s">
        <v>1837</v>
      </c>
      <c r="G419" s="3" t="s">
        <v>20</v>
      </c>
      <c r="H419" s="3" t="s">
        <v>2163</v>
      </c>
    </row>
    <row r="420" spans="1:8" x14ac:dyDescent="0.25">
      <c r="A420" s="3" t="s">
        <v>6983</v>
      </c>
      <c r="B420" s="3" t="s">
        <v>6987</v>
      </c>
      <c r="C420" s="3" t="s">
        <v>6985</v>
      </c>
      <c r="D420" s="3" t="s">
        <v>2118</v>
      </c>
      <c r="E420" s="3">
        <v>419</v>
      </c>
      <c r="F420" s="3" t="s">
        <v>1838</v>
      </c>
      <c r="G420" s="3" t="s">
        <v>20</v>
      </c>
      <c r="H420" s="3" t="s">
        <v>2163</v>
      </c>
    </row>
    <row r="421" spans="1:8" x14ac:dyDescent="0.25">
      <c r="A421" s="3" t="s">
        <v>6983</v>
      </c>
      <c r="B421" s="3" t="s">
        <v>6987</v>
      </c>
      <c r="C421" s="3" t="s">
        <v>6985</v>
      </c>
      <c r="D421" s="3" t="s">
        <v>2118</v>
      </c>
      <c r="E421" s="3">
        <v>420</v>
      </c>
      <c r="F421" s="3" t="s">
        <v>1839</v>
      </c>
      <c r="G421" s="3" t="s">
        <v>20</v>
      </c>
      <c r="H421" s="3" t="s">
        <v>2163</v>
      </c>
    </row>
    <row r="422" spans="1:8" x14ac:dyDescent="0.25">
      <c r="A422" s="3" t="s">
        <v>6983</v>
      </c>
      <c r="B422" s="3" t="s">
        <v>6987</v>
      </c>
      <c r="C422" s="3" t="s">
        <v>6985</v>
      </c>
      <c r="D422" s="3" t="s">
        <v>2118</v>
      </c>
      <c r="E422" s="3">
        <v>421</v>
      </c>
      <c r="F422" s="3" t="s">
        <v>1840</v>
      </c>
      <c r="G422" s="3" t="s">
        <v>20</v>
      </c>
      <c r="H422" s="3" t="s">
        <v>2163</v>
      </c>
    </row>
    <row r="423" spans="1:8" x14ac:dyDescent="0.25">
      <c r="A423" s="3" t="s">
        <v>6983</v>
      </c>
      <c r="B423" s="3" t="s">
        <v>6987</v>
      </c>
      <c r="C423" s="3" t="s">
        <v>6985</v>
      </c>
      <c r="D423" s="3" t="s">
        <v>2118</v>
      </c>
      <c r="E423" s="3">
        <v>422</v>
      </c>
      <c r="F423" s="3" t="s">
        <v>1841</v>
      </c>
      <c r="G423" s="3" t="s">
        <v>20</v>
      </c>
      <c r="H423" s="3" t="s">
        <v>2163</v>
      </c>
    </row>
    <row r="424" spans="1:8" x14ac:dyDescent="0.25">
      <c r="A424" s="3" t="s">
        <v>6983</v>
      </c>
      <c r="B424" s="3" t="s">
        <v>6987</v>
      </c>
      <c r="C424" s="3" t="s">
        <v>6985</v>
      </c>
      <c r="D424" s="3" t="s">
        <v>2118</v>
      </c>
      <c r="E424" s="3">
        <v>423</v>
      </c>
      <c r="F424" s="3" t="s">
        <v>1842</v>
      </c>
      <c r="G424" s="3" t="s">
        <v>20</v>
      </c>
      <c r="H424" s="3" t="s">
        <v>2163</v>
      </c>
    </row>
    <row r="425" spans="1:8" x14ac:dyDescent="0.25">
      <c r="A425" s="3" t="s">
        <v>6983</v>
      </c>
      <c r="B425" s="3" t="s">
        <v>6987</v>
      </c>
      <c r="C425" s="3" t="s">
        <v>6985</v>
      </c>
      <c r="D425" s="3" t="s">
        <v>2118</v>
      </c>
      <c r="E425" s="3">
        <v>424</v>
      </c>
      <c r="F425" s="3" t="s">
        <v>1843</v>
      </c>
      <c r="G425" s="3" t="s">
        <v>20</v>
      </c>
      <c r="H425" s="3" t="s">
        <v>2163</v>
      </c>
    </row>
    <row r="426" spans="1:8" x14ac:dyDescent="0.25">
      <c r="A426" s="3" t="s">
        <v>6983</v>
      </c>
      <c r="B426" s="3" t="s">
        <v>6987</v>
      </c>
      <c r="C426" s="3" t="s">
        <v>6985</v>
      </c>
      <c r="D426" s="3" t="s">
        <v>2118</v>
      </c>
      <c r="E426" s="3">
        <v>425</v>
      </c>
      <c r="F426" s="3" t="s">
        <v>1844</v>
      </c>
      <c r="G426" s="3" t="s">
        <v>20</v>
      </c>
      <c r="H426" s="3" t="s">
        <v>2163</v>
      </c>
    </row>
    <row r="427" spans="1:8" x14ac:dyDescent="0.25">
      <c r="A427" s="3" t="s">
        <v>6983</v>
      </c>
      <c r="B427" s="3" t="s">
        <v>6987</v>
      </c>
      <c r="C427" s="3" t="s">
        <v>6985</v>
      </c>
      <c r="D427" s="3" t="s">
        <v>2118</v>
      </c>
      <c r="E427" s="3">
        <v>426</v>
      </c>
      <c r="F427" s="3" t="s">
        <v>1845</v>
      </c>
      <c r="G427" s="3" t="s">
        <v>20</v>
      </c>
      <c r="H427" s="3" t="s">
        <v>2163</v>
      </c>
    </row>
    <row r="428" spans="1:8" x14ac:dyDescent="0.25">
      <c r="A428" s="3" t="s">
        <v>6983</v>
      </c>
      <c r="B428" s="3" t="s">
        <v>6987</v>
      </c>
      <c r="C428" s="3" t="s">
        <v>6985</v>
      </c>
      <c r="D428" s="3" t="s">
        <v>2118</v>
      </c>
      <c r="E428" s="3">
        <v>427</v>
      </c>
      <c r="F428" s="3" t="s">
        <v>1846</v>
      </c>
      <c r="G428" s="3" t="s">
        <v>20</v>
      </c>
      <c r="H428" s="3" t="s">
        <v>2163</v>
      </c>
    </row>
    <row r="429" spans="1:8" x14ac:dyDescent="0.25">
      <c r="A429" s="3" t="s">
        <v>6983</v>
      </c>
      <c r="B429" s="3" t="s">
        <v>6987</v>
      </c>
      <c r="C429" s="3" t="s">
        <v>6985</v>
      </c>
      <c r="D429" s="3" t="s">
        <v>2118</v>
      </c>
      <c r="E429" s="3">
        <v>428</v>
      </c>
      <c r="F429" s="3" t="s">
        <v>1847</v>
      </c>
      <c r="G429" s="3" t="s">
        <v>20</v>
      </c>
      <c r="H429" s="3" t="s">
        <v>2163</v>
      </c>
    </row>
    <row r="430" spans="1:8" x14ac:dyDescent="0.25">
      <c r="A430" s="3" t="s">
        <v>6983</v>
      </c>
      <c r="B430" s="3" t="s">
        <v>6987</v>
      </c>
      <c r="C430" s="3" t="s">
        <v>6985</v>
      </c>
      <c r="D430" s="3" t="s">
        <v>2118</v>
      </c>
      <c r="E430" s="3">
        <v>429</v>
      </c>
      <c r="F430" s="3" t="s">
        <v>1848</v>
      </c>
      <c r="G430" s="3" t="s">
        <v>20</v>
      </c>
      <c r="H430" s="3" t="s">
        <v>2163</v>
      </c>
    </row>
    <row r="431" spans="1:8" x14ac:dyDescent="0.25">
      <c r="A431" s="3" t="s">
        <v>6983</v>
      </c>
      <c r="B431" s="3" t="s">
        <v>6987</v>
      </c>
      <c r="C431" s="3" t="s">
        <v>6985</v>
      </c>
      <c r="D431" s="3" t="s">
        <v>2118</v>
      </c>
      <c r="E431" s="3">
        <v>430</v>
      </c>
      <c r="F431" s="3" t="s">
        <v>1849</v>
      </c>
      <c r="G431" s="3" t="s">
        <v>20</v>
      </c>
      <c r="H431" s="3" t="s">
        <v>2163</v>
      </c>
    </row>
    <row r="432" spans="1:8" x14ac:dyDescent="0.25">
      <c r="A432" s="3" t="s">
        <v>6983</v>
      </c>
      <c r="B432" s="3" t="s">
        <v>6987</v>
      </c>
      <c r="C432" s="3" t="s">
        <v>6985</v>
      </c>
      <c r="D432" s="3" t="s">
        <v>2118</v>
      </c>
      <c r="E432" s="3">
        <v>431</v>
      </c>
      <c r="F432" s="3" t="s">
        <v>1850</v>
      </c>
      <c r="G432" s="3" t="s">
        <v>20</v>
      </c>
      <c r="H432" s="3" t="s">
        <v>2163</v>
      </c>
    </row>
    <row r="433" spans="1:8" x14ac:dyDescent="0.25">
      <c r="A433" s="3" t="s">
        <v>6983</v>
      </c>
      <c r="B433" s="3" t="s">
        <v>6987</v>
      </c>
      <c r="C433" s="3" t="s">
        <v>6985</v>
      </c>
      <c r="D433" s="3" t="s">
        <v>2118</v>
      </c>
      <c r="E433" s="3">
        <v>432</v>
      </c>
      <c r="F433" s="3" t="s">
        <v>1851</v>
      </c>
      <c r="G433" s="3" t="s">
        <v>20</v>
      </c>
      <c r="H433" s="3" t="s">
        <v>2163</v>
      </c>
    </row>
    <row r="434" spans="1:8" x14ac:dyDescent="0.25">
      <c r="A434" s="3" t="s">
        <v>6983</v>
      </c>
      <c r="B434" s="3" t="s">
        <v>6987</v>
      </c>
      <c r="C434" s="3" t="s">
        <v>6985</v>
      </c>
      <c r="D434" s="3" t="s">
        <v>2118</v>
      </c>
      <c r="E434" s="3">
        <v>433</v>
      </c>
      <c r="F434" s="3" t="s">
        <v>1852</v>
      </c>
      <c r="G434" s="3" t="s">
        <v>20</v>
      </c>
      <c r="H434" s="3" t="s">
        <v>2163</v>
      </c>
    </row>
    <row r="435" spans="1:8" x14ac:dyDescent="0.25">
      <c r="A435" s="3" t="s">
        <v>6983</v>
      </c>
      <c r="B435" s="3" t="s">
        <v>6987</v>
      </c>
      <c r="C435" s="3" t="s">
        <v>6985</v>
      </c>
      <c r="D435" s="3" t="s">
        <v>2118</v>
      </c>
      <c r="E435" s="3">
        <v>434</v>
      </c>
      <c r="F435" s="3" t="s">
        <v>1853</v>
      </c>
      <c r="G435" s="3" t="s">
        <v>20</v>
      </c>
      <c r="H435" s="3" t="s">
        <v>2163</v>
      </c>
    </row>
    <row r="436" spans="1:8" x14ac:dyDescent="0.25">
      <c r="A436" s="3" t="s">
        <v>6983</v>
      </c>
      <c r="B436" s="3" t="s">
        <v>6987</v>
      </c>
      <c r="C436" s="3" t="s">
        <v>6985</v>
      </c>
      <c r="D436" s="3" t="s">
        <v>2118</v>
      </c>
      <c r="E436" s="3">
        <v>435</v>
      </c>
      <c r="F436" s="3" t="s">
        <v>1854</v>
      </c>
      <c r="G436" s="3" t="s">
        <v>20</v>
      </c>
      <c r="H436" s="3" t="s">
        <v>2163</v>
      </c>
    </row>
    <row r="437" spans="1:8" x14ac:dyDescent="0.25">
      <c r="A437" s="3" t="s">
        <v>6983</v>
      </c>
      <c r="B437" s="3" t="s">
        <v>6987</v>
      </c>
      <c r="C437" s="3" t="s">
        <v>6985</v>
      </c>
      <c r="D437" s="3" t="s">
        <v>2118</v>
      </c>
      <c r="E437" s="3">
        <v>436</v>
      </c>
      <c r="F437" s="3" t="s">
        <v>1855</v>
      </c>
      <c r="G437" s="3" t="s">
        <v>20</v>
      </c>
      <c r="H437" s="3" t="s">
        <v>2163</v>
      </c>
    </row>
    <row r="438" spans="1:8" x14ac:dyDescent="0.25">
      <c r="A438" s="3" t="s">
        <v>6983</v>
      </c>
      <c r="B438" s="3" t="s">
        <v>6987</v>
      </c>
      <c r="C438" s="3" t="s">
        <v>6985</v>
      </c>
      <c r="D438" s="3" t="s">
        <v>2118</v>
      </c>
      <c r="E438" s="3">
        <v>437</v>
      </c>
      <c r="F438" s="3" t="s">
        <v>1856</v>
      </c>
      <c r="G438" s="3" t="s">
        <v>20</v>
      </c>
      <c r="H438" s="3" t="s">
        <v>2163</v>
      </c>
    </row>
    <row r="439" spans="1:8" x14ac:dyDescent="0.25">
      <c r="A439" s="3" t="s">
        <v>6983</v>
      </c>
      <c r="B439" s="3" t="s">
        <v>6987</v>
      </c>
      <c r="C439" s="3" t="s">
        <v>6985</v>
      </c>
      <c r="D439" s="3" t="s">
        <v>2118</v>
      </c>
      <c r="E439" s="3">
        <v>438</v>
      </c>
      <c r="F439" s="3" t="s">
        <v>1857</v>
      </c>
      <c r="G439" s="3" t="s">
        <v>20</v>
      </c>
      <c r="H439" s="3" t="s">
        <v>2163</v>
      </c>
    </row>
    <row r="440" spans="1:8" x14ac:dyDescent="0.25">
      <c r="A440" s="3" t="s">
        <v>6983</v>
      </c>
      <c r="B440" s="3" t="s">
        <v>6987</v>
      </c>
      <c r="C440" s="3" t="s">
        <v>6985</v>
      </c>
      <c r="D440" s="3" t="s">
        <v>2118</v>
      </c>
      <c r="E440" s="3">
        <v>439</v>
      </c>
      <c r="F440" s="3" t="s">
        <v>1858</v>
      </c>
      <c r="G440" s="3" t="s">
        <v>20</v>
      </c>
      <c r="H440" s="3" t="s">
        <v>2163</v>
      </c>
    </row>
    <row r="441" spans="1:8" x14ac:dyDescent="0.25">
      <c r="A441" s="3" t="s">
        <v>6983</v>
      </c>
      <c r="B441" s="3" t="s">
        <v>6987</v>
      </c>
      <c r="C441" s="3" t="s">
        <v>6985</v>
      </c>
      <c r="D441" s="3" t="s">
        <v>2118</v>
      </c>
      <c r="E441" s="3">
        <v>440</v>
      </c>
      <c r="F441" s="3" t="s">
        <v>1859</v>
      </c>
      <c r="G441" s="3" t="s">
        <v>20</v>
      </c>
      <c r="H441" s="3" t="s">
        <v>2163</v>
      </c>
    </row>
    <row r="442" spans="1:8" x14ac:dyDescent="0.25">
      <c r="A442" s="3" t="s">
        <v>6983</v>
      </c>
      <c r="B442" s="3" t="s">
        <v>6987</v>
      </c>
      <c r="C442" s="3" t="s">
        <v>6985</v>
      </c>
      <c r="D442" s="3" t="s">
        <v>2118</v>
      </c>
      <c r="E442" s="3">
        <v>441</v>
      </c>
      <c r="F442" s="3" t="s">
        <v>1860</v>
      </c>
      <c r="G442" s="3" t="s">
        <v>20</v>
      </c>
      <c r="H442" s="3" t="s">
        <v>2163</v>
      </c>
    </row>
    <row r="443" spans="1:8" x14ac:dyDescent="0.25">
      <c r="A443" s="3" t="s">
        <v>6983</v>
      </c>
      <c r="B443" s="3" t="s">
        <v>6987</v>
      </c>
      <c r="C443" s="3" t="s">
        <v>6985</v>
      </c>
      <c r="D443" s="3" t="s">
        <v>2118</v>
      </c>
      <c r="E443" s="3">
        <v>442</v>
      </c>
      <c r="F443" s="3" t="s">
        <v>1861</v>
      </c>
      <c r="G443" s="3" t="s">
        <v>20</v>
      </c>
      <c r="H443" s="3" t="s">
        <v>2163</v>
      </c>
    </row>
    <row r="444" spans="1:8" x14ac:dyDescent="0.25">
      <c r="A444" s="3" t="s">
        <v>6983</v>
      </c>
      <c r="B444" s="3" t="s">
        <v>6987</v>
      </c>
      <c r="C444" s="3" t="s">
        <v>6985</v>
      </c>
      <c r="D444" s="3" t="s">
        <v>2118</v>
      </c>
      <c r="E444" s="3">
        <v>443</v>
      </c>
      <c r="F444" s="3" t="s">
        <v>1862</v>
      </c>
      <c r="G444" s="3" t="s">
        <v>20</v>
      </c>
      <c r="H444" s="3" t="s">
        <v>2163</v>
      </c>
    </row>
    <row r="445" spans="1:8" x14ac:dyDescent="0.25">
      <c r="A445" s="3" t="s">
        <v>6983</v>
      </c>
      <c r="B445" s="3" t="s">
        <v>6987</v>
      </c>
      <c r="C445" s="3" t="s">
        <v>6985</v>
      </c>
      <c r="D445" s="3" t="s">
        <v>2118</v>
      </c>
      <c r="E445" s="3">
        <v>444</v>
      </c>
      <c r="F445" s="3" t="s">
        <v>1863</v>
      </c>
      <c r="G445" s="3" t="s">
        <v>20</v>
      </c>
      <c r="H445" s="3" t="s">
        <v>2163</v>
      </c>
    </row>
    <row r="446" spans="1:8" x14ac:dyDescent="0.25">
      <c r="A446" s="3" t="s">
        <v>6983</v>
      </c>
      <c r="B446" s="3" t="s">
        <v>6987</v>
      </c>
      <c r="C446" s="3" t="s">
        <v>6985</v>
      </c>
      <c r="D446" s="3" t="s">
        <v>2118</v>
      </c>
      <c r="E446" s="3">
        <v>445</v>
      </c>
      <c r="F446" s="3" t="s">
        <v>1864</v>
      </c>
      <c r="G446" s="3" t="s">
        <v>20</v>
      </c>
      <c r="H446" s="3" t="s">
        <v>2163</v>
      </c>
    </row>
    <row r="447" spans="1:8" x14ac:dyDescent="0.25">
      <c r="A447" s="3" t="s">
        <v>6983</v>
      </c>
      <c r="B447" s="3" t="s">
        <v>6987</v>
      </c>
      <c r="C447" s="3" t="s">
        <v>6985</v>
      </c>
      <c r="D447" s="3" t="s">
        <v>2118</v>
      </c>
      <c r="E447" s="3">
        <v>446</v>
      </c>
      <c r="F447" s="3" t="s">
        <v>1865</v>
      </c>
      <c r="G447" s="3" t="s">
        <v>20</v>
      </c>
      <c r="H447" s="3" t="s">
        <v>2163</v>
      </c>
    </row>
    <row r="448" spans="1:8" x14ac:dyDescent="0.25">
      <c r="A448" s="3" t="s">
        <v>6983</v>
      </c>
      <c r="B448" s="3" t="s">
        <v>6987</v>
      </c>
      <c r="C448" s="3" t="s">
        <v>6985</v>
      </c>
      <c r="D448" s="3" t="s">
        <v>2118</v>
      </c>
      <c r="E448" s="3">
        <v>447</v>
      </c>
      <c r="F448" s="3" t="s">
        <v>1866</v>
      </c>
      <c r="G448" s="3" t="s">
        <v>20</v>
      </c>
      <c r="H448" s="3" t="s">
        <v>2163</v>
      </c>
    </row>
    <row r="449" spans="1:8" x14ac:dyDescent="0.25">
      <c r="A449" s="3" t="s">
        <v>6983</v>
      </c>
      <c r="B449" s="3" t="s">
        <v>6987</v>
      </c>
      <c r="C449" s="3" t="s">
        <v>6985</v>
      </c>
      <c r="D449" s="3" t="s">
        <v>2118</v>
      </c>
      <c r="E449" s="3">
        <v>448</v>
      </c>
      <c r="F449" s="3" t="s">
        <v>1867</v>
      </c>
      <c r="G449" s="3" t="s">
        <v>20</v>
      </c>
      <c r="H449" s="3" t="s">
        <v>2163</v>
      </c>
    </row>
    <row r="450" spans="1:8" x14ac:dyDescent="0.25">
      <c r="A450" s="3" t="s">
        <v>6983</v>
      </c>
      <c r="B450" s="3" t="s">
        <v>6987</v>
      </c>
      <c r="C450" s="3" t="s">
        <v>6985</v>
      </c>
      <c r="D450" s="3" t="s">
        <v>2118</v>
      </c>
      <c r="E450" s="3">
        <v>449</v>
      </c>
      <c r="F450" s="3" t="s">
        <v>1868</v>
      </c>
      <c r="G450" s="3" t="s">
        <v>20</v>
      </c>
      <c r="H450" s="3" t="s">
        <v>2163</v>
      </c>
    </row>
    <row r="451" spans="1:8" x14ac:dyDescent="0.25">
      <c r="A451" s="3" t="s">
        <v>6983</v>
      </c>
      <c r="B451" s="3" t="s">
        <v>6987</v>
      </c>
      <c r="C451" s="3" t="s">
        <v>6985</v>
      </c>
      <c r="D451" s="3" t="s">
        <v>2118</v>
      </c>
      <c r="E451" s="3">
        <v>450</v>
      </c>
      <c r="F451" s="3" t="s">
        <v>1869</v>
      </c>
      <c r="G451" s="3" t="s">
        <v>20</v>
      </c>
      <c r="H451" s="3" t="s">
        <v>2163</v>
      </c>
    </row>
    <row r="452" spans="1:8" x14ac:dyDescent="0.25">
      <c r="A452" s="3" t="s">
        <v>6983</v>
      </c>
      <c r="B452" s="3" t="s">
        <v>6987</v>
      </c>
      <c r="C452" s="3" t="s">
        <v>6985</v>
      </c>
      <c r="D452" s="3" t="s">
        <v>2118</v>
      </c>
      <c r="E452" s="3">
        <v>451</v>
      </c>
      <c r="F452" s="3" t="s">
        <v>1870</v>
      </c>
      <c r="G452" s="3" t="s">
        <v>20</v>
      </c>
      <c r="H452" s="3" t="s">
        <v>2163</v>
      </c>
    </row>
    <row r="453" spans="1:8" x14ac:dyDescent="0.25">
      <c r="A453" s="3" t="s">
        <v>6983</v>
      </c>
      <c r="B453" s="3" t="s">
        <v>6987</v>
      </c>
      <c r="C453" s="3" t="s">
        <v>6985</v>
      </c>
      <c r="D453" s="3" t="s">
        <v>2118</v>
      </c>
      <c r="E453" s="3">
        <v>452</v>
      </c>
      <c r="F453" s="3" t="s">
        <v>1871</v>
      </c>
      <c r="G453" s="3" t="s">
        <v>20</v>
      </c>
      <c r="H453" s="3" t="s">
        <v>2163</v>
      </c>
    </row>
    <row r="454" spans="1:8" x14ac:dyDescent="0.25">
      <c r="A454" s="3" t="s">
        <v>6983</v>
      </c>
      <c r="B454" s="3" t="s">
        <v>6987</v>
      </c>
      <c r="C454" s="3" t="s">
        <v>6985</v>
      </c>
      <c r="D454" s="3" t="s">
        <v>2118</v>
      </c>
      <c r="E454" s="3">
        <v>453</v>
      </c>
      <c r="F454" s="3" t="s">
        <v>1872</v>
      </c>
      <c r="G454" s="3" t="s">
        <v>20</v>
      </c>
      <c r="H454" s="3" t="s">
        <v>2163</v>
      </c>
    </row>
    <row r="455" spans="1:8" x14ac:dyDescent="0.25">
      <c r="A455" s="3" t="s">
        <v>6983</v>
      </c>
      <c r="B455" s="3" t="s">
        <v>6987</v>
      </c>
      <c r="C455" s="3" t="s">
        <v>6985</v>
      </c>
      <c r="D455" s="3" t="s">
        <v>2118</v>
      </c>
      <c r="E455" s="3">
        <v>454</v>
      </c>
      <c r="F455" s="3" t="s">
        <v>1873</v>
      </c>
      <c r="G455" s="3" t="s">
        <v>20</v>
      </c>
      <c r="H455" s="3" t="s">
        <v>2163</v>
      </c>
    </row>
    <row r="456" spans="1:8" x14ac:dyDescent="0.25">
      <c r="A456" s="3" t="s">
        <v>6983</v>
      </c>
      <c r="B456" s="3" t="s">
        <v>6987</v>
      </c>
      <c r="C456" s="3" t="s">
        <v>6985</v>
      </c>
      <c r="D456" s="3" t="s">
        <v>2118</v>
      </c>
      <c r="E456" s="3">
        <v>455</v>
      </c>
      <c r="F456" s="3" t="s">
        <v>1874</v>
      </c>
      <c r="G456" s="3" t="s">
        <v>20</v>
      </c>
      <c r="H456" s="3" t="s">
        <v>2163</v>
      </c>
    </row>
    <row r="457" spans="1:8" x14ac:dyDescent="0.25">
      <c r="A457" s="3" t="s">
        <v>6983</v>
      </c>
      <c r="B457" s="3" t="s">
        <v>6987</v>
      </c>
      <c r="C457" s="3" t="s">
        <v>6985</v>
      </c>
      <c r="D457" s="3" t="s">
        <v>2118</v>
      </c>
      <c r="E457" s="3">
        <v>456</v>
      </c>
      <c r="F457" s="3" t="s">
        <v>1875</v>
      </c>
      <c r="G457" s="3" t="s">
        <v>20</v>
      </c>
      <c r="H457" s="3" t="s">
        <v>2163</v>
      </c>
    </row>
    <row r="458" spans="1:8" x14ac:dyDescent="0.25">
      <c r="A458" s="3" t="s">
        <v>6983</v>
      </c>
      <c r="B458" s="3" t="s">
        <v>6987</v>
      </c>
      <c r="C458" s="3" t="s">
        <v>6985</v>
      </c>
      <c r="D458" s="3" t="s">
        <v>2118</v>
      </c>
      <c r="E458" s="3">
        <v>457</v>
      </c>
      <c r="F458" s="3" t="s">
        <v>1876</v>
      </c>
      <c r="G458" s="3" t="s">
        <v>20</v>
      </c>
      <c r="H458" s="3" t="s">
        <v>2163</v>
      </c>
    </row>
    <row r="459" spans="1:8" x14ac:dyDescent="0.25">
      <c r="A459" s="3" t="s">
        <v>6983</v>
      </c>
      <c r="B459" s="3" t="s">
        <v>6987</v>
      </c>
      <c r="C459" s="3" t="s">
        <v>6985</v>
      </c>
      <c r="D459" s="3" t="s">
        <v>2118</v>
      </c>
      <c r="E459" s="3">
        <v>458</v>
      </c>
      <c r="F459" s="3" t="s">
        <v>1877</v>
      </c>
      <c r="G459" s="3" t="s">
        <v>20</v>
      </c>
      <c r="H459" s="3" t="s">
        <v>2163</v>
      </c>
    </row>
    <row r="460" spans="1:8" x14ac:dyDescent="0.25">
      <c r="A460" s="3" t="s">
        <v>6983</v>
      </c>
      <c r="B460" s="3" t="s">
        <v>6987</v>
      </c>
      <c r="C460" s="3" t="s">
        <v>6985</v>
      </c>
      <c r="D460" s="3" t="s">
        <v>2118</v>
      </c>
      <c r="E460" s="3">
        <v>459</v>
      </c>
      <c r="F460" s="3" t="s">
        <v>1878</v>
      </c>
      <c r="G460" s="3" t="s">
        <v>20</v>
      </c>
      <c r="H460" s="3" t="s">
        <v>2163</v>
      </c>
    </row>
    <row r="461" spans="1:8" x14ac:dyDescent="0.25">
      <c r="A461" s="3" t="s">
        <v>6983</v>
      </c>
      <c r="B461" s="3" t="s">
        <v>6987</v>
      </c>
      <c r="C461" s="3" t="s">
        <v>6985</v>
      </c>
      <c r="D461" s="3" t="s">
        <v>2118</v>
      </c>
      <c r="E461" s="3">
        <v>460</v>
      </c>
      <c r="F461" s="3" t="s">
        <v>1879</v>
      </c>
      <c r="G461" s="3" t="s">
        <v>20</v>
      </c>
      <c r="H461" s="3" t="s">
        <v>2163</v>
      </c>
    </row>
    <row r="462" spans="1:8" x14ac:dyDescent="0.25">
      <c r="A462" s="3" t="s">
        <v>6983</v>
      </c>
      <c r="B462" s="3" t="s">
        <v>6987</v>
      </c>
      <c r="C462" s="3" t="s">
        <v>6985</v>
      </c>
      <c r="D462" s="3" t="s">
        <v>2118</v>
      </c>
      <c r="E462" s="3">
        <v>461</v>
      </c>
      <c r="F462" s="3" t="s">
        <v>1880</v>
      </c>
      <c r="G462" s="3" t="s">
        <v>20</v>
      </c>
      <c r="H462" s="3" t="s">
        <v>2163</v>
      </c>
    </row>
    <row r="463" spans="1:8" x14ac:dyDescent="0.25">
      <c r="A463" s="3" t="s">
        <v>6983</v>
      </c>
      <c r="B463" s="3" t="s">
        <v>6987</v>
      </c>
      <c r="C463" s="3" t="s">
        <v>6985</v>
      </c>
      <c r="D463" s="3" t="s">
        <v>2118</v>
      </c>
      <c r="E463" s="3">
        <v>462</v>
      </c>
      <c r="F463" s="3" t="s">
        <v>1881</v>
      </c>
      <c r="G463" s="3" t="s">
        <v>20</v>
      </c>
      <c r="H463" s="3" t="s">
        <v>2163</v>
      </c>
    </row>
    <row r="464" spans="1:8" x14ac:dyDescent="0.25">
      <c r="A464" s="3" t="s">
        <v>6983</v>
      </c>
      <c r="B464" s="3" t="s">
        <v>6987</v>
      </c>
      <c r="C464" s="3" t="s">
        <v>6985</v>
      </c>
      <c r="D464" s="3" t="s">
        <v>2118</v>
      </c>
      <c r="E464" s="3">
        <v>463</v>
      </c>
      <c r="F464" s="3" t="s">
        <v>1882</v>
      </c>
      <c r="G464" s="3" t="s">
        <v>20</v>
      </c>
      <c r="H464" s="3" t="s">
        <v>2163</v>
      </c>
    </row>
    <row r="465" spans="1:8" x14ac:dyDescent="0.25">
      <c r="A465" s="3" t="s">
        <v>6983</v>
      </c>
      <c r="B465" s="3" t="s">
        <v>6987</v>
      </c>
      <c r="C465" s="3" t="s">
        <v>6985</v>
      </c>
      <c r="D465" s="3" t="s">
        <v>2118</v>
      </c>
      <c r="E465" s="3">
        <v>464</v>
      </c>
      <c r="F465" s="3" t="s">
        <v>1883</v>
      </c>
      <c r="G465" s="3" t="s">
        <v>20</v>
      </c>
      <c r="H465" s="3" t="s">
        <v>2163</v>
      </c>
    </row>
    <row r="466" spans="1:8" x14ac:dyDescent="0.25">
      <c r="A466" s="3" t="s">
        <v>6983</v>
      </c>
      <c r="B466" s="3" t="s">
        <v>6987</v>
      </c>
      <c r="C466" s="3" t="s">
        <v>6985</v>
      </c>
      <c r="D466" s="3" t="s">
        <v>2118</v>
      </c>
      <c r="E466" s="3">
        <v>465</v>
      </c>
      <c r="F466" s="3" t="s">
        <v>1884</v>
      </c>
      <c r="G466" s="3" t="s">
        <v>20</v>
      </c>
      <c r="H466" s="3" t="s">
        <v>2163</v>
      </c>
    </row>
    <row r="467" spans="1:8" x14ac:dyDescent="0.25">
      <c r="A467" s="3" t="s">
        <v>6983</v>
      </c>
      <c r="B467" s="3" t="s">
        <v>6987</v>
      </c>
      <c r="C467" s="3" t="s">
        <v>6985</v>
      </c>
      <c r="D467" s="3" t="s">
        <v>2118</v>
      </c>
      <c r="E467" s="3">
        <v>466</v>
      </c>
      <c r="F467" s="3" t="s">
        <v>1885</v>
      </c>
      <c r="G467" s="3" t="s">
        <v>1093</v>
      </c>
      <c r="H467" s="3" t="s">
        <v>2163</v>
      </c>
    </row>
    <row r="468" spans="1:8" x14ac:dyDescent="0.25">
      <c r="A468" s="3" t="s">
        <v>6983</v>
      </c>
      <c r="B468" s="3" t="s">
        <v>6987</v>
      </c>
      <c r="C468" s="3" t="s">
        <v>6985</v>
      </c>
      <c r="D468" s="3" t="s">
        <v>2118</v>
      </c>
      <c r="E468" s="3">
        <v>467</v>
      </c>
      <c r="F468" s="3" t="s">
        <v>1886</v>
      </c>
      <c r="G468" s="3" t="s">
        <v>12</v>
      </c>
      <c r="H468" s="3" t="s">
        <v>2163</v>
      </c>
    </row>
    <row r="469" spans="1:8" x14ac:dyDescent="0.25">
      <c r="A469" s="3" t="s">
        <v>6983</v>
      </c>
      <c r="B469" s="3" t="s">
        <v>6987</v>
      </c>
      <c r="C469" s="3" t="s">
        <v>6985</v>
      </c>
      <c r="D469" s="3" t="s">
        <v>2118</v>
      </c>
      <c r="E469" s="3">
        <v>468</v>
      </c>
      <c r="F469" s="3" t="s">
        <v>1887</v>
      </c>
      <c r="G469" s="3" t="s">
        <v>8</v>
      </c>
      <c r="H469" s="3" t="s">
        <v>2163</v>
      </c>
    </row>
    <row r="470" spans="1:8" x14ac:dyDescent="0.25">
      <c r="A470" s="3" t="s">
        <v>6983</v>
      </c>
      <c r="B470" s="3" t="s">
        <v>6987</v>
      </c>
      <c r="C470" s="3" t="s">
        <v>6985</v>
      </c>
      <c r="D470" s="3" t="s">
        <v>2118</v>
      </c>
      <c r="E470" s="3">
        <v>469</v>
      </c>
      <c r="F470" s="3" t="s">
        <v>1888</v>
      </c>
      <c r="G470" s="3" t="s">
        <v>1093</v>
      </c>
      <c r="H470" s="3" t="s">
        <v>2163</v>
      </c>
    </row>
    <row r="471" spans="1:8" x14ac:dyDescent="0.25">
      <c r="A471" s="3" t="s">
        <v>6983</v>
      </c>
      <c r="B471" s="3" t="s">
        <v>6987</v>
      </c>
      <c r="C471" s="3" t="s">
        <v>6985</v>
      </c>
      <c r="D471" s="3" t="s">
        <v>2118</v>
      </c>
      <c r="E471" s="3">
        <v>470</v>
      </c>
      <c r="F471" s="3" t="s">
        <v>1889</v>
      </c>
      <c r="G471" s="3" t="s">
        <v>12</v>
      </c>
      <c r="H471" s="3" t="s">
        <v>2163</v>
      </c>
    </row>
    <row r="472" spans="1:8" x14ac:dyDescent="0.25">
      <c r="A472" s="3" t="s">
        <v>6983</v>
      </c>
      <c r="B472" s="3" t="s">
        <v>6987</v>
      </c>
      <c r="C472" s="3" t="s">
        <v>6985</v>
      </c>
      <c r="D472" s="3" t="s">
        <v>2118</v>
      </c>
      <c r="E472" s="3">
        <v>471</v>
      </c>
      <c r="F472" s="3" t="s">
        <v>1890</v>
      </c>
      <c r="G472" s="3" t="s">
        <v>8</v>
      </c>
      <c r="H472" s="3" t="s">
        <v>2163</v>
      </c>
    </row>
    <row r="473" spans="1:8" x14ac:dyDescent="0.25">
      <c r="A473" s="3" t="s">
        <v>6983</v>
      </c>
      <c r="B473" s="3" t="s">
        <v>6987</v>
      </c>
      <c r="C473" s="3" t="s">
        <v>6985</v>
      </c>
      <c r="D473" s="3" t="s">
        <v>2118</v>
      </c>
      <c r="E473" s="3">
        <v>472</v>
      </c>
      <c r="F473" s="3" t="s">
        <v>1891</v>
      </c>
      <c r="G473" s="3" t="s">
        <v>20</v>
      </c>
      <c r="H473" s="3" t="s">
        <v>2163</v>
      </c>
    </row>
    <row r="474" spans="1:8" x14ac:dyDescent="0.25">
      <c r="A474" s="3" t="s">
        <v>6983</v>
      </c>
      <c r="B474" s="3" t="s">
        <v>6987</v>
      </c>
      <c r="C474" s="3" t="s">
        <v>6985</v>
      </c>
      <c r="D474" s="3" t="s">
        <v>2118</v>
      </c>
      <c r="E474" s="3">
        <v>473</v>
      </c>
      <c r="F474" s="3" t="s">
        <v>1892</v>
      </c>
      <c r="G474" s="3" t="s">
        <v>20</v>
      </c>
      <c r="H474" s="3" t="s">
        <v>2163</v>
      </c>
    </row>
    <row r="475" spans="1:8" x14ac:dyDescent="0.25">
      <c r="A475" s="3" t="s">
        <v>6983</v>
      </c>
      <c r="B475" s="3" t="s">
        <v>6987</v>
      </c>
      <c r="C475" s="3" t="s">
        <v>6985</v>
      </c>
      <c r="D475" s="3" t="s">
        <v>2118</v>
      </c>
      <c r="E475" s="3">
        <v>474</v>
      </c>
      <c r="F475" s="3" t="s">
        <v>1893</v>
      </c>
      <c r="G475" s="3" t="s">
        <v>20</v>
      </c>
      <c r="H475" s="3" t="s">
        <v>2163</v>
      </c>
    </row>
    <row r="476" spans="1:8" x14ac:dyDescent="0.25">
      <c r="A476" s="3" t="s">
        <v>6983</v>
      </c>
      <c r="B476" s="3" t="s">
        <v>6987</v>
      </c>
      <c r="C476" s="3" t="s">
        <v>6985</v>
      </c>
      <c r="D476" s="3" t="s">
        <v>2118</v>
      </c>
      <c r="E476" s="3">
        <v>475</v>
      </c>
      <c r="F476" s="3" t="s">
        <v>1894</v>
      </c>
      <c r="G476" s="3" t="s">
        <v>20</v>
      </c>
      <c r="H476" s="3" t="s">
        <v>2163</v>
      </c>
    </row>
    <row r="477" spans="1:8" x14ac:dyDescent="0.25">
      <c r="A477" s="3" t="s">
        <v>6983</v>
      </c>
      <c r="B477" s="3" t="s">
        <v>6987</v>
      </c>
      <c r="C477" s="3" t="s">
        <v>6985</v>
      </c>
      <c r="D477" s="3" t="s">
        <v>2118</v>
      </c>
      <c r="E477" s="3">
        <v>476</v>
      </c>
      <c r="F477" s="3" t="s">
        <v>1895</v>
      </c>
      <c r="G477" s="3" t="s">
        <v>1093</v>
      </c>
      <c r="H477" s="3" t="s">
        <v>2163</v>
      </c>
    </row>
    <row r="478" spans="1:8" x14ac:dyDescent="0.25">
      <c r="A478" s="3" t="s">
        <v>6983</v>
      </c>
      <c r="B478" s="3" t="s">
        <v>6987</v>
      </c>
      <c r="C478" s="3" t="s">
        <v>6985</v>
      </c>
      <c r="D478" s="3" t="s">
        <v>2118</v>
      </c>
      <c r="E478" s="3">
        <v>477</v>
      </c>
      <c r="F478" s="3" t="s">
        <v>1896</v>
      </c>
      <c r="G478" s="3" t="s">
        <v>1093</v>
      </c>
      <c r="H478" s="3" t="s">
        <v>2163</v>
      </c>
    </row>
    <row r="479" spans="1:8" x14ac:dyDescent="0.25">
      <c r="A479" s="3" t="s">
        <v>6983</v>
      </c>
      <c r="B479" s="3" t="s">
        <v>6987</v>
      </c>
      <c r="C479" s="3" t="s">
        <v>6985</v>
      </c>
      <c r="D479" s="3" t="s">
        <v>2119</v>
      </c>
      <c r="E479" s="3">
        <v>478</v>
      </c>
      <c r="F479" s="3" t="s">
        <v>1897</v>
      </c>
      <c r="G479" s="3" t="s">
        <v>20</v>
      </c>
      <c r="H479" s="3" t="s">
        <v>2164</v>
      </c>
    </row>
    <row r="480" spans="1:8" x14ac:dyDescent="0.25">
      <c r="A480" s="3" t="s">
        <v>6983</v>
      </c>
      <c r="B480" s="3" t="s">
        <v>6987</v>
      </c>
      <c r="C480" s="3" t="s">
        <v>6985</v>
      </c>
      <c r="D480" s="3" t="s">
        <v>2119</v>
      </c>
      <c r="E480" s="3">
        <v>479</v>
      </c>
      <c r="F480" s="3" t="s">
        <v>1898</v>
      </c>
      <c r="G480" s="3" t="s">
        <v>20</v>
      </c>
      <c r="H480" s="3" t="s">
        <v>2164</v>
      </c>
    </row>
    <row r="481" spans="1:8" x14ac:dyDescent="0.25">
      <c r="A481" s="3" t="s">
        <v>6983</v>
      </c>
      <c r="B481" s="3" t="s">
        <v>6987</v>
      </c>
      <c r="C481" s="3" t="s">
        <v>6985</v>
      </c>
      <c r="D481" s="3" t="s">
        <v>2119</v>
      </c>
      <c r="E481" s="3">
        <v>480</v>
      </c>
      <c r="F481" s="3" t="s">
        <v>1899</v>
      </c>
      <c r="G481" s="3" t="s">
        <v>20</v>
      </c>
      <c r="H481" s="3" t="s">
        <v>2164</v>
      </c>
    </row>
    <row r="482" spans="1:8" x14ac:dyDescent="0.25">
      <c r="A482" s="3" t="s">
        <v>6983</v>
      </c>
      <c r="B482" s="3" t="s">
        <v>6987</v>
      </c>
      <c r="C482" s="3" t="s">
        <v>6985</v>
      </c>
      <c r="D482" s="3" t="s">
        <v>2119</v>
      </c>
      <c r="E482" s="3">
        <v>481</v>
      </c>
      <c r="F482" s="3" t="s">
        <v>1900</v>
      </c>
      <c r="G482" s="3" t="s">
        <v>20</v>
      </c>
      <c r="H482" s="3" t="s">
        <v>2164</v>
      </c>
    </row>
    <row r="483" spans="1:8" x14ac:dyDescent="0.25">
      <c r="A483" s="3" t="s">
        <v>6983</v>
      </c>
      <c r="B483" s="3" t="s">
        <v>6987</v>
      </c>
      <c r="C483" s="3" t="s">
        <v>6985</v>
      </c>
      <c r="D483" s="3" t="s">
        <v>2119</v>
      </c>
      <c r="E483" s="3">
        <v>482</v>
      </c>
      <c r="F483" s="3" t="s">
        <v>1901</v>
      </c>
      <c r="G483" s="3" t="s">
        <v>20</v>
      </c>
      <c r="H483" s="3" t="s">
        <v>2164</v>
      </c>
    </row>
    <row r="484" spans="1:8" x14ac:dyDescent="0.25">
      <c r="A484" s="3" t="s">
        <v>6983</v>
      </c>
      <c r="B484" s="3" t="s">
        <v>6987</v>
      </c>
      <c r="C484" s="3" t="s">
        <v>6985</v>
      </c>
      <c r="D484" s="3" t="s">
        <v>2119</v>
      </c>
      <c r="E484" s="3">
        <v>483</v>
      </c>
      <c r="F484" s="3" t="s">
        <v>1902</v>
      </c>
      <c r="G484" s="3" t="s">
        <v>20</v>
      </c>
      <c r="H484" s="3" t="s">
        <v>2164</v>
      </c>
    </row>
    <row r="485" spans="1:8" x14ac:dyDescent="0.25">
      <c r="A485" s="3" t="s">
        <v>6983</v>
      </c>
      <c r="B485" s="3" t="s">
        <v>6987</v>
      </c>
      <c r="C485" s="3" t="s">
        <v>6985</v>
      </c>
      <c r="D485" s="3" t="s">
        <v>2119</v>
      </c>
      <c r="E485" s="3">
        <v>484</v>
      </c>
      <c r="F485" s="3" t="s">
        <v>1903</v>
      </c>
      <c r="G485" s="3" t="s">
        <v>20</v>
      </c>
      <c r="H485" s="3" t="s">
        <v>2164</v>
      </c>
    </row>
    <row r="486" spans="1:8" x14ac:dyDescent="0.25">
      <c r="A486" s="3" t="s">
        <v>6983</v>
      </c>
      <c r="B486" s="3" t="s">
        <v>6987</v>
      </c>
      <c r="C486" s="3" t="s">
        <v>6985</v>
      </c>
      <c r="D486" s="3" t="s">
        <v>2119</v>
      </c>
      <c r="E486" s="3">
        <v>485</v>
      </c>
      <c r="F486" s="3" t="s">
        <v>1904</v>
      </c>
      <c r="G486" s="3" t="s">
        <v>20</v>
      </c>
      <c r="H486" s="3" t="s">
        <v>2164</v>
      </c>
    </row>
    <row r="487" spans="1:8" x14ac:dyDescent="0.25">
      <c r="A487" s="3" t="s">
        <v>6983</v>
      </c>
      <c r="B487" s="3" t="s">
        <v>6987</v>
      </c>
      <c r="C487" s="3" t="s">
        <v>6985</v>
      </c>
      <c r="D487" s="3" t="s">
        <v>2119</v>
      </c>
      <c r="E487" s="3">
        <v>486</v>
      </c>
      <c r="F487" s="3" t="s">
        <v>1905</v>
      </c>
      <c r="G487" s="3" t="s">
        <v>20</v>
      </c>
      <c r="H487" s="3" t="s">
        <v>2164</v>
      </c>
    </row>
    <row r="488" spans="1:8" x14ac:dyDescent="0.25">
      <c r="A488" s="3" t="s">
        <v>6983</v>
      </c>
      <c r="B488" s="3" t="s">
        <v>6987</v>
      </c>
      <c r="C488" s="3" t="s">
        <v>6985</v>
      </c>
      <c r="D488" s="3" t="s">
        <v>2119</v>
      </c>
      <c r="E488" s="3">
        <v>487</v>
      </c>
      <c r="F488" s="3" t="s">
        <v>1906</v>
      </c>
      <c r="G488" s="3" t="s">
        <v>20</v>
      </c>
      <c r="H488" s="3" t="s">
        <v>2164</v>
      </c>
    </row>
    <row r="489" spans="1:8" x14ac:dyDescent="0.25">
      <c r="A489" s="3" t="s">
        <v>6983</v>
      </c>
      <c r="B489" s="3" t="s">
        <v>6987</v>
      </c>
      <c r="C489" s="3" t="s">
        <v>6985</v>
      </c>
      <c r="D489" s="3" t="s">
        <v>2119</v>
      </c>
      <c r="E489" s="3">
        <v>488</v>
      </c>
      <c r="F489" s="3" t="s">
        <v>1907</v>
      </c>
      <c r="G489" s="3" t="s">
        <v>20</v>
      </c>
      <c r="H489" s="3" t="s">
        <v>2164</v>
      </c>
    </row>
    <row r="490" spans="1:8" x14ac:dyDescent="0.25">
      <c r="A490" s="3" t="s">
        <v>6983</v>
      </c>
      <c r="B490" s="3" t="s">
        <v>6987</v>
      </c>
      <c r="C490" s="3" t="s">
        <v>6985</v>
      </c>
      <c r="D490" s="3" t="s">
        <v>2119</v>
      </c>
      <c r="E490" s="3">
        <v>489</v>
      </c>
      <c r="F490" s="3" t="s">
        <v>1908</v>
      </c>
      <c r="G490" s="3" t="s">
        <v>20</v>
      </c>
      <c r="H490" s="3" t="s">
        <v>2164</v>
      </c>
    </row>
    <row r="491" spans="1:8" x14ac:dyDescent="0.25">
      <c r="A491" s="3" t="s">
        <v>6983</v>
      </c>
      <c r="B491" s="3" t="s">
        <v>6987</v>
      </c>
      <c r="C491" s="3" t="s">
        <v>6985</v>
      </c>
      <c r="D491" s="3" t="s">
        <v>2119</v>
      </c>
      <c r="E491" s="3">
        <v>490</v>
      </c>
      <c r="F491" s="3" t="s">
        <v>1909</v>
      </c>
      <c r="G491" s="3" t="s">
        <v>20</v>
      </c>
      <c r="H491" s="3" t="s">
        <v>2164</v>
      </c>
    </row>
    <row r="492" spans="1:8" x14ac:dyDescent="0.25">
      <c r="A492" s="3" t="s">
        <v>6983</v>
      </c>
      <c r="B492" s="3" t="s">
        <v>6987</v>
      </c>
      <c r="C492" s="3" t="s">
        <v>6985</v>
      </c>
      <c r="D492" s="3" t="s">
        <v>2119</v>
      </c>
      <c r="E492" s="3">
        <v>491</v>
      </c>
      <c r="F492" s="3" t="s">
        <v>1910</v>
      </c>
      <c r="G492" s="3" t="s">
        <v>20</v>
      </c>
      <c r="H492" s="3" t="s">
        <v>2164</v>
      </c>
    </row>
    <row r="493" spans="1:8" x14ac:dyDescent="0.25">
      <c r="A493" s="3" t="s">
        <v>6983</v>
      </c>
      <c r="B493" s="3" t="s">
        <v>6987</v>
      </c>
      <c r="C493" s="3" t="s">
        <v>6985</v>
      </c>
      <c r="D493" s="3" t="s">
        <v>2119</v>
      </c>
      <c r="E493" s="3">
        <v>492</v>
      </c>
      <c r="F493" s="3" t="s">
        <v>1911</v>
      </c>
      <c r="G493" s="3" t="s">
        <v>20</v>
      </c>
      <c r="H493" s="3" t="s">
        <v>2164</v>
      </c>
    </row>
    <row r="494" spans="1:8" x14ac:dyDescent="0.25">
      <c r="A494" s="3" t="s">
        <v>6983</v>
      </c>
      <c r="B494" s="3" t="s">
        <v>6987</v>
      </c>
      <c r="C494" s="3" t="s">
        <v>6985</v>
      </c>
      <c r="D494" s="3" t="s">
        <v>2119</v>
      </c>
      <c r="E494" s="3">
        <v>493</v>
      </c>
      <c r="F494" s="3" t="s">
        <v>1912</v>
      </c>
      <c r="G494" s="3" t="s">
        <v>20</v>
      </c>
      <c r="H494" s="3" t="s">
        <v>2164</v>
      </c>
    </row>
    <row r="495" spans="1:8" x14ac:dyDescent="0.25">
      <c r="A495" s="3" t="s">
        <v>6983</v>
      </c>
      <c r="B495" s="3" t="s">
        <v>6987</v>
      </c>
      <c r="C495" s="3" t="s">
        <v>6985</v>
      </c>
      <c r="D495" s="3" t="s">
        <v>2119</v>
      </c>
      <c r="E495" s="3">
        <v>494</v>
      </c>
      <c r="F495" s="3" t="s">
        <v>1913</v>
      </c>
      <c r="G495" s="3" t="s">
        <v>20</v>
      </c>
      <c r="H495" s="3" t="s">
        <v>2164</v>
      </c>
    </row>
    <row r="496" spans="1:8" x14ac:dyDescent="0.25">
      <c r="A496" s="3" t="s">
        <v>6983</v>
      </c>
      <c r="B496" s="3" t="s">
        <v>6987</v>
      </c>
      <c r="C496" s="3" t="s">
        <v>6985</v>
      </c>
      <c r="D496" s="3" t="s">
        <v>2119</v>
      </c>
      <c r="E496" s="3">
        <v>495</v>
      </c>
      <c r="F496" s="3" t="s">
        <v>1914</v>
      </c>
      <c r="G496" s="3" t="s">
        <v>20</v>
      </c>
      <c r="H496" s="3" t="s">
        <v>2164</v>
      </c>
    </row>
    <row r="497" spans="1:8" x14ac:dyDescent="0.25">
      <c r="A497" s="3" t="s">
        <v>6983</v>
      </c>
      <c r="B497" s="3" t="s">
        <v>6987</v>
      </c>
      <c r="C497" s="3" t="s">
        <v>6985</v>
      </c>
      <c r="D497" s="3" t="s">
        <v>2119</v>
      </c>
      <c r="E497" s="3">
        <v>496</v>
      </c>
      <c r="F497" s="3" t="s">
        <v>1915</v>
      </c>
      <c r="G497" s="3" t="s">
        <v>20</v>
      </c>
      <c r="H497" s="3" t="s">
        <v>2164</v>
      </c>
    </row>
    <row r="498" spans="1:8" x14ac:dyDescent="0.25">
      <c r="A498" s="3" t="s">
        <v>6983</v>
      </c>
      <c r="B498" s="3" t="s">
        <v>6987</v>
      </c>
      <c r="C498" s="3" t="s">
        <v>6985</v>
      </c>
      <c r="D498" s="3" t="s">
        <v>2119</v>
      </c>
      <c r="E498" s="3">
        <v>497</v>
      </c>
      <c r="F498" s="3" t="s">
        <v>1916</v>
      </c>
      <c r="G498" s="3" t="s">
        <v>20</v>
      </c>
      <c r="H498" s="3" t="s">
        <v>2164</v>
      </c>
    </row>
    <row r="499" spans="1:8" x14ac:dyDescent="0.25">
      <c r="A499" s="3" t="s">
        <v>6983</v>
      </c>
      <c r="B499" s="3" t="s">
        <v>6987</v>
      </c>
      <c r="C499" s="3" t="s">
        <v>6985</v>
      </c>
      <c r="D499" s="3" t="s">
        <v>2119</v>
      </c>
      <c r="E499" s="3">
        <v>498</v>
      </c>
      <c r="F499" s="3" t="s">
        <v>1917</v>
      </c>
      <c r="G499" s="3" t="s">
        <v>20</v>
      </c>
      <c r="H499" s="3" t="s">
        <v>2164</v>
      </c>
    </row>
    <row r="500" spans="1:8" x14ac:dyDescent="0.25">
      <c r="A500" s="3" t="s">
        <v>6983</v>
      </c>
      <c r="B500" s="3" t="s">
        <v>6987</v>
      </c>
      <c r="C500" s="3" t="s">
        <v>6985</v>
      </c>
      <c r="D500" s="3" t="s">
        <v>2119</v>
      </c>
      <c r="E500" s="3">
        <v>499</v>
      </c>
      <c r="F500" s="3" t="s">
        <v>1918</v>
      </c>
      <c r="G500" s="3" t="s">
        <v>20</v>
      </c>
      <c r="H500" s="3" t="s">
        <v>2164</v>
      </c>
    </row>
    <row r="501" spans="1:8" x14ac:dyDescent="0.25">
      <c r="A501" s="3" t="s">
        <v>6983</v>
      </c>
      <c r="B501" s="3" t="s">
        <v>6987</v>
      </c>
      <c r="C501" s="3" t="s">
        <v>6985</v>
      </c>
      <c r="D501" s="3" t="s">
        <v>2119</v>
      </c>
      <c r="E501" s="3">
        <v>500</v>
      </c>
      <c r="F501" s="3" t="s">
        <v>1919</v>
      </c>
      <c r="G501" s="3" t="s">
        <v>20</v>
      </c>
      <c r="H501" s="3" t="s">
        <v>2164</v>
      </c>
    </row>
    <row r="502" spans="1:8" x14ac:dyDescent="0.25">
      <c r="A502" s="3" t="s">
        <v>6983</v>
      </c>
      <c r="B502" s="3" t="s">
        <v>6987</v>
      </c>
      <c r="C502" s="3" t="s">
        <v>6985</v>
      </c>
      <c r="D502" s="3" t="s">
        <v>2119</v>
      </c>
      <c r="E502" s="3">
        <v>501</v>
      </c>
      <c r="F502" s="3" t="s">
        <v>1920</v>
      </c>
      <c r="G502" s="3" t="s">
        <v>20</v>
      </c>
      <c r="H502" s="3" t="s">
        <v>2164</v>
      </c>
    </row>
    <row r="503" spans="1:8" x14ac:dyDescent="0.25">
      <c r="A503" s="3" t="s">
        <v>6983</v>
      </c>
      <c r="B503" s="3" t="s">
        <v>6987</v>
      </c>
      <c r="C503" s="3" t="s">
        <v>6985</v>
      </c>
      <c r="D503" s="3" t="s">
        <v>2119</v>
      </c>
      <c r="E503" s="3">
        <v>502</v>
      </c>
      <c r="F503" s="3" t="s">
        <v>1921</v>
      </c>
      <c r="G503" s="3" t="s">
        <v>20</v>
      </c>
      <c r="H503" s="3" t="s">
        <v>2164</v>
      </c>
    </row>
    <row r="504" spans="1:8" x14ac:dyDescent="0.25">
      <c r="A504" s="3" t="s">
        <v>6983</v>
      </c>
      <c r="B504" s="3" t="s">
        <v>6987</v>
      </c>
      <c r="C504" s="3" t="s">
        <v>6985</v>
      </c>
      <c r="D504" s="3" t="s">
        <v>2119</v>
      </c>
      <c r="E504" s="3">
        <v>503</v>
      </c>
      <c r="F504" s="3" t="s">
        <v>1922</v>
      </c>
      <c r="G504" s="3" t="s">
        <v>20</v>
      </c>
      <c r="H504" s="3" t="s">
        <v>2164</v>
      </c>
    </row>
    <row r="505" spans="1:8" x14ac:dyDescent="0.25">
      <c r="A505" s="3" t="s">
        <v>6983</v>
      </c>
      <c r="B505" s="3" t="s">
        <v>6987</v>
      </c>
      <c r="C505" s="3" t="s">
        <v>6985</v>
      </c>
      <c r="D505" s="3" t="s">
        <v>2119</v>
      </c>
      <c r="E505" s="3">
        <v>504</v>
      </c>
      <c r="F505" s="3" t="s">
        <v>1923</v>
      </c>
      <c r="G505" s="3" t="s">
        <v>20</v>
      </c>
      <c r="H505" s="3" t="s">
        <v>2164</v>
      </c>
    </row>
    <row r="506" spans="1:8" x14ac:dyDescent="0.25">
      <c r="A506" s="3" t="s">
        <v>6983</v>
      </c>
      <c r="B506" s="3" t="s">
        <v>6987</v>
      </c>
      <c r="C506" s="3" t="s">
        <v>6985</v>
      </c>
      <c r="D506" s="3" t="s">
        <v>2119</v>
      </c>
      <c r="E506" s="3">
        <v>505</v>
      </c>
      <c r="F506" s="3" t="s">
        <v>1924</v>
      </c>
      <c r="G506" s="3" t="s">
        <v>20</v>
      </c>
      <c r="H506" s="3" t="s">
        <v>2164</v>
      </c>
    </row>
    <row r="507" spans="1:8" x14ac:dyDescent="0.25">
      <c r="A507" s="3" t="s">
        <v>6983</v>
      </c>
      <c r="B507" s="3" t="s">
        <v>6987</v>
      </c>
      <c r="C507" s="3" t="s">
        <v>6985</v>
      </c>
      <c r="D507" s="3" t="s">
        <v>2119</v>
      </c>
      <c r="E507" s="3">
        <v>506</v>
      </c>
      <c r="F507" s="3" t="s">
        <v>1925</v>
      </c>
      <c r="G507" s="3" t="s">
        <v>20</v>
      </c>
      <c r="H507" s="3" t="s">
        <v>2164</v>
      </c>
    </row>
    <row r="508" spans="1:8" x14ac:dyDescent="0.25">
      <c r="A508" s="3" t="s">
        <v>6983</v>
      </c>
      <c r="B508" s="3" t="s">
        <v>6987</v>
      </c>
      <c r="C508" s="3" t="s">
        <v>6985</v>
      </c>
      <c r="D508" s="3" t="s">
        <v>2119</v>
      </c>
      <c r="E508" s="3">
        <v>507</v>
      </c>
      <c r="F508" s="3" t="s">
        <v>1926</v>
      </c>
      <c r="G508" s="3" t="s">
        <v>20</v>
      </c>
      <c r="H508" s="3" t="s">
        <v>2164</v>
      </c>
    </row>
    <row r="509" spans="1:8" x14ac:dyDescent="0.25">
      <c r="A509" s="3" t="s">
        <v>6983</v>
      </c>
      <c r="B509" s="3" t="s">
        <v>6987</v>
      </c>
      <c r="C509" s="3" t="s">
        <v>6985</v>
      </c>
      <c r="D509" s="3" t="s">
        <v>2119</v>
      </c>
      <c r="E509" s="3">
        <v>508</v>
      </c>
      <c r="F509" s="3" t="s">
        <v>1927</v>
      </c>
      <c r="G509" s="3" t="s">
        <v>20</v>
      </c>
      <c r="H509" s="3" t="s">
        <v>2164</v>
      </c>
    </row>
    <row r="510" spans="1:8" x14ac:dyDescent="0.25">
      <c r="A510" s="3" t="s">
        <v>6983</v>
      </c>
      <c r="B510" s="3" t="s">
        <v>6987</v>
      </c>
      <c r="C510" s="3" t="s">
        <v>6985</v>
      </c>
      <c r="D510" s="3" t="s">
        <v>2119</v>
      </c>
      <c r="E510" s="3">
        <v>509</v>
      </c>
      <c r="F510" s="3" t="s">
        <v>1928</v>
      </c>
      <c r="G510" s="3" t="s">
        <v>20</v>
      </c>
      <c r="H510" s="3" t="s">
        <v>2164</v>
      </c>
    </row>
    <row r="511" spans="1:8" x14ac:dyDescent="0.25">
      <c r="A511" s="3" t="s">
        <v>6983</v>
      </c>
      <c r="B511" s="3" t="s">
        <v>6987</v>
      </c>
      <c r="C511" s="3" t="s">
        <v>6985</v>
      </c>
      <c r="D511" s="3" t="s">
        <v>2119</v>
      </c>
      <c r="E511" s="3">
        <v>510</v>
      </c>
      <c r="F511" s="3" t="s">
        <v>1929</v>
      </c>
      <c r="G511" s="3" t="s">
        <v>20</v>
      </c>
      <c r="H511" s="3" t="s">
        <v>2164</v>
      </c>
    </row>
    <row r="512" spans="1:8" x14ac:dyDescent="0.25">
      <c r="A512" s="3" t="s">
        <v>6983</v>
      </c>
      <c r="B512" s="3" t="s">
        <v>6987</v>
      </c>
      <c r="C512" s="3" t="s">
        <v>6985</v>
      </c>
      <c r="D512" s="3" t="s">
        <v>2119</v>
      </c>
      <c r="E512" s="3">
        <v>511</v>
      </c>
      <c r="F512" s="3" t="s">
        <v>1930</v>
      </c>
      <c r="G512" s="3" t="s">
        <v>20</v>
      </c>
      <c r="H512" s="3" t="s">
        <v>2164</v>
      </c>
    </row>
    <row r="513" spans="1:8" x14ac:dyDescent="0.25">
      <c r="A513" s="3" t="s">
        <v>6983</v>
      </c>
      <c r="B513" s="3" t="s">
        <v>6987</v>
      </c>
      <c r="C513" s="3" t="s">
        <v>6985</v>
      </c>
      <c r="D513" s="3" t="s">
        <v>2119</v>
      </c>
      <c r="E513" s="3">
        <v>512</v>
      </c>
      <c r="F513" s="3" t="s">
        <v>1931</v>
      </c>
      <c r="G513" s="3" t="s">
        <v>20</v>
      </c>
      <c r="H513" s="3" t="s">
        <v>2164</v>
      </c>
    </row>
    <row r="514" spans="1:8" x14ac:dyDescent="0.25">
      <c r="A514" s="3" t="s">
        <v>6983</v>
      </c>
      <c r="B514" s="3" t="s">
        <v>6987</v>
      </c>
      <c r="C514" s="3" t="s">
        <v>6985</v>
      </c>
      <c r="D514" s="3" t="s">
        <v>2119</v>
      </c>
      <c r="E514" s="3">
        <v>513</v>
      </c>
      <c r="F514" s="3" t="s">
        <v>1932</v>
      </c>
      <c r="G514" s="3" t="s">
        <v>20</v>
      </c>
      <c r="H514" s="3" t="s">
        <v>2164</v>
      </c>
    </row>
    <row r="515" spans="1:8" x14ac:dyDescent="0.25">
      <c r="A515" s="3" t="s">
        <v>6983</v>
      </c>
      <c r="B515" s="3" t="s">
        <v>6987</v>
      </c>
      <c r="C515" s="3" t="s">
        <v>6985</v>
      </c>
      <c r="D515" s="3" t="s">
        <v>2119</v>
      </c>
      <c r="E515" s="3">
        <v>514</v>
      </c>
      <c r="F515" s="3" t="s">
        <v>1933</v>
      </c>
      <c r="G515" s="3" t="s">
        <v>20</v>
      </c>
      <c r="H515" s="3" t="s">
        <v>2164</v>
      </c>
    </row>
    <row r="516" spans="1:8" x14ac:dyDescent="0.25">
      <c r="A516" s="3" t="s">
        <v>6983</v>
      </c>
      <c r="B516" s="3" t="s">
        <v>6987</v>
      </c>
      <c r="C516" s="3" t="s">
        <v>6985</v>
      </c>
      <c r="D516" s="3" t="s">
        <v>2119</v>
      </c>
      <c r="E516" s="3">
        <v>515</v>
      </c>
      <c r="F516" s="3" t="s">
        <v>1934</v>
      </c>
      <c r="G516" s="3" t="s">
        <v>20</v>
      </c>
      <c r="H516" s="3" t="s">
        <v>2164</v>
      </c>
    </row>
    <row r="517" spans="1:8" x14ac:dyDescent="0.25">
      <c r="A517" s="3" t="s">
        <v>6983</v>
      </c>
      <c r="B517" s="3" t="s">
        <v>6987</v>
      </c>
      <c r="C517" s="3" t="s">
        <v>6985</v>
      </c>
      <c r="D517" s="3" t="s">
        <v>2119</v>
      </c>
      <c r="E517" s="3">
        <v>516</v>
      </c>
      <c r="F517" s="3" t="s">
        <v>1935</v>
      </c>
      <c r="G517" s="3" t="s">
        <v>20</v>
      </c>
      <c r="H517" s="3" t="s">
        <v>2164</v>
      </c>
    </row>
    <row r="518" spans="1:8" x14ac:dyDescent="0.25">
      <c r="A518" s="3" t="s">
        <v>6983</v>
      </c>
      <c r="B518" s="3" t="s">
        <v>6987</v>
      </c>
      <c r="C518" s="3" t="s">
        <v>6985</v>
      </c>
      <c r="D518" s="3" t="s">
        <v>2119</v>
      </c>
      <c r="E518" s="3">
        <v>517</v>
      </c>
      <c r="F518" s="3" t="s">
        <v>1936</v>
      </c>
      <c r="G518" s="3" t="s">
        <v>20</v>
      </c>
      <c r="H518" s="3" t="s">
        <v>2164</v>
      </c>
    </row>
    <row r="519" spans="1:8" x14ac:dyDescent="0.25">
      <c r="A519" s="3" t="s">
        <v>6983</v>
      </c>
      <c r="B519" s="3" t="s">
        <v>6987</v>
      </c>
      <c r="C519" s="3" t="s">
        <v>6985</v>
      </c>
      <c r="D519" s="3" t="s">
        <v>2119</v>
      </c>
      <c r="E519" s="3">
        <v>518</v>
      </c>
      <c r="F519" s="3" t="s">
        <v>1937</v>
      </c>
      <c r="G519" s="3" t="s">
        <v>20</v>
      </c>
      <c r="H519" s="3" t="s">
        <v>2164</v>
      </c>
    </row>
    <row r="520" spans="1:8" x14ac:dyDescent="0.25">
      <c r="A520" s="3" t="s">
        <v>6983</v>
      </c>
      <c r="B520" s="3" t="s">
        <v>6987</v>
      </c>
      <c r="C520" s="3" t="s">
        <v>6985</v>
      </c>
      <c r="D520" s="3" t="s">
        <v>2119</v>
      </c>
      <c r="E520" s="3">
        <v>519</v>
      </c>
      <c r="F520" s="3" t="s">
        <v>1938</v>
      </c>
      <c r="G520" s="3" t="s">
        <v>20</v>
      </c>
      <c r="H520" s="3" t="s">
        <v>2164</v>
      </c>
    </row>
    <row r="521" spans="1:8" x14ac:dyDescent="0.25">
      <c r="A521" s="3" t="s">
        <v>6983</v>
      </c>
      <c r="B521" s="3" t="s">
        <v>6987</v>
      </c>
      <c r="C521" s="3" t="s">
        <v>6985</v>
      </c>
      <c r="D521" s="3" t="s">
        <v>2119</v>
      </c>
      <c r="E521" s="3">
        <v>520</v>
      </c>
      <c r="F521" s="3" t="s">
        <v>1939</v>
      </c>
      <c r="G521" s="3" t="s">
        <v>20</v>
      </c>
      <c r="H521" s="3" t="s">
        <v>2164</v>
      </c>
    </row>
    <row r="522" spans="1:8" x14ac:dyDescent="0.25">
      <c r="A522" s="3" t="s">
        <v>6983</v>
      </c>
      <c r="B522" s="3" t="s">
        <v>6987</v>
      </c>
      <c r="C522" s="3" t="s">
        <v>6985</v>
      </c>
      <c r="D522" s="3" t="s">
        <v>2119</v>
      </c>
      <c r="E522" s="3">
        <v>521</v>
      </c>
      <c r="F522" s="3" t="s">
        <v>1940</v>
      </c>
      <c r="G522" s="3" t="s">
        <v>20</v>
      </c>
      <c r="H522" s="3" t="s">
        <v>2164</v>
      </c>
    </row>
    <row r="523" spans="1:8" x14ac:dyDescent="0.25">
      <c r="A523" s="3" t="s">
        <v>6983</v>
      </c>
      <c r="B523" s="3" t="s">
        <v>6987</v>
      </c>
      <c r="C523" s="3" t="s">
        <v>6985</v>
      </c>
      <c r="D523" s="3" t="s">
        <v>2119</v>
      </c>
      <c r="E523" s="3">
        <v>522</v>
      </c>
      <c r="F523" s="3" t="s">
        <v>1941</v>
      </c>
      <c r="G523" s="3" t="s">
        <v>20</v>
      </c>
      <c r="H523" s="3" t="s">
        <v>2164</v>
      </c>
    </row>
    <row r="524" spans="1:8" x14ac:dyDescent="0.25">
      <c r="A524" s="3" t="s">
        <v>6983</v>
      </c>
      <c r="B524" s="3" t="s">
        <v>6987</v>
      </c>
      <c r="C524" s="3" t="s">
        <v>6985</v>
      </c>
      <c r="D524" s="3" t="s">
        <v>2119</v>
      </c>
      <c r="E524" s="3">
        <v>523</v>
      </c>
      <c r="F524" s="3" t="s">
        <v>1942</v>
      </c>
      <c r="G524" s="3" t="s">
        <v>20</v>
      </c>
      <c r="H524" s="3" t="s">
        <v>2164</v>
      </c>
    </row>
    <row r="525" spans="1:8" x14ac:dyDescent="0.25">
      <c r="A525" s="3" t="s">
        <v>6983</v>
      </c>
      <c r="B525" s="3" t="s">
        <v>6987</v>
      </c>
      <c r="C525" s="3" t="s">
        <v>6985</v>
      </c>
      <c r="D525" s="3" t="s">
        <v>2119</v>
      </c>
      <c r="E525" s="3">
        <v>524</v>
      </c>
      <c r="F525" s="3" t="s">
        <v>1943</v>
      </c>
      <c r="G525" s="3" t="s">
        <v>20</v>
      </c>
      <c r="H525" s="3" t="s">
        <v>2164</v>
      </c>
    </row>
    <row r="526" spans="1:8" x14ac:dyDescent="0.25">
      <c r="A526" s="3" t="s">
        <v>6983</v>
      </c>
      <c r="B526" s="3" t="s">
        <v>6987</v>
      </c>
      <c r="C526" s="3" t="s">
        <v>6985</v>
      </c>
      <c r="D526" s="3" t="s">
        <v>2119</v>
      </c>
      <c r="E526" s="3">
        <v>525</v>
      </c>
      <c r="F526" s="3" t="s">
        <v>1944</v>
      </c>
      <c r="G526" s="3" t="s">
        <v>20</v>
      </c>
      <c r="H526" s="3" t="s">
        <v>2164</v>
      </c>
    </row>
    <row r="527" spans="1:8" x14ac:dyDescent="0.25">
      <c r="A527" s="3" t="s">
        <v>6983</v>
      </c>
      <c r="B527" s="3" t="s">
        <v>6987</v>
      </c>
      <c r="C527" s="3" t="s">
        <v>6985</v>
      </c>
      <c r="D527" s="3" t="s">
        <v>2119</v>
      </c>
      <c r="E527" s="3">
        <v>526</v>
      </c>
      <c r="F527" s="3" t="s">
        <v>1945</v>
      </c>
      <c r="G527" s="3" t="s">
        <v>20</v>
      </c>
      <c r="H527" s="3" t="s">
        <v>2164</v>
      </c>
    </row>
    <row r="528" spans="1:8" x14ac:dyDescent="0.25">
      <c r="A528" s="3" t="s">
        <v>6983</v>
      </c>
      <c r="B528" s="3" t="s">
        <v>6987</v>
      </c>
      <c r="C528" s="3" t="s">
        <v>6985</v>
      </c>
      <c r="D528" s="3" t="s">
        <v>2119</v>
      </c>
      <c r="E528" s="3">
        <v>527</v>
      </c>
      <c r="F528" s="3" t="s">
        <v>1946</v>
      </c>
      <c r="G528" s="3" t="s">
        <v>20</v>
      </c>
      <c r="H528" s="3" t="s">
        <v>2164</v>
      </c>
    </row>
    <row r="529" spans="1:8" x14ac:dyDescent="0.25">
      <c r="A529" s="3" t="s">
        <v>6983</v>
      </c>
      <c r="B529" s="3" t="s">
        <v>6987</v>
      </c>
      <c r="C529" s="3" t="s">
        <v>6985</v>
      </c>
      <c r="D529" s="3" t="s">
        <v>2119</v>
      </c>
      <c r="E529" s="3">
        <v>528</v>
      </c>
      <c r="F529" s="3" t="s">
        <v>1947</v>
      </c>
      <c r="G529" s="3" t="s">
        <v>20</v>
      </c>
      <c r="H529" s="3" t="s">
        <v>2164</v>
      </c>
    </row>
    <row r="530" spans="1:8" x14ac:dyDescent="0.25">
      <c r="A530" s="3" t="s">
        <v>6983</v>
      </c>
      <c r="B530" s="3" t="s">
        <v>6987</v>
      </c>
      <c r="C530" s="3" t="s">
        <v>6985</v>
      </c>
      <c r="D530" s="3" t="s">
        <v>2119</v>
      </c>
      <c r="E530" s="3">
        <v>529</v>
      </c>
      <c r="F530" s="3" t="s">
        <v>1948</v>
      </c>
      <c r="G530" s="3" t="s">
        <v>20</v>
      </c>
      <c r="H530" s="3" t="s">
        <v>2164</v>
      </c>
    </row>
    <row r="531" spans="1:8" x14ac:dyDescent="0.25">
      <c r="A531" s="3" t="s">
        <v>6983</v>
      </c>
      <c r="B531" s="3" t="s">
        <v>6987</v>
      </c>
      <c r="C531" s="3" t="s">
        <v>6985</v>
      </c>
      <c r="D531" s="3" t="s">
        <v>2119</v>
      </c>
      <c r="E531" s="3">
        <v>530</v>
      </c>
      <c r="F531" s="3" t="s">
        <v>1949</v>
      </c>
      <c r="G531" s="3" t="s">
        <v>20</v>
      </c>
      <c r="H531" s="3" t="s">
        <v>2164</v>
      </c>
    </row>
    <row r="532" spans="1:8" x14ac:dyDescent="0.25">
      <c r="A532" s="3" t="s">
        <v>6983</v>
      </c>
      <c r="B532" s="3" t="s">
        <v>6987</v>
      </c>
      <c r="C532" s="3" t="s">
        <v>6985</v>
      </c>
      <c r="D532" s="3" t="s">
        <v>2119</v>
      </c>
      <c r="E532" s="3">
        <v>531</v>
      </c>
      <c r="F532" s="3" t="s">
        <v>1950</v>
      </c>
      <c r="G532" s="3" t="s">
        <v>1093</v>
      </c>
      <c r="H532" s="3" t="s">
        <v>2164</v>
      </c>
    </row>
    <row r="533" spans="1:8" x14ac:dyDescent="0.25">
      <c r="A533" s="3" t="s">
        <v>6983</v>
      </c>
      <c r="B533" s="3" t="s">
        <v>6987</v>
      </c>
      <c r="C533" s="3" t="s">
        <v>6985</v>
      </c>
      <c r="D533" s="3" t="s">
        <v>2119</v>
      </c>
      <c r="E533" s="3">
        <v>532</v>
      </c>
      <c r="F533" s="3" t="s">
        <v>1951</v>
      </c>
      <c r="G533" s="3" t="s">
        <v>12</v>
      </c>
      <c r="H533" s="3" t="s">
        <v>2164</v>
      </c>
    </row>
    <row r="534" spans="1:8" x14ac:dyDescent="0.25">
      <c r="A534" s="3" t="s">
        <v>6983</v>
      </c>
      <c r="B534" s="3" t="s">
        <v>6987</v>
      </c>
      <c r="C534" s="3" t="s">
        <v>6985</v>
      </c>
      <c r="D534" s="3" t="s">
        <v>2119</v>
      </c>
      <c r="E534" s="3">
        <v>533</v>
      </c>
      <c r="F534" s="3" t="s">
        <v>1952</v>
      </c>
      <c r="G534" s="3" t="s">
        <v>8</v>
      </c>
      <c r="H534" s="3" t="s">
        <v>2164</v>
      </c>
    </row>
    <row r="535" spans="1:8" x14ac:dyDescent="0.25">
      <c r="A535" s="3" t="s">
        <v>6983</v>
      </c>
      <c r="B535" s="3" t="s">
        <v>6987</v>
      </c>
      <c r="C535" s="3" t="s">
        <v>6985</v>
      </c>
      <c r="D535" s="3" t="s">
        <v>2119</v>
      </c>
      <c r="E535" s="3">
        <v>534</v>
      </c>
      <c r="F535" s="3" t="s">
        <v>1953</v>
      </c>
      <c r="G535" s="3" t="s">
        <v>1093</v>
      </c>
      <c r="H535" s="3" t="s">
        <v>2164</v>
      </c>
    </row>
    <row r="536" spans="1:8" x14ac:dyDescent="0.25">
      <c r="A536" s="3" t="s">
        <v>6983</v>
      </c>
      <c r="B536" s="3" t="s">
        <v>6987</v>
      </c>
      <c r="C536" s="3" t="s">
        <v>6985</v>
      </c>
      <c r="D536" s="3" t="s">
        <v>2119</v>
      </c>
      <c r="E536" s="3">
        <v>535</v>
      </c>
      <c r="F536" s="3" t="s">
        <v>1954</v>
      </c>
      <c r="G536" s="3" t="s">
        <v>12</v>
      </c>
      <c r="H536" s="3" t="s">
        <v>2164</v>
      </c>
    </row>
    <row r="537" spans="1:8" x14ac:dyDescent="0.25">
      <c r="A537" s="3" t="s">
        <v>6983</v>
      </c>
      <c r="B537" s="3" t="s">
        <v>6987</v>
      </c>
      <c r="C537" s="3" t="s">
        <v>6985</v>
      </c>
      <c r="D537" s="3" t="s">
        <v>2119</v>
      </c>
      <c r="E537" s="3">
        <v>536</v>
      </c>
      <c r="F537" s="3" t="s">
        <v>1955</v>
      </c>
      <c r="G537" s="3" t="s">
        <v>8</v>
      </c>
      <c r="H537" s="3" t="s">
        <v>2164</v>
      </c>
    </row>
    <row r="538" spans="1:8" x14ac:dyDescent="0.25">
      <c r="A538" s="3" t="s">
        <v>6983</v>
      </c>
      <c r="B538" s="3" t="s">
        <v>6987</v>
      </c>
      <c r="C538" s="3" t="s">
        <v>6985</v>
      </c>
      <c r="D538" s="3" t="s">
        <v>2119</v>
      </c>
      <c r="E538" s="3">
        <v>537</v>
      </c>
      <c r="F538" s="3" t="s">
        <v>1956</v>
      </c>
      <c r="G538" s="3" t="s">
        <v>20</v>
      </c>
      <c r="H538" s="3" t="s">
        <v>2164</v>
      </c>
    </row>
    <row r="539" spans="1:8" x14ac:dyDescent="0.25">
      <c r="A539" s="3" t="s">
        <v>6983</v>
      </c>
      <c r="B539" s="3" t="s">
        <v>6987</v>
      </c>
      <c r="C539" s="3" t="s">
        <v>6985</v>
      </c>
      <c r="D539" s="3" t="s">
        <v>2119</v>
      </c>
      <c r="E539" s="3">
        <v>538</v>
      </c>
      <c r="F539" s="3" t="s">
        <v>1957</v>
      </c>
      <c r="G539" s="3" t="s">
        <v>20</v>
      </c>
      <c r="H539" s="3" t="s">
        <v>2164</v>
      </c>
    </row>
    <row r="540" spans="1:8" x14ac:dyDescent="0.25">
      <c r="A540" s="3" t="s">
        <v>6983</v>
      </c>
      <c r="B540" s="3" t="s">
        <v>6987</v>
      </c>
      <c r="C540" s="3" t="s">
        <v>6985</v>
      </c>
      <c r="D540" s="3" t="s">
        <v>2119</v>
      </c>
      <c r="E540" s="3">
        <v>539</v>
      </c>
      <c r="F540" s="3" t="s">
        <v>1958</v>
      </c>
      <c r="G540" s="3" t="s">
        <v>20</v>
      </c>
      <c r="H540" s="3" t="s">
        <v>2164</v>
      </c>
    </row>
    <row r="541" spans="1:8" x14ac:dyDescent="0.25">
      <c r="A541" s="3" t="s">
        <v>6983</v>
      </c>
      <c r="B541" s="3" t="s">
        <v>6987</v>
      </c>
      <c r="C541" s="3" t="s">
        <v>6985</v>
      </c>
      <c r="D541" s="3" t="s">
        <v>2119</v>
      </c>
      <c r="E541" s="3">
        <v>540</v>
      </c>
      <c r="F541" s="3" t="s">
        <v>1959</v>
      </c>
      <c r="G541" s="3" t="s">
        <v>20</v>
      </c>
      <c r="H541" s="3" t="s">
        <v>2164</v>
      </c>
    </row>
    <row r="542" spans="1:8" x14ac:dyDescent="0.25">
      <c r="A542" s="3" t="s">
        <v>6983</v>
      </c>
      <c r="B542" s="3" t="s">
        <v>6987</v>
      </c>
      <c r="C542" s="3" t="s">
        <v>6985</v>
      </c>
      <c r="D542" s="3" t="s">
        <v>2119</v>
      </c>
      <c r="E542" s="3">
        <v>541</v>
      </c>
      <c r="F542" s="3" t="s">
        <v>1960</v>
      </c>
      <c r="G542" s="3" t="s">
        <v>1093</v>
      </c>
      <c r="H542" s="3" t="s">
        <v>2164</v>
      </c>
    </row>
    <row r="543" spans="1:8" x14ac:dyDescent="0.25">
      <c r="A543" s="3" t="s">
        <v>6983</v>
      </c>
      <c r="B543" s="3" t="s">
        <v>6987</v>
      </c>
      <c r="C543" s="3" t="s">
        <v>6985</v>
      </c>
      <c r="D543" s="3" t="s">
        <v>2119</v>
      </c>
      <c r="E543" s="3">
        <v>542</v>
      </c>
      <c r="F543" s="3" t="s">
        <v>1961</v>
      </c>
      <c r="G543" s="3" t="s">
        <v>1093</v>
      </c>
      <c r="H543" s="3" t="s">
        <v>2164</v>
      </c>
    </row>
    <row r="544" spans="1:8" x14ac:dyDescent="0.25">
      <c r="A544" s="3" t="s">
        <v>6983</v>
      </c>
      <c r="B544" s="3" t="s">
        <v>6987</v>
      </c>
      <c r="C544" s="3" t="s">
        <v>6985</v>
      </c>
      <c r="D544" s="3" t="s">
        <v>1115</v>
      </c>
      <c r="E544" s="3">
        <v>543</v>
      </c>
      <c r="F544" s="3" t="s">
        <v>87</v>
      </c>
      <c r="G544" s="3" t="s">
        <v>1093</v>
      </c>
      <c r="H544" s="3" t="s">
        <v>6816</v>
      </c>
    </row>
    <row r="545" spans="1:9" x14ac:dyDescent="0.25">
      <c r="A545" s="3" t="s">
        <v>6983</v>
      </c>
      <c r="B545" s="3" t="s">
        <v>6987</v>
      </c>
      <c r="C545" s="3" t="s">
        <v>6985</v>
      </c>
      <c r="D545" s="3" t="s">
        <v>1115</v>
      </c>
      <c r="E545" s="3">
        <v>544</v>
      </c>
      <c r="F545" s="3" t="s">
        <v>88</v>
      </c>
      <c r="G545" s="3" t="s">
        <v>1093</v>
      </c>
      <c r="H545" s="3" t="s">
        <v>6820</v>
      </c>
    </row>
    <row r="546" spans="1:9" x14ac:dyDescent="0.25">
      <c r="A546" s="3" t="s">
        <v>6983</v>
      </c>
      <c r="B546" s="3" t="s">
        <v>6987</v>
      </c>
      <c r="C546" s="3" t="s">
        <v>6985</v>
      </c>
      <c r="D546" s="3" t="s">
        <v>1115</v>
      </c>
      <c r="E546" s="3">
        <v>545</v>
      </c>
      <c r="F546" s="3" t="s">
        <v>89</v>
      </c>
      <c r="G546" s="3" t="s">
        <v>1093</v>
      </c>
      <c r="H546" s="3" t="s">
        <v>6821</v>
      </c>
    </row>
    <row r="547" spans="1:9" x14ac:dyDescent="0.25">
      <c r="A547" s="3" t="s">
        <v>6983</v>
      </c>
      <c r="B547" s="3" t="s">
        <v>6987</v>
      </c>
      <c r="C547" s="3" t="s">
        <v>6985</v>
      </c>
      <c r="D547" s="3" t="s">
        <v>1115</v>
      </c>
      <c r="E547" s="3">
        <v>546</v>
      </c>
      <c r="F547" s="3" t="s">
        <v>90</v>
      </c>
      <c r="G547" s="3" t="s">
        <v>1093</v>
      </c>
      <c r="H547" s="3" t="s">
        <v>6822</v>
      </c>
    </row>
    <row r="548" spans="1:9" x14ac:dyDescent="0.25">
      <c r="A548" s="3" t="s">
        <v>6983</v>
      </c>
      <c r="B548" s="3" t="s">
        <v>6987</v>
      </c>
      <c r="C548" s="3" t="s">
        <v>6985</v>
      </c>
      <c r="D548" s="3" t="s">
        <v>1119</v>
      </c>
      <c r="E548" s="3">
        <v>547</v>
      </c>
      <c r="F548" s="3" t="s">
        <v>228</v>
      </c>
      <c r="G548" s="3" t="s">
        <v>11</v>
      </c>
      <c r="H548" s="3" t="s">
        <v>6976</v>
      </c>
    </row>
    <row r="549" spans="1:9" x14ac:dyDescent="0.25">
      <c r="A549" s="3" t="s">
        <v>6983</v>
      </c>
      <c r="B549" s="3" t="s">
        <v>6987</v>
      </c>
      <c r="C549" s="3" t="s">
        <v>6985</v>
      </c>
      <c r="D549" s="3" t="s">
        <v>1119</v>
      </c>
      <c r="E549" s="3">
        <v>548</v>
      </c>
      <c r="F549" s="3" t="s">
        <v>229</v>
      </c>
      <c r="G549" s="3" t="s">
        <v>13</v>
      </c>
      <c r="H549" s="4" t="s">
        <v>6974</v>
      </c>
    </row>
    <row r="550" spans="1:9" x14ac:dyDescent="0.25">
      <c r="A550" s="3" t="s">
        <v>6983</v>
      </c>
      <c r="B550" s="3" t="s">
        <v>6987</v>
      </c>
      <c r="C550" s="3" t="s">
        <v>6985</v>
      </c>
      <c r="D550" s="3" t="s">
        <v>1119</v>
      </c>
      <c r="E550" s="3">
        <v>549</v>
      </c>
      <c r="F550" s="3" t="s">
        <v>230</v>
      </c>
      <c r="G550" s="3" t="s">
        <v>9</v>
      </c>
      <c r="H550" s="4" t="s">
        <v>6975</v>
      </c>
    </row>
    <row r="551" spans="1:9" x14ac:dyDescent="0.25">
      <c r="A551" s="3" t="s">
        <v>6983</v>
      </c>
      <c r="B551" s="3" t="s">
        <v>6987</v>
      </c>
      <c r="C551" s="3" t="s">
        <v>6985</v>
      </c>
      <c r="D551" s="3" t="s">
        <v>2120</v>
      </c>
      <c r="E551" s="3">
        <v>550</v>
      </c>
      <c r="F551" s="3" t="s">
        <v>1962</v>
      </c>
      <c r="G551" s="3" t="s">
        <v>1096</v>
      </c>
      <c r="H551" s="3" t="s">
        <v>2145</v>
      </c>
    </row>
    <row r="552" spans="1:9" ht="15" customHeight="1" x14ac:dyDescent="0.25">
      <c r="A552" s="3" t="s">
        <v>6983</v>
      </c>
      <c r="B552" s="3" t="s">
        <v>6987</v>
      </c>
      <c r="C552" s="3" t="s">
        <v>6985</v>
      </c>
      <c r="D552" s="3" t="s">
        <v>2121</v>
      </c>
      <c r="E552" s="3">
        <v>551</v>
      </c>
      <c r="F552" s="3" t="s">
        <v>1963</v>
      </c>
      <c r="G552" s="3" t="s">
        <v>4</v>
      </c>
      <c r="H552" s="4" t="s">
        <v>2129</v>
      </c>
      <c r="I552" s="14" t="s">
        <v>1179</v>
      </c>
    </row>
    <row r="553" spans="1:9" x14ac:dyDescent="0.25">
      <c r="A553" s="3" t="s">
        <v>6983</v>
      </c>
      <c r="B553" s="3" t="s">
        <v>6987</v>
      </c>
      <c r="C553" s="3" t="s">
        <v>6985</v>
      </c>
      <c r="D553" s="3" t="s">
        <v>2121</v>
      </c>
      <c r="E553" s="3">
        <v>552</v>
      </c>
      <c r="F553" s="3" t="s">
        <v>1964</v>
      </c>
      <c r="G553" s="3" t="s">
        <v>4</v>
      </c>
      <c r="H553" s="4" t="s">
        <v>2130</v>
      </c>
      <c r="I553" s="14"/>
    </row>
    <row r="554" spans="1:9" x14ac:dyDescent="0.25">
      <c r="A554" s="3" t="s">
        <v>6983</v>
      </c>
      <c r="B554" s="3" t="s">
        <v>6987</v>
      </c>
      <c r="C554" s="3" t="s">
        <v>6985</v>
      </c>
      <c r="D554" s="3" t="s">
        <v>2121</v>
      </c>
      <c r="E554" s="3">
        <v>553</v>
      </c>
      <c r="F554" s="3" t="s">
        <v>1965</v>
      </c>
      <c r="G554" s="3" t="s">
        <v>1093</v>
      </c>
      <c r="H554" s="4" t="s">
        <v>2135</v>
      </c>
      <c r="I554" s="14"/>
    </row>
    <row r="555" spans="1:9" x14ac:dyDescent="0.25">
      <c r="A555" s="3" t="s">
        <v>6983</v>
      </c>
      <c r="B555" s="3" t="s">
        <v>6987</v>
      </c>
      <c r="C555" s="3" t="s">
        <v>6985</v>
      </c>
      <c r="D555" s="3" t="s">
        <v>2121</v>
      </c>
      <c r="E555" s="3">
        <v>554</v>
      </c>
      <c r="F555" s="3" t="s">
        <v>1966</v>
      </c>
      <c r="G555" s="3" t="s">
        <v>1093</v>
      </c>
      <c r="H555" s="4" t="s">
        <v>2131</v>
      </c>
      <c r="I555" s="14"/>
    </row>
    <row r="556" spans="1:9" x14ac:dyDescent="0.25">
      <c r="A556" s="3" t="s">
        <v>6983</v>
      </c>
      <c r="B556" s="3" t="s">
        <v>6987</v>
      </c>
      <c r="C556" s="3" t="s">
        <v>6985</v>
      </c>
      <c r="D556" s="3" t="s">
        <v>2121</v>
      </c>
      <c r="E556" s="3">
        <v>555</v>
      </c>
      <c r="F556" s="3" t="s">
        <v>1967</v>
      </c>
      <c r="G556" s="3" t="s">
        <v>1093</v>
      </c>
      <c r="H556" s="4" t="s">
        <v>2132</v>
      </c>
      <c r="I556" s="14"/>
    </row>
    <row r="557" spans="1:9" x14ac:dyDescent="0.25">
      <c r="A557" s="3" t="s">
        <v>6983</v>
      </c>
      <c r="B557" s="3" t="s">
        <v>6987</v>
      </c>
      <c r="C557" s="3" t="s">
        <v>6985</v>
      </c>
      <c r="D557" s="3" t="s">
        <v>2121</v>
      </c>
      <c r="E557" s="3">
        <v>556</v>
      </c>
      <c r="F557" s="3" t="s">
        <v>1968</v>
      </c>
      <c r="G557" s="3" t="s">
        <v>1093</v>
      </c>
      <c r="H557" s="4" t="s">
        <v>2133</v>
      </c>
      <c r="I557" s="14"/>
    </row>
    <row r="558" spans="1:9" x14ac:dyDescent="0.25">
      <c r="A558" s="3" t="s">
        <v>6983</v>
      </c>
      <c r="B558" s="3" t="s">
        <v>6987</v>
      </c>
      <c r="C558" s="3" t="s">
        <v>6985</v>
      </c>
      <c r="D558" s="3" t="s">
        <v>2121</v>
      </c>
      <c r="E558" s="3">
        <v>557</v>
      </c>
      <c r="F558" s="3" t="s">
        <v>1969</v>
      </c>
      <c r="G558" s="3" t="s">
        <v>1093</v>
      </c>
      <c r="H558" s="4" t="s">
        <v>2134</v>
      </c>
      <c r="I558" s="14"/>
    </row>
    <row r="559" spans="1:9" x14ac:dyDescent="0.25">
      <c r="A559" s="3" t="s">
        <v>6983</v>
      </c>
      <c r="B559" s="3" t="s">
        <v>6987</v>
      </c>
      <c r="C559" s="3" t="s">
        <v>6985</v>
      </c>
      <c r="D559" s="3" t="s">
        <v>2121</v>
      </c>
      <c r="E559" s="3">
        <v>558</v>
      </c>
      <c r="F559" s="3" t="s">
        <v>1970</v>
      </c>
      <c r="G559" s="3" t="s">
        <v>1093</v>
      </c>
      <c r="H559" s="4" t="s">
        <v>2144</v>
      </c>
      <c r="I559" s="14"/>
    </row>
    <row r="560" spans="1:9" x14ac:dyDescent="0.25">
      <c r="A560" s="3" t="s">
        <v>6983</v>
      </c>
      <c r="B560" s="3" t="s">
        <v>6987</v>
      </c>
      <c r="C560" s="3" t="s">
        <v>6985</v>
      </c>
      <c r="D560" s="3" t="s">
        <v>2121</v>
      </c>
      <c r="E560" s="3">
        <v>559</v>
      </c>
      <c r="F560" s="3" t="s">
        <v>1971</v>
      </c>
      <c r="G560" s="3" t="s">
        <v>1093</v>
      </c>
      <c r="H560" s="4" t="s">
        <v>2136</v>
      </c>
      <c r="I560" s="14"/>
    </row>
    <row r="561" spans="1:9" x14ac:dyDescent="0.25">
      <c r="A561" s="3" t="s">
        <v>6983</v>
      </c>
      <c r="B561" s="3" t="s">
        <v>6987</v>
      </c>
      <c r="C561" s="3" t="s">
        <v>6985</v>
      </c>
      <c r="D561" s="3" t="s">
        <v>2121</v>
      </c>
      <c r="E561" s="3">
        <v>560</v>
      </c>
      <c r="F561" s="3" t="s">
        <v>1972</v>
      </c>
      <c r="G561" s="3" t="s">
        <v>9</v>
      </c>
      <c r="H561" s="4" t="s">
        <v>2137</v>
      </c>
      <c r="I561" s="14"/>
    </row>
    <row r="562" spans="1:9" x14ac:dyDescent="0.25">
      <c r="A562" s="3" t="s">
        <v>6983</v>
      </c>
      <c r="B562" s="3" t="s">
        <v>6987</v>
      </c>
      <c r="C562" s="3" t="s">
        <v>6985</v>
      </c>
      <c r="D562" s="3" t="s">
        <v>2121</v>
      </c>
      <c r="E562" s="3">
        <v>561</v>
      </c>
      <c r="F562" s="3" t="s">
        <v>1973</v>
      </c>
      <c r="G562" s="3" t="s">
        <v>1093</v>
      </c>
      <c r="H562" s="4" t="s">
        <v>2138</v>
      </c>
      <c r="I562" s="14"/>
    </row>
    <row r="563" spans="1:9" x14ac:dyDescent="0.25">
      <c r="A563" s="3" t="s">
        <v>6983</v>
      </c>
      <c r="B563" s="3" t="s">
        <v>6987</v>
      </c>
      <c r="C563" s="3" t="s">
        <v>6985</v>
      </c>
      <c r="D563" s="3" t="s">
        <v>2121</v>
      </c>
      <c r="E563" s="3">
        <v>562</v>
      </c>
      <c r="F563" s="3" t="s">
        <v>1974</v>
      </c>
      <c r="G563" s="3" t="s">
        <v>1093</v>
      </c>
      <c r="H563" s="4" t="s">
        <v>2139</v>
      </c>
      <c r="I563" s="14"/>
    </row>
    <row r="564" spans="1:9" x14ac:dyDescent="0.25">
      <c r="A564" s="3" t="s">
        <v>6983</v>
      </c>
      <c r="B564" s="3" t="s">
        <v>6987</v>
      </c>
      <c r="C564" s="3" t="s">
        <v>6985</v>
      </c>
      <c r="D564" s="3" t="s">
        <v>2121</v>
      </c>
      <c r="E564" s="3">
        <v>563</v>
      </c>
      <c r="F564" s="3" t="s">
        <v>1975</v>
      </c>
      <c r="G564" s="3" t="s">
        <v>19</v>
      </c>
      <c r="H564" s="4" t="s">
        <v>1190</v>
      </c>
      <c r="I564" s="14"/>
    </row>
    <row r="565" spans="1:9" x14ac:dyDescent="0.25">
      <c r="A565" s="3" t="s">
        <v>6983</v>
      </c>
      <c r="B565" s="3" t="s">
        <v>6987</v>
      </c>
      <c r="C565" s="3" t="s">
        <v>6985</v>
      </c>
      <c r="D565" s="3" t="s">
        <v>2121</v>
      </c>
      <c r="E565" s="3">
        <v>564</v>
      </c>
      <c r="F565" s="3" t="s">
        <v>1976</v>
      </c>
      <c r="G565" s="3" t="s">
        <v>1093</v>
      </c>
      <c r="H565" s="4" t="s">
        <v>2140</v>
      </c>
      <c r="I565" s="14"/>
    </row>
    <row r="566" spans="1:9" x14ac:dyDescent="0.25">
      <c r="A566" s="3" t="s">
        <v>6983</v>
      </c>
      <c r="B566" s="3" t="s">
        <v>6987</v>
      </c>
      <c r="C566" s="3" t="s">
        <v>6985</v>
      </c>
      <c r="D566" s="3" t="s">
        <v>2121</v>
      </c>
      <c r="E566" s="3">
        <v>565</v>
      </c>
      <c r="F566" s="3" t="s">
        <v>1977</v>
      </c>
      <c r="G566" s="3" t="s">
        <v>9</v>
      </c>
      <c r="H566" s="4" t="s">
        <v>2141</v>
      </c>
      <c r="I566" s="14"/>
    </row>
    <row r="567" spans="1:9" x14ac:dyDescent="0.25">
      <c r="A567" s="3" t="s">
        <v>6983</v>
      </c>
      <c r="B567" s="3" t="s">
        <v>6987</v>
      </c>
      <c r="C567" s="3" t="s">
        <v>6985</v>
      </c>
      <c r="D567" s="3" t="s">
        <v>1133</v>
      </c>
      <c r="E567" s="3">
        <v>566</v>
      </c>
      <c r="F567" s="3" t="s">
        <v>1978</v>
      </c>
      <c r="G567" s="3" t="s">
        <v>13</v>
      </c>
      <c r="H567" s="4" t="s">
        <v>2146</v>
      </c>
    </row>
    <row r="568" spans="1:9" x14ac:dyDescent="0.25">
      <c r="A568" s="3" t="s">
        <v>6983</v>
      </c>
      <c r="B568" s="3" t="s">
        <v>6987</v>
      </c>
      <c r="C568" s="3" t="s">
        <v>6985</v>
      </c>
      <c r="D568" s="3" t="s">
        <v>1133</v>
      </c>
      <c r="E568" s="3">
        <v>567</v>
      </c>
      <c r="F568" s="3" t="s">
        <v>1979</v>
      </c>
      <c r="G568" s="3" t="s">
        <v>9</v>
      </c>
      <c r="H568" s="4" t="s">
        <v>2147</v>
      </c>
    </row>
    <row r="569" spans="1:9" x14ac:dyDescent="0.25">
      <c r="A569" s="3" t="s">
        <v>6983</v>
      </c>
      <c r="B569" s="3" t="s">
        <v>6987</v>
      </c>
      <c r="C569" s="3" t="s">
        <v>6985</v>
      </c>
      <c r="D569" s="3" t="s">
        <v>1133</v>
      </c>
      <c r="E569" s="3">
        <v>568</v>
      </c>
      <c r="F569" s="3" t="s">
        <v>1980</v>
      </c>
      <c r="G569" s="3" t="s">
        <v>13</v>
      </c>
      <c r="H569" s="4" t="s">
        <v>6718</v>
      </c>
    </row>
    <row r="570" spans="1:9" x14ac:dyDescent="0.25">
      <c r="A570" s="3" t="s">
        <v>6983</v>
      </c>
      <c r="B570" s="3" t="s">
        <v>6987</v>
      </c>
      <c r="C570" s="3" t="s">
        <v>6985</v>
      </c>
      <c r="D570" s="3" t="s">
        <v>1133</v>
      </c>
      <c r="E570" s="3">
        <v>569</v>
      </c>
      <c r="F570" s="3" t="s">
        <v>1981</v>
      </c>
      <c r="G570" s="3" t="s">
        <v>13</v>
      </c>
      <c r="H570" s="3" t="s">
        <v>6719</v>
      </c>
    </row>
    <row r="571" spans="1:9" x14ac:dyDescent="0.25">
      <c r="A571" s="3" t="s">
        <v>6983</v>
      </c>
      <c r="B571" s="3" t="s">
        <v>6987</v>
      </c>
      <c r="C571" s="3" t="s">
        <v>6985</v>
      </c>
      <c r="D571" s="3" t="s">
        <v>1133</v>
      </c>
      <c r="E571" s="3">
        <v>570</v>
      </c>
      <c r="F571" s="3" t="s">
        <v>1982</v>
      </c>
      <c r="G571" s="3" t="s">
        <v>13</v>
      </c>
      <c r="H571" s="4" t="s">
        <v>6720</v>
      </c>
    </row>
    <row r="572" spans="1:9" x14ac:dyDescent="0.25">
      <c r="A572" s="3" t="s">
        <v>6983</v>
      </c>
      <c r="B572" s="3" t="s">
        <v>6987</v>
      </c>
      <c r="C572" s="3" t="s">
        <v>6985</v>
      </c>
      <c r="D572" s="3" t="s">
        <v>1133</v>
      </c>
      <c r="E572" s="3">
        <v>571</v>
      </c>
      <c r="F572" s="3" t="s">
        <v>1983</v>
      </c>
      <c r="G572" s="3" t="s">
        <v>9</v>
      </c>
      <c r="H572" s="4" t="s">
        <v>6721</v>
      </c>
    </row>
    <row r="573" spans="1:9" x14ac:dyDescent="0.25">
      <c r="A573" s="3" t="s">
        <v>6983</v>
      </c>
      <c r="B573" s="3" t="s">
        <v>6987</v>
      </c>
      <c r="C573" s="3" t="s">
        <v>6985</v>
      </c>
      <c r="D573" s="3" t="s">
        <v>1133</v>
      </c>
      <c r="E573" s="3">
        <v>572</v>
      </c>
      <c r="F573" s="3" t="s">
        <v>1984</v>
      </c>
      <c r="G573" s="3" t="s">
        <v>13</v>
      </c>
      <c r="H573" s="4" t="s">
        <v>6722</v>
      </c>
    </row>
    <row r="574" spans="1:9" x14ac:dyDescent="0.25">
      <c r="A574" s="3" t="s">
        <v>6983</v>
      </c>
      <c r="B574" s="3" t="s">
        <v>6987</v>
      </c>
      <c r="C574" s="3" t="s">
        <v>6985</v>
      </c>
      <c r="D574" s="3" t="s">
        <v>1133</v>
      </c>
      <c r="E574" s="3">
        <v>573</v>
      </c>
      <c r="F574" s="3" t="s">
        <v>1985</v>
      </c>
      <c r="G574" s="3" t="s">
        <v>9</v>
      </c>
      <c r="H574" s="4" t="s">
        <v>6723</v>
      </c>
    </row>
    <row r="575" spans="1:9" x14ac:dyDescent="0.25">
      <c r="A575" s="3" t="s">
        <v>6983</v>
      </c>
      <c r="B575" s="3" t="s">
        <v>6987</v>
      </c>
      <c r="C575" s="3" t="s">
        <v>6985</v>
      </c>
      <c r="D575" s="3" t="s">
        <v>1131</v>
      </c>
      <c r="E575" s="3">
        <v>574</v>
      </c>
      <c r="F575" s="3" t="s">
        <v>761</v>
      </c>
      <c r="G575" s="3" t="s">
        <v>1093</v>
      </c>
      <c r="H575" s="4" t="s">
        <v>1221</v>
      </c>
    </row>
    <row r="576" spans="1:9" x14ac:dyDescent="0.25">
      <c r="A576" s="3" t="s">
        <v>6983</v>
      </c>
      <c r="B576" s="3" t="s">
        <v>6987</v>
      </c>
      <c r="C576" s="3" t="s">
        <v>6985</v>
      </c>
      <c r="D576" s="3" t="s">
        <v>1134</v>
      </c>
      <c r="E576" s="3">
        <v>575</v>
      </c>
      <c r="F576" s="3" t="s">
        <v>1986</v>
      </c>
      <c r="G576" s="3" t="s">
        <v>1100</v>
      </c>
      <c r="H576" s="3" t="s">
        <v>7043</v>
      </c>
    </row>
    <row r="577" spans="1:8" x14ac:dyDescent="0.25">
      <c r="A577" s="3" t="s">
        <v>6983</v>
      </c>
      <c r="B577" s="3" t="s">
        <v>6987</v>
      </c>
      <c r="C577" s="3" t="s">
        <v>6985</v>
      </c>
      <c r="D577" s="3" t="s">
        <v>1134</v>
      </c>
      <c r="E577" s="3">
        <v>576</v>
      </c>
      <c r="F577" s="3" t="s">
        <v>1987</v>
      </c>
      <c r="G577" s="3" t="s">
        <v>1104</v>
      </c>
      <c r="H577" s="3" t="s">
        <v>7044</v>
      </c>
    </row>
    <row r="578" spans="1:8" x14ac:dyDescent="0.25">
      <c r="A578" s="3" t="s">
        <v>6983</v>
      </c>
      <c r="B578" s="3" t="s">
        <v>6987</v>
      </c>
      <c r="C578" s="3" t="s">
        <v>6985</v>
      </c>
      <c r="D578" s="3" t="s">
        <v>1134</v>
      </c>
      <c r="E578" s="3">
        <v>577</v>
      </c>
      <c r="F578" s="3" t="s">
        <v>1988</v>
      </c>
      <c r="G578" s="3" t="s">
        <v>1100</v>
      </c>
      <c r="H578" s="3" t="s">
        <v>7052</v>
      </c>
    </row>
    <row r="579" spans="1:8" x14ac:dyDescent="0.25">
      <c r="A579" s="3" t="s">
        <v>6983</v>
      </c>
      <c r="B579" s="3" t="s">
        <v>6987</v>
      </c>
      <c r="C579" s="3" t="s">
        <v>6985</v>
      </c>
      <c r="D579" s="3" t="s">
        <v>1134</v>
      </c>
      <c r="E579" s="3">
        <v>578</v>
      </c>
      <c r="F579" s="3" t="s">
        <v>1989</v>
      </c>
      <c r="G579" s="3" t="s">
        <v>1104</v>
      </c>
      <c r="H579" s="3" t="s">
        <v>7045</v>
      </c>
    </row>
    <row r="580" spans="1:8" x14ac:dyDescent="0.25">
      <c r="A580" s="3" t="s">
        <v>6983</v>
      </c>
      <c r="B580" s="3" t="s">
        <v>6987</v>
      </c>
      <c r="C580" s="3" t="s">
        <v>6985</v>
      </c>
      <c r="D580" s="3" t="s">
        <v>1134</v>
      </c>
      <c r="E580" s="3">
        <v>579</v>
      </c>
      <c r="F580" s="3" t="s">
        <v>1990</v>
      </c>
      <c r="G580" s="3" t="s">
        <v>1100</v>
      </c>
      <c r="H580" s="3" t="s">
        <v>7053</v>
      </c>
    </row>
    <row r="581" spans="1:8" x14ac:dyDescent="0.25">
      <c r="A581" s="3" t="s">
        <v>6983</v>
      </c>
      <c r="B581" s="3" t="s">
        <v>6987</v>
      </c>
      <c r="C581" s="3" t="s">
        <v>6985</v>
      </c>
      <c r="D581" s="3" t="s">
        <v>1134</v>
      </c>
      <c r="E581" s="3">
        <v>580</v>
      </c>
      <c r="F581" s="3" t="s">
        <v>1991</v>
      </c>
      <c r="G581" s="3" t="s">
        <v>1104</v>
      </c>
      <c r="H581" s="3" t="s">
        <v>7046</v>
      </c>
    </row>
    <row r="582" spans="1:8" x14ac:dyDescent="0.25">
      <c r="A582" s="3" t="s">
        <v>6983</v>
      </c>
      <c r="B582" s="3" t="s">
        <v>6987</v>
      </c>
      <c r="C582" s="3" t="s">
        <v>6985</v>
      </c>
      <c r="D582" s="3" t="s">
        <v>1134</v>
      </c>
      <c r="E582" s="3">
        <v>581</v>
      </c>
      <c r="F582" s="3" t="s">
        <v>1992</v>
      </c>
      <c r="G582" s="3" t="s">
        <v>1100</v>
      </c>
      <c r="H582" s="3" t="s">
        <v>7054</v>
      </c>
    </row>
    <row r="583" spans="1:8" x14ac:dyDescent="0.25">
      <c r="A583" s="3" t="s">
        <v>6983</v>
      </c>
      <c r="B583" s="3" t="s">
        <v>6987</v>
      </c>
      <c r="C583" s="3" t="s">
        <v>6985</v>
      </c>
      <c r="D583" s="3" t="s">
        <v>1134</v>
      </c>
      <c r="E583" s="3">
        <v>582</v>
      </c>
      <c r="F583" s="3" t="s">
        <v>1993</v>
      </c>
      <c r="G583" s="3" t="s">
        <v>1104</v>
      </c>
      <c r="H583" s="3" t="s">
        <v>7047</v>
      </c>
    </row>
    <row r="584" spans="1:8" x14ac:dyDescent="0.25">
      <c r="A584" s="3" t="s">
        <v>6983</v>
      </c>
      <c r="B584" s="3" t="s">
        <v>6987</v>
      </c>
      <c r="C584" s="3" t="s">
        <v>6985</v>
      </c>
      <c r="D584" s="3" t="s">
        <v>1134</v>
      </c>
      <c r="E584" s="3">
        <v>583</v>
      </c>
      <c r="F584" s="3" t="s">
        <v>1994</v>
      </c>
      <c r="G584" s="3" t="s">
        <v>1100</v>
      </c>
      <c r="H584" s="3" t="s">
        <v>7055</v>
      </c>
    </row>
    <row r="585" spans="1:8" x14ac:dyDescent="0.25">
      <c r="A585" s="3" t="s">
        <v>6983</v>
      </c>
      <c r="B585" s="3" t="s">
        <v>6987</v>
      </c>
      <c r="C585" s="3" t="s">
        <v>6985</v>
      </c>
      <c r="D585" s="3" t="s">
        <v>1134</v>
      </c>
      <c r="E585" s="3">
        <v>584</v>
      </c>
      <c r="F585" s="3" t="s">
        <v>1995</v>
      </c>
      <c r="G585" s="3" t="s">
        <v>1104</v>
      </c>
      <c r="H585" s="3" t="s">
        <v>7048</v>
      </c>
    </row>
    <row r="586" spans="1:8" x14ac:dyDescent="0.25">
      <c r="A586" s="3" t="s">
        <v>6983</v>
      </c>
      <c r="B586" s="3" t="s">
        <v>6987</v>
      </c>
      <c r="C586" s="3" t="s">
        <v>6985</v>
      </c>
      <c r="D586" s="3" t="s">
        <v>1134</v>
      </c>
      <c r="E586" s="3">
        <v>585</v>
      </c>
      <c r="F586" s="3" t="s">
        <v>1996</v>
      </c>
      <c r="G586" s="3" t="s">
        <v>1100</v>
      </c>
      <c r="H586" s="3" t="s">
        <v>7056</v>
      </c>
    </row>
    <row r="587" spans="1:8" x14ac:dyDescent="0.25">
      <c r="A587" s="3" t="s">
        <v>6983</v>
      </c>
      <c r="B587" s="3" t="s">
        <v>6987</v>
      </c>
      <c r="C587" s="3" t="s">
        <v>6985</v>
      </c>
      <c r="D587" s="3" t="s">
        <v>1134</v>
      </c>
      <c r="E587" s="3">
        <v>586</v>
      </c>
      <c r="F587" s="3" t="s">
        <v>1997</v>
      </c>
      <c r="G587" s="3" t="s">
        <v>1104</v>
      </c>
      <c r="H587" s="3" t="s">
        <v>7049</v>
      </c>
    </row>
    <row r="588" spans="1:8" x14ac:dyDescent="0.25">
      <c r="A588" s="3" t="s">
        <v>6983</v>
      </c>
      <c r="B588" s="3" t="s">
        <v>6987</v>
      </c>
      <c r="C588" s="3" t="s">
        <v>6985</v>
      </c>
      <c r="D588" s="3" t="s">
        <v>1134</v>
      </c>
      <c r="E588" s="3">
        <v>587</v>
      </c>
      <c r="F588" s="3" t="s">
        <v>1998</v>
      </c>
      <c r="G588" s="3" t="s">
        <v>1100</v>
      </c>
      <c r="H588" s="3" t="s">
        <v>7057</v>
      </c>
    </row>
    <row r="589" spans="1:8" x14ac:dyDescent="0.25">
      <c r="A589" s="3" t="s">
        <v>6983</v>
      </c>
      <c r="B589" s="3" t="s">
        <v>6987</v>
      </c>
      <c r="C589" s="3" t="s">
        <v>6985</v>
      </c>
      <c r="D589" s="3" t="s">
        <v>1134</v>
      </c>
      <c r="E589" s="3">
        <v>588</v>
      </c>
      <c r="F589" s="3" t="s">
        <v>1999</v>
      </c>
      <c r="G589" s="3" t="s">
        <v>1104</v>
      </c>
      <c r="H589" s="3" t="s">
        <v>7050</v>
      </c>
    </row>
    <row r="590" spans="1:8" x14ac:dyDescent="0.25">
      <c r="A590" s="3" t="s">
        <v>6983</v>
      </c>
      <c r="B590" s="3" t="s">
        <v>6987</v>
      </c>
      <c r="C590" s="3" t="s">
        <v>6985</v>
      </c>
      <c r="D590" s="3" t="s">
        <v>1134</v>
      </c>
      <c r="E590" s="3">
        <v>589</v>
      </c>
      <c r="F590" s="3" t="s">
        <v>2000</v>
      </c>
      <c r="G590" s="3" t="s">
        <v>1100</v>
      </c>
      <c r="H590" s="3" t="s">
        <v>7058</v>
      </c>
    </row>
    <row r="591" spans="1:8" x14ac:dyDescent="0.25">
      <c r="A591" s="3" t="s">
        <v>6983</v>
      </c>
      <c r="B591" s="3" t="s">
        <v>6987</v>
      </c>
      <c r="C591" s="3" t="s">
        <v>6985</v>
      </c>
      <c r="D591" s="3" t="s">
        <v>1134</v>
      </c>
      <c r="E591" s="3">
        <v>590</v>
      </c>
      <c r="F591" s="3" t="s">
        <v>2001</v>
      </c>
      <c r="G591" s="3" t="s">
        <v>1104</v>
      </c>
      <c r="H591" s="3" t="s">
        <v>7051</v>
      </c>
    </row>
    <row r="592" spans="1:8" x14ac:dyDescent="0.25">
      <c r="A592" s="3" t="s">
        <v>6983</v>
      </c>
      <c r="B592" s="3" t="s">
        <v>6987</v>
      </c>
      <c r="C592" s="3" t="s">
        <v>6985</v>
      </c>
      <c r="D592" s="3" t="s">
        <v>1130</v>
      </c>
      <c r="E592" s="3">
        <v>591</v>
      </c>
      <c r="F592" s="3" t="s">
        <v>740</v>
      </c>
      <c r="G592" s="3" t="s">
        <v>1093</v>
      </c>
      <c r="H592" s="4" t="s">
        <v>6817</v>
      </c>
    </row>
    <row r="593" spans="1:8" x14ac:dyDescent="0.25">
      <c r="A593" s="3" t="s">
        <v>6983</v>
      </c>
      <c r="B593" s="3" t="s">
        <v>6987</v>
      </c>
      <c r="C593" s="3" t="s">
        <v>6985</v>
      </c>
      <c r="D593" s="3" t="s">
        <v>1130</v>
      </c>
      <c r="E593" s="3">
        <v>592</v>
      </c>
      <c r="F593" s="3" t="s">
        <v>741</v>
      </c>
      <c r="G593" s="3" t="s">
        <v>1093</v>
      </c>
      <c r="H593" s="4" t="s">
        <v>6818</v>
      </c>
    </row>
    <row r="594" spans="1:8" x14ac:dyDescent="0.25">
      <c r="A594" s="3" t="s">
        <v>6983</v>
      </c>
      <c r="B594" s="3" t="s">
        <v>6987</v>
      </c>
      <c r="C594" s="3" t="s">
        <v>6985</v>
      </c>
      <c r="D594" s="3" t="s">
        <v>1130</v>
      </c>
      <c r="E594" s="3">
        <v>593</v>
      </c>
      <c r="F594" s="3" t="s">
        <v>742</v>
      </c>
      <c r="G594" s="3" t="s">
        <v>17</v>
      </c>
      <c r="H594" s="4" t="s">
        <v>6819</v>
      </c>
    </row>
    <row r="595" spans="1:8" x14ac:dyDescent="0.25">
      <c r="A595" s="3" t="s">
        <v>6983</v>
      </c>
      <c r="B595" s="3" t="s">
        <v>6987</v>
      </c>
      <c r="C595" s="3" t="s">
        <v>6985</v>
      </c>
      <c r="D595" s="3" t="s">
        <v>1130</v>
      </c>
      <c r="E595" s="3">
        <v>594</v>
      </c>
      <c r="F595" s="3" t="s">
        <v>743</v>
      </c>
      <c r="G595" s="3" t="s">
        <v>1093</v>
      </c>
      <c r="H595" s="4" t="s">
        <v>1215</v>
      </c>
    </row>
    <row r="596" spans="1:8" x14ac:dyDescent="0.25">
      <c r="A596" s="3" t="s">
        <v>6983</v>
      </c>
      <c r="B596" s="3" t="s">
        <v>6987</v>
      </c>
      <c r="C596" s="3" t="s">
        <v>6985</v>
      </c>
      <c r="D596" s="3" t="s">
        <v>1130</v>
      </c>
      <c r="E596" s="3">
        <v>595</v>
      </c>
      <c r="F596" s="3" t="s">
        <v>744</v>
      </c>
      <c r="G596" s="3" t="s">
        <v>1093</v>
      </c>
      <c r="H596" s="4" t="s">
        <v>6817</v>
      </c>
    </row>
    <row r="597" spans="1:8" x14ac:dyDescent="0.25">
      <c r="A597" s="3" t="s">
        <v>6983</v>
      </c>
      <c r="B597" s="3" t="s">
        <v>6987</v>
      </c>
      <c r="C597" s="3" t="s">
        <v>6985</v>
      </c>
      <c r="D597" s="3" t="s">
        <v>1130</v>
      </c>
      <c r="E597" s="3">
        <v>596</v>
      </c>
      <c r="F597" s="3" t="s">
        <v>745</v>
      </c>
      <c r="G597" s="3" t="s">
        <v>1093</v>
      </c>
      <c r="H597" s="4" t="s">
        <v>6823</v>
      </c>
    </row>
    <row r="598" spans="1:8" x14ac:dyDescent="0.25">
      <c r="A598" s="3" t="s">
        <v>6983</v>
      </c>
      <c r="B598" s="3" t="s">
        <v>6987</v>
      </c>
      <c r="C598" s="3" t="s">
        <v>6985</v>
      </c>
      <c r="D598" s="3" t="s">
        <v>1130</v>
      </c>
      <c r="E598" s="3">
        <v>597</v>
      </c>
      <c r="F598" s="3" t="s">
        <v>746</v>
      </c>
      <c r="G598" s="3" t="s">
        <v>17</v>
      </c>
      <c r="H598" s="4" t="s">
        <v>6819</v>
      </c>
    </row>
    <row r="599" spans="1:8" x14ac:dyDescent="0.25">
      <c r="A599" s="3" t="s">
        <v>6983</v>
      </c>
      <c r="B599" s="3" t="s">
        <v>6987</v>
      </c>
      <c r="C599" s="3" t="s">
        <v>6985</v>
      </c>
      <c r="D599" s="3" t="s">
        <v>1130</v>
      </c>
      <c r="E599" s="3">
        <v>598</v>
      </c>
      <c r="F599" s="3" t="s">
        <v>747</v>
      </c>
      <c r="G599" s="3" t="s">
        <v>1093</v>
      </c>
      <c r="H599" s="4" t="s">
        <v>1216</v>
      </c>
    </row>
    <row r="600" spans="1:8" x14ac:dyDescent="0.25">
      <c r="A600" s="3" t="s">
        <v>6983</v>
      </c>
      <c r="B600" s="3" t="s">
        <v>6987</v>
      </c>
      <c r="C600" s="3" t="s">
        <v>6985</v>
      </c>
      <c r="D600" s="3" t="s">
        <v>1130</v>
      </c>
      <c r="E600" s="3">
        <v>599</v>
      </c>
      <c r="F600" s="3" t="s">
        <v>748</v>
      </c>
      <c r="G600" s="3" t="s">
        <v>1093</v>
      </c>
      <c r="H600" s="4" t="s">
        <v>6817</v>
      </c>
    </row>
    <row r="601" spans="1:8" x14ac:dyDescent="0.25">
      <c r="A601" s="3" t="s">
        <v>6983</v>
      </c>
      <c r="B601" s="3" t="s">
        <v>6987</v>
      </c>
      <c r="C601" s="3" t="s">
        <v>6985</v>
      </c>
      <c r="D601" s="3" t="s">
        <v>1130</v>
      </c>
      <c r="E601" s="3">
        <v>600</v>
      </c>
      <c r="F601" s="3" t="s">
        <v>749</v>
      </c>
      <c r="G601" s="3" t="s">
        <v>1093</v>
      </c>
      <c r="H601" s="4" t="s">
        <v>6824</v>
      </c>
    </row>
    <row r="602" spans="1:8" x14ac:dyDescent="0.25">
      <c r="A602" s="3" t="s">
        <v>6983</v>
      </c>
      <c r="B602" s="3" t="s">
        <v>6987</v>
      </c>
      <c r="C602" s="3" t="s">
        <v>6985</v>
      </c>
      <c r="D602" s="3" t="s">
        <v>1130</v>
      </c>
      <c r="E602" s="3">
        <v>601</v>
      </c>
      <c r="F602" s="3" t="s">
        <v>750</v>
      </c>
      <c r="G602" s="3" t="s">
        <v>17</v>
      </c>
      <c r="H602" s="4" t="s">
        <v>6819</v>
      </c>
    </row>
    <row r="603" spans="1:8" x14ac:dyDescent="0.25">
      <c r="A603" s="3" t="s">
        <v>6983</v>
      </c>
      <c r="B603" s="3" t="s">
        <v>6987</v>
      </c>
      <c r="C603" s="3" t="s">
        <v>6985</v>
      </c>
      <c r="D603" s="3" t="s">
        <v>1130</v>
      </c>
      <c r="E603" s="3">
        <v>602</v>
      </c>
      <c r="F603" s="3" t="s">
        <v>751</v>
      </c>
      <c r="G603" s="3" t="s">
        <v>1093</v>
      </c>
      <c r="H603" s="4" t="s">
        <v>1217</v>
      </c>
    </row>
    <row r="604" spans="1:8" x14ac:dyDescent="0.25">
      <c r="A604" s="3" t="s">
        <v>6983</v>
      </c>
      <c r="B604" s="3" t="s">
        <v>6987</v>
      </c>
      <c r="C604" s="3" t="s">
        <v>6985</v>
      </c>
      <c r="D604" s="3" t="s">
        <v>1130</v>
      </c>
      <c r="E604" s="3">
        <v>603</v>
      </c>
      <c r="F604" s="3" t="s">
        <v>752</v>
      </c>
      <c r="G604" s="3" t="s">
        <v>1093</v>
      </c>
      <c r="H604" s="4" t="s">
        <v>6817</v>
      </c>
    </row>
    <row r="605" spans="1:8" x14ac:dyDescent="0.25">
      <c r="A605" s="3" t="s">
        <v>6983</v>
      </c>
      <c r="B605" s="3" t="s">
        <v>6987</v>
      </c>
      <c r="C605" s="3" t="s">
        <v>6985</v>
      </c>
      <c r="D605" s="3" t="s">
        <v>1130</v>
      </c>
      <c r="E605" s="3">
        <v>604</v>
      </c>
      <c r="F605" s="3" t="s">
        <v>753</v>
      </c>
      <c r="G605" s="3" t="s">
        <v>1093</v>
      </c>
      <c r="H605" s="4" t="s">
        <v>6825</v>
      </c>
    </row>
    <row r="606" spans="1:8" x14ac:dyDescent="0.25">
      <c r="A606" s="3" t="s">
        <v>6983</v>
      </c>
      <c r="B606" s="3" t="s">
        <v>6987</v>
      </c>
      <c r="C606" s="3" t="s">
        <v>6985</v>
      </c>
      <c r="D606" s="3" t="s">
        <v>1130</v>
      </c>
      <c r="E606" s="3">
        <v>605</v>
      </c>
      <c r="F606" s="3" t="s">
        <v>754</v>
      </c>
      <c r="G606" s="3" t="s">
        <v>17</v>
      </c>
      <c r="H606" s="4" t="s">
        <v>6819</v>
      </c>
    </row>
    <row r="607" spans="1:8" x14ac:dyDescent="0.25">
      <c r="A607" s="3" t="s">
        <v>6983</v>
      </c>
      <c r="B607" s="3" t="s">
        <v>6987</v>
      </c>
      <c r="C607" s="3" t="s">
        <v>6985</v>
      </c>
      <c r="D607" s="3" t="s">
        <v>1130</v>
      </c>
      <c r="E607" s="3">
        <v>606</v>
      </c>
      <c r="F607" s="3" t="s">
        <v>755</v>
      </c>
      <c r="G607" s="3" t="s">
        <v>1093</v>
      </c>
      <c r="H607" s="4" t="s">
        <v>1218</v>
      </c>
    </row>
    <row r="608" spans="1:8" x14ac:dyDescent="0.25">
      <c r="A608" s="3" t="s">
        <v>6983</v>
      </c>
      <c r="B608" s="3" t="s">
        <v>6987</v>
      </c>
      <c r="C608" s="3" t="s">
        <v>6985</v>
      </c>
      <c r="D608" s="3" t="s">
        <v>1130</v>
      </c>
      <c r="E608" s="3">
        <v>607</v>
      </c>
      <c r="F608" s="3" t="s">
        <v>2002</v>
      </c>
      <c r="G608" s="3" t="s">
        <v>1093</v>
      </c>
      <c r="H608" s="4" t="s">
        <v>1219</v>
      </c>
    </row>
    <row r="609" spans="1:8" x14ac:dyDescent="0.25">
      <c r="A609" s="3" t="s">
        <v>6983</v>
      </c>
      <c r="B609" s="3" t="s">
        <v>6987</v>
      </c>
      <c r="C609" s="3" t="s">
        <v>6985</v>
      </c>
      <c r="D609" s="3" t="s">
        <v>1130</v>
      </c>
      <c r="E609" s="3">
        <v>608</v>
      </c>
      <c r="F609" s="3" t="s">
        <v>2003</v>
      </c>
      <c r="G609" s="3" t="s">
        <v>17</v>
      </c>
      <c r="H609" s="4" t="s">
        <v>1220</v>
      </c>
    </row>
    <row r="610" spans="1:8" x14ac:dyDescent="0.25">
      <c r="A610" s="3" t="s">
        <v>6983</v>
      </c>
      <c r="B610" s="3" t="s">
        <v>6987</v>
      </c>
      <c r="C610" s="3" t="s">
        <v>6985</v>
      </c>
      <c r="D610" s="3" t="s">
        <v>1130</v>
      </c>
      <c r="E610" s="3">
        <v>609</v>
      </c>
      <c r="F610" s="3" t="s">
        <v>758</v>
      </c>
      <c r="G610" s="3" t="s">
        <v>1093</v>
      </c>
      <c r="H610" s="4" t="s">
        <v>1214</v>
      </c>
    </row>
    <row r="611" spans="1:8" x14ac:dyDescent="0.25">
      <c r="A611" s="3" t="s">
        <v>6983</v>
      </c>
      <c r="B611" s="3" t="s">
        <v>6987</v>
      </c>
      <c r="C611" s="3" t="s">
        <v>6985</v>
      </c>
      <c r="D611" s="3" t="s">
        <v>1130</v>
      </c>
      <c r="E611" s="3">
        <v>610</v>
      </c>
      <c r="F611" s="3" t="s">
        <v>2004</v>
      </c>
      <c r="G611" s="3" t="s">
        <v>4</v>
      </c>
      <c r="H611" s="4" t="s">
        <v>1404</v>
      </c>
    </row>
    <row r="612" spans="1:8" x14ac:dyDescent="0.25">
      <c r="A612" s="3" t="s">
        <v>6983</v>
      </c>
      <c r="B612" s="3" t="s">
        <v>6987</v>
      </c>
      <c r="C612" s="3" t="s">
        <v>6985</v>
      </c>
      <c r="D612" s="3" t="s">
        <v>1130</v>
      </c>
      <c r="E612" s="3">
        <v>611</v>
      </c>
      <c r="F612" s="3" t="s">
        <v>760</v>
      </c>
      <c r="G612" s="3" t="s">
        <v>4</v>
      </c>
      <c r="H612" s="4" t="s">
        <v>1405</v>
      </c>
    </row>
    <row r="613" spans="1:8" x14ac:dyDescent="0.25">
      <c r="A613" s="3" t="s">
        <v>6983</v>
      </c>
      <c r="B613" s="3" t="s">
        <v>6987</v>
      </c>
      <c r="C613" s="3" t="s">
        <v>6985</v>
      </c>
      <c r="D613" s="3" t="s">
        <v>1130</v>
      </c>
      <c r="E613" s="3">
        <v>612</v>
      </c>
      <c r="F613" s="3" t="s">
        <v>878</v>
      </c>
      <c r="G613" s="3" t="s">
        <v>16</v>
      </c>
      <c r="H613" s="4" t="s">
        <v>6954</v>
      </c>
    </row>
    <row r="614" spans="1:8" x14ac:dyDescent="0.25">
      <c r="A614" s="3" t="s">
        <v>6983</v>
      </c>
      <c r="B614" s="3" t="s">
        <v>6987</v>
      </c>
      <c r="C614" s="3" t="s">
        <v>6985</v>
      </c>
      <c r="D614" s="3" t="s">
        <v>1130</v>
      </c>
      <c r="E614" s="3">
        <v>613</v>
      </c>
      <c r="F614" s="3" t="s">
        <v>879</v>
      </c>
      <c r="G614" s="3" t="s">
        <v>1110</v>
      </c>
      <c r="H614" s="4" t="s">
        <v>6955</v>
      </c>
    </row>
    <row r="615" spans="1:8" x14ac:dyDescent="0.25">
      <c r="A615" s="3" t="s">
        <v>6983</v>
      </c>
      <c r="B615" s="3" t="s">
        <v>6987</v>
      </c>
      <c r="C615" s="3" t="s">
        <v>6985</v>
      </c>
      <c r="D615" s="3" t="s">
        <v>1130</v>
      </c>
      <c r="E615" s="3">
        <v>614</v>
      </c>
      <c r="F615" s="3" t="s">
        <v>880</v>
      </c>
      <c r="G615" s="3" t="s">
        <v>1110</v>
      </c>
      <c r="H615" s="4" t="s">
        <v>6956</v>
      </c>
    </row>
    <row r="616" spans="1:8" x14ac:dyDescent="0.25">
      <c r="A616" s="3" t="s">
        <v>6983</v>
      </c>
      <c r="B616" s="3" t="s">
        <v>6987</v>
      </c>
      <c r="C616" s="3" t="s">
        <v>6985</v>
      </c>
      <c r="D616" s="3" t="s">
        <v>1136</v>
      </c>
      <c r="E616" s="3">
        <v>615</v>
      </c>
      <c r="F616" s="3" t="s">
        <v>2005</v>
      </c>
      <c r="G616" s="3" t="s">
        <v>1093</v>
      </c>
      <c r="H616" s="3" t="str">
        <f>_xlfn.CONCAT("Data QA applied on ",_xlfn.TEXTAFTER(F616, "MAS "), ", computed by BMT WinMon.")</f>
        <v>Data QA applied on PQ Northings, computed by BMT WinMon.</v>
      </c>
    </row>
    <row r="617" spans="1:8" x14ac:dyDescent="0.25">
      <c r="A617" s="3" t="s">
        <v>6983</v>
      </c>
      <c r="B617" s="3" t="s">
        <v>6987</v>
      </c>
      <c r="C617" s="3" t="s">
        <v>6985</v>
      </c>
      <c r="D617" s="3" t="s">
        <v>1136</v>
      </c>
      <c r="E617" s="3">
        <v>616</v>
      </c>
      <c r="F617" s="3" t="s">
        <v>2006</v>
      </c>
      <c r="G617" s="3" t="s">
        <v>1093</v>
      </c>
      <c r="H617" s="3" t="str">
        <f t="shared" ref="H617:H624" si="14">_xlfn.CONCAT("Data QA applied on ",_xlfn.TEXTAFTER(F617, "MAS "), ", computed by BMT WinMon.")</f>
        <v>Data QA applied on PQ Eastings, computed by BMT WinMon.</v>
      </c>
    </row>
    <row r="618" spans="1:8" x14ac:dyDescent="0.25">
      <c r="A618" s="3" t="s">
        <v>6983</v>
      </c>
      <c r="B618" s="3" t="s">
        <v>6987</v>
      </c>
      <c r="C618" s="3" t="s">
        <v>6985</v>
      </c>
      <c r="D618" s="3" t="s">
        <v>1136</v>
      </c>
      <c r="E618" s="3">
        <v>617</v>
      </c>
      <c r="F618" s="3" t="s">
        <v>2007</v>
      </c>
      <c r="G618" s="3" t="s">
        <v>13</v>
      </c>
      <c r="H618" s="3" t="str">
        <f t="shared" si="14"/>
        <v>Data QA applied on Wind Spd, computed by BMT WinMon.</v>
      </c>
    </row>
    <row r="619" spans="1:8" x14ac:dyDescent="0.25">
      <c r="A619" s="3" t="s">
        <v>6983</v>
      </c>
      <c r="B619" s="3" t="s">
        <v>6987</v>
      </c>
      <c r="C619" s="3" t="s">
        <v>6985</v>
      </c>
      <c r="D619" s="3" t="s">
        <v>1136</v>
      </c>
      <c r="E619" s="3">
        <v>618</v>
      </c>
      <c r="F619" s="3" t="s">
        <v>2008</v>
      </c>
      <c r="G619" s="3" t="s">
        <v>9</v>
      </c>
      <c r="H619" s="3" t="str">
        <f t="shared" si="14"/>
        <v>Data QA applied on Wind Dir, computed by BMT WinMon.</v>
      </c>
    </row>
    <row r="620" spans="1:8" x14ac:dyDescent="0.25">
      <c r="A620" s="3" t="s">
        <v>6983</v>
      </c>
      <c r="B620" s="3" t="s">
        <v>6987</v>
      </c>
      <c r="C620" s="3" t="s">
        <v>6985</v>
      </c>
      <c r="D620" s="3" t="s">
        <v>1136</v>
      </c>
      <c r="E620" s="3">
        <v>619</v>
      </c>
      <c r="F620" s="3" t="s">
        <v>2009</v>
      </c>
      <c r="G620" s="3" t="s">
        <v>13</v>
      </c>
      <c r="H620" s="3" t="str">
        <f t="shared" si="14"/>
        <v>Data QA applied on Max Current Spd, computed by BMT WinMon.</v>
      </c>
    </row>
    <row r="621" spans="1:8" x14ac:dyDescent="0.25">
      <c r="A621" s="3" t="s">
        <v>6983</v>
      </c>
      <c r="B621" s="3" t="s">
        <v>6987</v>
      </c>
      <c r="C621" s="3" t="s">
        <v>6985</v>
      </c>
      <c r="D621" s="3" t="s">
        <v>1136</v>
      </c>
      <c r="E621" s="3">
        <v>620</v>
      </c>
      <c r="F621" s="3" t="s">
        <v>2010</v>
      </c>
      <c r="G621" s="3" t="s">
        <v>9</v>
      </c>
      <c r="H621" s="3" t="str">
        <f t="shared" si="14"/>
        <v>Data QA applied on Max Current Dir, computed by BMT WinMon.</v>
      </c>
    </row>
    <row r="622" spans="1:8" x14ac:dyDescent="0.25">
      <c r="A622" s="3" t="s">
        <v>6983</v>
      </c>
      <c r="B622" s="3" t="s">
        <v>6987</v>
      </c>
      <c r="C622" s="3" t="s">
        <v>6985</v>
      </c>
      <c r="D622" s="3" t="s">
        <v>1136</v>
      </c>
      <c r="E622" s="3">
        <v>621</v>
      </c>
      <c r="F622" s="3" t="s">
        <v>2011</v>
      </c>
      <c r="G622" s="3" t="s">
        <v>1093</v>
      </c>
      <c r="H622" s="3" t="str">
        <f t="shared" si="14"/>
        <v>Data QA applied on Sig Wave Ht, computed by BMT WinMon.</v>
      </c>
    </row>
    <row r="623" spans="1:8" x14ac:dyDescent="0.25">
      <c r="A623" s="3" t="s">
        <v>6983</v>
      </c>
      <c r="B623" s="3" t="s">
        <v>6987</v>
      </c>
      <c r="C623" s="3" t="s">
        <v>6985</v>
      </c>
      <c r="D623" s="3" t="s">
        <v>1136</v>
      </c>
      <c r="E623" s="3">
        <v>622</v>
      </c>
      <c r="F623" s="3" t="s">
        <v>899</v>
      </c>
      <c r="G623" s="3" t="s">
        <v>17</v>
      </c>
      <c r="H623" s="3" t="str">
        <f t="shared" si="14"/>
        <v>Data QA applied on Wave Period, computed by BMT WinMon.</v>
      </c>
    </row>
    <row r="624" spans="1:8" x14ac:dyDescent="0.25">
      <c r="A624" s="3" t="s">
        <v>6983</v>
      </c>
      <c r="B624" s="3" t="s">
        <v>6987</v>
      </c>
      <c r="C624" s="3" t="s">
        <v>6985</v>
      </c>
      <c r="D624" s="3" t="s">
        <v>1136</v>
      </c>
      <c r="E624" s="3">
        <v>623</v>
      </c>
      <c r="F624" s="3" t="s">
        <v>900</v>
      </c>
      <c r="G624" s="3" t="s">
        <v>9</v>
      </c>
      <c r="H624" s="3" t="str">
        <f t="shared" si="14"/>
        <v>Data QA applied on Wave Dir, computed by BMT WinMon.</v>
      </c>
    </row>
    <row r="625" spans="1:8" x14ac:dyDescent="0.25">
      <c r="A625" s="3" t="s">
        <v>6983</v>
      </c>
      <c r="B625" s="3" t="s">
        <v>6987</v>
      </c>
      <c r="C625" s="3" t="s">
        <v>6985</v>
      </c>
      <c r="D625" s="3" t="s">
        <v>2122</v>
      </c>
      <c r="E625" s="3">
        <v>624</v>
      </c>
      <c r="F625" s="3" t="s">
        <v>2012</v>
      </c>
      <c r="G625" s="3" t="s">
        <v>1100</v>
      </c>
      <c r="H625" s="3" t="str">
        <f>_xlfn.CONCAT("Data QA applied on ",_xlfn.TEXTAFTER(F625, "MAS "), ", computed by BMT WinMon, output to LMP.")</f>
        <v>Data QA applied on E1 Tendon 1 Tension, computed by BMT WinMon, output to LMP.</v>
      </c>
    </row>
    <row r="626" spans="1:8" x14ac:dyDescent="0.25">
      <c r="A626" s="3" t="s">
        <v>6983</v>
      </c>
      <c r="B626" s="3" t="s">
        <v>6987</v>
      </c>
      <c r="C626" s="3" t="s">
        <v>6985</v>
      </c>
      <c r="D626" s="3" t="s">
        <v>2122</v>
      </c>
      <c r="E626" s="3">
        <v>625</v>
      </c>
      <c r="F626" s="3" t="s">
        <v>2013</v>
      </c>
      <c r="G626" s="3" t="s">
        <v>1100</v>
      </c>
      <c r="H626" s="3" t="str">
        <f t="shared" ref="H626:H689" si="15">_xlfn.CONCAT("Data QA applied on ",_xlfn.TEXTAFTER(F626, "MAS "), ", computed by BMT WinMon, output to LMP.")</f>
        <v>Data QA applied on E1 Tendon 2 Tension, computed by BMT WinMon, output to LMP.</v>
      </c>
    </row>
    <row r="627" spans="1:8" x14ac:dyDescent="0.25">
      <c r="A627" s="3" t="s">
        <v>6983</v>
      </c>
      <c r="B627" s="3" t="s">
        <v>6987</v>
      </c>
      <c r="C627" s="3" t="s">
        <v>6985</v>
      </c>
      <c r="D627" s="3" t="s">
        <v>2122</v>
      </c>
      <c r="E627" s="3">
        <v>626</v>
      </c>
      <c r="F627" s="3" t="s">
        <v>2014</v>
      </c>
      <c r="G627" s="3" t="s">
        <v>1100</v>
      </c>
      <c r="H627" s="3" t="str">
        <f t="shared" si="15"/>
        <v>Data QA applied on E1 Tendon 3 Tension, computed by BMT WinMon, output to LMP.</v>
      </c>
    </row>
    <row r="628" spans="1:8" x14ac:dyDescent="0.25">
      <c r="A628" s="3" t="s">
        <v>6983</v>
      </c>
      <c r="B628" s="3" t="s">
        <v>6987</v>
      </c>
      <c r="C628" s="3" t="s">
        <v>6985</v>
      </c>
      <c r="D628" s="3" t="s">
        <v>2122</v>
      </c>
      <c r="E628" s="3">
        <v>627</v>
      </c>
      <c r="F628" s="3" t="s">
        <v>2015</v>
      </c>
      <c r="G628" s="3" t="s">
        <v>1100</v>
      </c>
      <c r="H628" s="3" t="str">
        <f t="shared" si="15"/>
        <v>Data QA applied on A1 Tendon 4 Tension, computed by BMT WinMon, output to LMP.</v>
      </c>
    </row>
    <row r="629" spans="1:8" x14ac:dyDescent="0.25">
      <c r="A629" s="3" t="s">
        <v>6983</v>
      </c>
      <c r="B629" s="3" t="s">
        <v>6987</v>
      </c>
      <c r="C629" s="3" t="s">
        <v>6985</v>
      </c>
      <c r="D629" s="3" t="s">
        <v>2122</v>
      </c>
      <c r="E629" s="3">
        <v>628</v>
      </c>
      <c r="F629" s="3" t="s">
        <v>2016</v>
      </c>
      <c r="G629" s="3" t="s">
        <v>1100</v>
      </c>
      <c r="H629" s="3" t="str">
        <f t="shared" si="15"/>
        <v>Data QA applied on A1 Tendon 5 Tension, computed by BMT WinMon, output to LMP.</v>
      </c>
    </row>
    <row r="630" spans="1:8" x14ac:dyDescent="0.25">
      <c r="A630" s="3" t="s">
        <v>6983</v>
      </c>
      <c r="B630" s="3" t="s">
        <v>6987</v>
      </c>
      <c r="C630" s="3" t="s">
        <v>6985</v>
      </c>
      <c r="D630" s="3" t="s">
        <v>2122</v>
      </c>
      <c r="E630" s="3">
        <v>629</v>
      </c>
      <c r="F630" s="3" t="s">
        <v>2017</v>
      </c>
      <c r="G630" s="3" t="s">
        <v>1100</v>
      </c>
      <c r="H630" s="3" t="str">
        <f t="shared" si="15"/>
        <v>Data QA applied on A1 Tendon 6 Tension, computed by BMT WinMon, output to LMP.</v>
      </c>
    </row>
    <row r="631" spans="1:8" x14ac:dyDescent="0.25">
      <c r="A631" s="3" t="s">
        <v>6983</v>
      </c>
      <c r="B631" s="3" t="s">
        <v>6987</v>
      </c>
      <c r="C631" s="3" t="s">
        <v>6985</v>
      </c>
      <c r="D631" s="3" t="s">
        <v>2122</v>
      </c>
      <c r="E631" s="3">
        <v>630</v>
      </c>
      <c r="F631" s="3" t="s">
        <v>2018</v>
      </c>
      <c r="G631" s="3" t="s">
        <v>1100</v>
      </c>
      <c r="H631" s="3" t="str">
        <f t="shared" si="15"/>
        <v>Data QA applied on A5 Tendon 7 Tension, computed by BMT WinMon, output to LMP.</v>
      </c>
    </row>
    <row r="632" spans="1:8" x14ac:dyDescent="0.25">
      <c r="A632" s="3" t="s">
        <v>6983</v>
      </c>
      <c r="B632" s="3" t="s">
        <v>6987</v>
      </c>
      <c r="C632" s="3" t="s">
        <v>6985</v>
      </c>
      <c r="D632" s="3" t="s">
        <v>2122</v>
      </c>
      <c r="E632" s="3">
        <v>631</v>
      </c>
      <c r="F632" s="3" t="s">
        <v>2019</v>
      </c>
      <c r="G632" s="3" t="s">
        <v>1100</v>
      </c>
      <c r="H632" s="3" t="str">
        <f t="shared" si="15"/>
        <v>Data QA applied on A5 Tendon 8 Tension, computed by BMT WinMon, output to LMP.</v>
      </c>
    </row>
    <row r="633" spans="1:8" x14ac:dyDescent="0.25">
      <c r="A633" s="3" t="s">
        <v>6983</v>
      </c>
      <c r="B633" s="3" t="s">
        <v>6987</v>
      </c>
      <c r="C633" s="3" t="s">
        <v>6985</v>
      </c>
      <c r="D633" s="3" t="s">
        <v>2122</v>
      </c>
      <c r="E633" s="3">
        <v>632</v>
      </c>
      <c r="F633" s="3" t="s">
        <v>2020</v>
      </c>
      <c r="G633" s="3" t="s">
        <v>1100</v>
      </c>
      <c r="H633" s="3" t="str">
        <f t="shared" si="15"/>
        <v>Data QA applied on A5 Tendon 9 Tension, computed by BMT WinMon, output to LMP.</v>
      </c>
    </row>
    <row r="634" spans="1:8" x14ac:dyDescent="0.25">
      <c r="A634" s="3" t="s">
        <v>6983</v>
      </c>
      <c r="B634" s="3" t="s">
        <v>6987</v>
      </c>
      <c r="C634" s="3" t="s">
        <v>6985</v>
      </c>
      <c r="D634" s="3" t="s">
        <v>2122</v>
      </c>
      <c r="E634" s="3">
        <v>633</v>
      </c>
      <c r="F634" s="3" t="s">
        <v>2021</v>
      </c>
      <c r="G634" s="3" t="s">
        <v>1100</v>
      </c>
      <c r="H634" s="3" t="str">
        <f t="shared" si="15"/>
        <v>Data QA applied on E5 Tendon 10 Tension, computed by BMT WinMon, output to LMP.</v>
      </c>
    </row>
    <row r="635" spans="1:8" x14ac:dyDescent="0.25">
      <c r="A635" s="3" t="s">
        <v>6983</v>
      </c>
      <c r="B635" s="3" t="s">
        <v>6987</v>
      </c>
      <c r="C635" s="3" t="s">
        <v>6985</v>
      </c>
      <c r="D635" s="3" t="s">
        <v>2122</v>
      </c>
      <c r="E635" s="3">
        <v>634</v>
      </c>
      <c r="F635" s="3" t="s">
        <v>2022</v>
      </c>
      <c r="G635" s="3" t="s">
        <v>1100</v>
      </c>
      <c r="H635" s="3" t="str">
        <f t="shared" si="15"/>
        <v>Data QA applied on E5 Tendon 11 Tension, computed by BMT WinMon, output to LMP.</v>
      </c>
    </row>
    <row r="636" spans="1:8" x14ac:dyDescent="0.25">
      <c r="A636" s="3" t="s">
        <v>6983</v>
      </c>
      <c r="B636" s="3" t="s">
        <v>6987</v>
      </c>
      <c r="C636" s="3" t="s">
        <v>6985</v>
      </c>
      <c r="D636" s="3" t="s">
        <v>2122</v>
      </c>
      <c r="E636" s="3">
        <v>635</v>
      </c>
      <c r="F636" s="3" t="s">
        <v>2023</v>
      </c>
      <c r="G636" s="3" t="s">
        <v>1100</v>
      </c>
      <c r="H636" s="3" t="str">
        <f t="shared" si="15"/>
        <v>Data QA applied on E5 Tendon 12 Tension, computed by BMT WinMon, output to LMP.</v>
      </c>
    </row>
    <row r="637" spans="1:8" x14ac:dyDescent="0.25">
      <c r="A637" s="3" t="s">
        <v>6983</v>
      </c>
      <c r="B637" s="3" t="s">
        <v>6987</v>
      </c>
      <c r="C637" s="3" t="s">
        <v>6985</v>
      </c>
      <c r="D637" s="3" t="s">
        <v>2123</v>
      </c>
      <c r="E637" s="3">
        <v>636</v>
      </c>
      <c r="F637" s="3" t="s">
        <v>2024</v>
      </c>
      <c r="G637" s="3" t="s">
        <v>1093</v>
      </c>
      <c r="H637" s="3" t="str">
        <f t="shared" si="15"/>
        <v>Data QA applied on BAL-CA1-B0 Level, computed by BMT WinMon, output to LMP.</v>
      </c>
    </row>
    <row r="638" spans="1:8" x14ac:dyDescent="0.25">
      <c r="A638" s="3" t="s">
        <v>6983</v>
      </c>
      <c r="B638" s="3" t="s">
        <v>6987</v>
      </c>
      <c r="C638" s="3" t="s">
        <v>6985</v>
      </c>
      <c r="D638" s="3" t="s">
        <v>2123</v>
      </c>
      <c r="E638" s="3">
        <v>637</v>
      </c>
      <c r="F638" s="3" t="s">
        <v>2025</v>
      </c>
      <c r="G638" s="3" t="s">
        <v>1093</v>
      </c>
      <c r="H638" s="3" t="str">
        <f t="shared" si="15"/>
        <v>Data QA applied on BAL-CA1-C0 Level, computed by BMT WinMon, output to LMP.</v>
      </c>
    </row>
    <row r="639" spans="1:8" x14ac:dyDescent="0.25">
      <c r="A639" s="3" t="s">
        <v>6983</v>
      </c>
      <c r="B639" s="3" t="s">
        <v>6987</v>
      </c>
      <c r="C639" s="3" t="s">
        <v>6985</v>
      </c>
      <c r="D639" s="3" t="s">
        <v>2123</v>
      </c>
      <c r="E639" s="3">
        <v>638</v>
      </c>
      <c r="F639" s="3" t="s">
        <v>2026</v>
      </c>
      <c r="G639" s="3" t="s">
        <v>1093</v>
      </c>
      <c r="H639" s="3" t="str">
        <f t="shared" si="15"/>
        <v>Data QA applied on BAL-CA1-D0 Level, computed by BMT WinMon, output to LMP.</v>
      </c>
    </row>
    <row r="640" spans="1:8" x14ac:dyDescent="0.25">
      <c r="A640" s="3" t="s">
        <v>6983</v>
      </c>
      <c r="B640" s="3" t="s">
        <v>6987</v>
      </c>
      <c r="C640" s="3" t="s">
        <v>6985</v>
      </c>
      <c r="D640" s="3" t="s">
        <v>2123</v>
      </c>
      <c r="E640" s="3">
        <v>639</v>
      </c>
      <c r="F640" s="3" t="s">
        <v>2027</v>
      </c>
      <c r="G640" s="3" t="s">
        <v>1093</v>
      </c>
      <c r="H640" s="3" t="str">
        <f t="shared" si="15"/>
        <v>Data QA applied on BAL-CA1-E0 Level, computed by BMT WinMon, output to LMP.</v>
      </c>
    </row>
    <row r="641" spans="1:10" x14ac:dyDescent="0.25">
      <c r="A641" s="3" t="s">
        <v>6983</v>
      </c>
      <c r="B641" s="3" t="s">
        <v>6987</v>
      </c>
      <c r="C641" s="3" t="s">
        <v>6985</v>
      </c>
      <c r="D641" s="3" t="s">
        <v>2123</v>
      </c>
      <c r="E641" s="3">
        <v>640</v>
      </c>
      <c r="F641" s="3" t="s">
        <v>2028</v>
      </c>
      <c r="G641" s="3" t="s">
        <v>1093</v>
      </c>
      <c r="H641" s="3" t="str">
        <f t="shared" si="15"/>
        <v>Data QA applied on BAL-CA1-F0 Level, computed by BMT WinMon, output to LMP.</v>
      </c>
    </row>
    <row r="642" spans="1:10" x14ac:dyDescent="0.25">
      <c r="A642" s="3" t="s">
        <v>6983</v>
      </c>
      <c r="B642" s="3" t="s">
        <v>6987</v>
      </c>
      <c r="C642" s="3" t="s">
        <v>6985</v>
      </c>
      <c r="D642" s="3" t="s">
        <v>2123</v>
      </c>
      <c r="E642" s="3">
        <v>641</v>
      </c>
      <c r="F642" s="3" t="s">
        <v>2029</v>
      </c>
      <c r="G642" s="3" t="s">
        <v>1093</v>
      </c>
      <c r="H642" s="3" t="str">
        <f t="shared" si="15"/>
        <v>Data QA applied on BAL-P1A Level, computed by BMT WinMon, output to LMP.</v>
      </c>
    </row>
    <row r="643" spans="1:10" x14ac:dyDescent="0.25">
      <c r="A643" s="3" t="s">
        <v>6983</v>
      </c>
      <c r="B643" s="3" t="s">
        <v>6987</v>
      </c>
      <c r="C643" s="3" t="s">
        <v>6985</v>
      </c>
      <c r="D643" s="3" t="s">
        <v>2123</v>
      </c>
      <c r="E643" s="3">
        <v>642</v>
      </c>
      <c r="F643" s="3" t="s">
        <v>2030</v>
      </c>
      <c r="G643" s="3" t="s">
        <v>1093</v>
      </c>
      <c r="H643" s="3" t="str">
        <f t="shared" si="15"/>
        <v>Data QA applied on BAL-P1B Level, computed by BMT WinMon, output to LMP.</v>
      </c>
    </row>
    <row r="644" spans="1:10" x14ac:dyDescent="0.25">
      <c r="A644" s="3" t="s">
        <v>6983</v>
      </c>
      <c r="B644" s="3" t="s">
        <v>6987</v>
      </c>
      <c r="C644" s="3" t="s">
        <v>6985</v>
      </c>
      <c r="D644" s="3" t="s">
        <v>2123</v>
      </c>
      <c r="E644" s="3">
        <v>643</v>
      </c>
      <c r="F644" s="3" t="s">
        <v>2031</v>
      </c>
      <c r="G644" s="3" t="s">
        <v>1093</v>
      </c>
      <c r="H644" s="3" t="str">
        <f t="shared" si="15"/>
        <v>Data QA applied on BAL-PAA Level, computed by BMT WinMon, output to LMP.</v>
      </c>
    </row>
    <row r="645" spans="1:10" x14ac:dyDescent="0.25">
      <c r="A645" s="3" t="s">
        <v>6983</v>
      </c>
      <c r="B645" s="3" t="s">
        <v>6987</v>
      </c>
      <c r="C645" s="3" t="s">
        <v>6985</v>
      </c>
      <c r="D645" s="3" t="s">
        <v>2123</v>
      </c>
      <c r="E645" s="3">
        <v>644</v>
      </c>
      <c r="F645" s="3" t="s">
        <v>2032</v>
      </c>
      <c r="G645" s="3" t="s">
        <v>1093</v>
      </c>
      <c r="H645" s="3" t="str">
        <f t="shared" si="15"/>
        <v>Data QA applied on BAL-CA5-B0 Level, computed by BMT WinMon, output to LMP.</v>
      </c>
    </row>
    <row r="646" spans="1:10" x14ac:dyDescent="0.25">
      <c r="A646" s="3" t="s">
        <v>6983</v>
      </c>
      <c r="B646" s="3" t="s">
        <v>6987</v>
      </c>
      <c r="C646" s="3" t="s">
        <v>6985</v>
      </c>
      <c r="D646" s="3" t="s">
        <v>2123</v>
      </c>
      <c r="E646" s="3">
        <v>645</v>
      </c>
      <c r="F646" s="3" t="s">
        <v>2033</v>
      </c>
      <c r="G646" s="3" t="s">
        <v>1093</v>
      </c>
      <c r="H646" s="3" t="str">
        <f t="shared" si="15"/>
        <v>Data QA applied on BAL-CA5-C0 Level, computed by BMT WinMon, output to LMP.</v>
      </c>
    </row>
    <row r="647" spans="1:10" x14ac:dyDescent="0.25">
      <c r="A647" s="3" t="s">
        <v>6983</v>
      </c>
      <c r="B647" s="3" t="s">
        <v>6987</v>
      </c>
      <c r="C647" s="3" t="s">
        <v>6985</v>
      </c>
      <c r="D647" s="3" t="s">
        <v>2123</v>
      </c>
      <c r="E647" s="3">
        <v>646</v>
      </c>
      <c r="F647" s="3" t="s">
        <v>2034</v>
      </c>
      <c r="G647" s="3" t="s">
        <v>1093</v>
      </c>
      <c r="H647" s="3" t="str">
        <f t="shared" si="15"/>
        <v>Data QA applied on BAL-CA5-D0 Level, computed by BMT WinMon, output to LMP.</v>
      </c>
    </row>
    <row r="648" spans="1:10" x14ac:dyDescent="0.25">
      <c r="A648" s="3" t="s">
        <v>6983</v>
      </c>
      <c r="B648" s="3" t="s">
        <v>6987</v>
      </c>
      <c r="C648" s="3" t="s">
        <v>6985</v>
      </c>
      <c r="D648" s="3" t="s">
        <v>2123</v>
      </c>
      <c r="E648" s="3">
        <v>647</v>
      </c>
      <c r="F648" s="3" t="s">
        <v>2035</v>
      </c>
      <c r="G648" s="3" t="s">
        <v>1093</v>
      </c>
      <c r="H648" s="3" t="str">
        <f t="shared" si="15"/>
        <v>Data QA applied on BAL-CA5-E0 Level, computed by BMT WinMon, output to LMP.</v>
      </c>
    </row>
    <row r="649" spans="1:10" x14ac:dyDescent="0.25">
      <c r="A649" s="3" t="s">
        <v>6983</v>
      </c>
      <c r="B649" s="3" t="s">
        <v>6987</v>
      </c>
      <c r="C649" s="3" t="s">
        <v>6985</v>
      </c>
      <c r="D649" s="3" t="s">
        <v>2123</v>
      </c>
      <c r="E649" s="3">
        <v>648</v>
      </c>
      <c r="F649" s="3" t="s">
        <v>2036</v>
      </c>
      <c r="G649" s="3" t="s">
        <v>1093</v>
      </c>
      <c r="H649" s="3" t="str">
        <f t="shared" si="15"/>
        <v>Data QA applied on BAL-CA5-F0 Level, computed by BMT WinMon, output to LMP.</v>
      </c>
    </row>
    <row r="650" spans="1:10" x14ac:dyDescent="0.25">
      <c r="A650" s="3" t="s">
        <v>6983</v>
      </c>
      <c r="B650" s="3" t="s">
        <v>6987</v>
      </c>
      <c r="C650" s="3" t="s">
        <v>6985</v>
      </c>
      <c r="D650" s="3" t="s">
        <v>2123</v>
      </c>
      <c r="E650" s="3">
        <v>649</v>
      </c>
      <c r="F650" s="3" t="s">
        <v>2037</v>
      </c>
      <c r="G650" s="3" t="s">
        <v>1093</v>
      </c>
      <c r="H650" s="3" t="str">
        <f t="shared" si="15"/>
        <v>Data QA applied on BAL-P5A Level, computed by BMT WinMon, output to LMP.</v>
      </c>
    </row>
    <row r="651" spans="1:10" x14ac:dyDescent="0.25">
      <c r="A651" s="3" t="s">
        <v>6983</v>
      </c>
      <c r="B651" s="3" t="s">
        <v>6987</v>
      </c>
      <c r="C651" s="3" t="s">
        <v>6985</v>
      </c>
      <c r="D651" s="3" t="s">
        <v>2123</v>
      </c>
      <c r="E651" s="3">
        <v>650</v>
      </c>
      <c r="F651" s="3" t="s">
        <v>2038</v>
      </c>
      <c r="G651" s="3" t="s">
        <v>1093</v>
      </c>
      <c r="H651" s="3" t="str">
        <f t="shared" si="15"/>
        <v>Data QA applied on BAL-P5B Level, computed by BMT WinMon, output to LMP.</v>
      </c>
    </row>
    <row r="652" spans="1:10" x14ac:dyDescent="0.25">
      <c r="A652" s="3" t="s">
        <v>6983</v>
      </c>
      <c r="B652" s="3" t="s">
        <v>6987</v>
      </c>
      <c r="C652" s="3" t="s">
        <v>6985</v>
      </c>
      <c r="D652" s="3" t="s">
        <v>2123</v>
      </c>
      <c r="E652" s="3">
        <v>651</v>
      </c>
      <c r="F652" s="3" t="s">
        <v>2039</v>
      </c>
      <c r="G652" s="3" t="s">
        <v>1093</v>
      </c>
      <c r="H652" s="3" t="str">
        <f t="shared" si="15"/>
        <v>Data QA applied on BAL-PAB Level, computed by BMT WinMon, output to LMP.</v>
      </c>
    </row>
    <row r="653" spans="1:10" x14ac:dyDescent="0.25">
      <c r="A653" s="3" t="s">
        <v>6983</v>
      </c>
      <c r="B653" s="3" t="s">
        <v>6987</v>
      </c>
      <c r="C653" s="3" t="s">
        <v>6985</v>
      </c>
      <c r="D653" s="3" t="s">
        <v>2123</v>
      </c>
      <c r="E653" s="3">
        <v>652</v>
      </c>
      <c r="F653" s="3" t="s">
        <v>2040</v>
      </c>
      <c r="G653" s="3" t="s">
        <v>1093</v>
      </c>
      <c r="H653" s="3" t="str">
        <f t="shared" si="15"/>
        <v>Data QA applied on BAL-CE1-B0 Level, computed by BMT WinMon, output to LMP.</v>
      </c>
    </row>
    <row r="654" spans="1:10" x14ac:dyDescent="0.25">
      <c r="A654" s="3" t="s">
        <v>6983</v>
      </c>
      <c r="B654" s="3" t="s">
        <v>6987</v>
      </c>
      <c r="C654" s="3" t="s">
        <v>6985</v>
      </c>
      <c r="D654" s="3" t="s">
        <v>2123</v>
      </c>
      <c r="E654" s="3">
        <v>653</v>
      </c>
      <c r="F654" s="3" t="s">
        <v>2041</v>
      </c>
      <c r="G654" s="3" t="s">
        <v>1093</v>
      </c>
      <c r="H654" s="3" t="str">
        <f t="shared" si="15"/>
        <v>Data QA applied on BAL-CE1-C0 Level, computed by BMT WinMon, output to LMP.</v>
      </c>
    </row>
    <row r="655" spans="1:10" x14ac:dyDescent="0.25">
      <c r="A655" s="3" t="s">
        <v>6983</v>
      </c>
      <c r="B655" s="3" t="s">
        <v>6987</v>
      </c>
      <c r="C655" s="3" t="s">
        <v>6985</v>
      </c>
      <c r="D655" s="3" t="s">
        <v>2123</v>
      </c>
      <c r="E655" s="3">
        <v>654</v>
      </c>
      <c r="F655" s="3" t="s">
        <v>2042</v>
      </c>
      <c r="G655" s="3" t="s">
        <v>1093</v>
      </c>
      <c r="H655" s="3" t="str">
        <f t="shared" si="15"/>
        <v>Data QA applied on BAL-CE1-D0 Level, computed by BMT WinMon, output to LMP.</v>
      </c>
    </row>
    <row r="656" spans="1:10" x14ac:dyDescent="0.25">
      <c r="A656" s="3" t="s">
        <v>6983</v>
      </c>
      <c r="B656" s="3" t="s">
        <v>6987</v>
      </c>
      <c r="C656" s="3" t="s">
        <v>6985</v>
      </c>
      <c r="D656" s="3" t="s">
        <v>2123</v>
      </c>
      <c r="E656" s="3">
        <v>655</v>
      </c>
      <c r="F656" s="3" t="s">
        <v>2043</v>
      </c>
      <c r="G656" s="3" t="s">
        <v>1093</v>
      </c>
      <c r="H656" s="3" t="str">
        <f t="shared" si="15"/>
        <v>Data QA applied on BAL-CE1-E0 Level, computed by BMT WinMon, output to LMP.</v>
      </c>
      <c r="J656" s="3" t="s">
        <v>1268</v>
      </c>
    </row>
    <row r="657" spans="1:8" x14ac:dyDescent="0.25">
      <c r="A657" s="3" t="s">
        <v>6983</v>
      </c>
      <c r="B657" s="3" t="s">
        <v>6987</v>
      </c>
      <c r="C657" s="3" t="s">
        <v>6985</v>
      </c>
      <c r="D657" s="3" t="s">
        <v>2123</v>
      </c>
      <c r="E657" s="3">
        <v>656</v>
      </c>
      <c r="F657" s="3" t="s">
        <v>2044</v>
      </c>
      <c r="G657" s="3" t="s">
        <v>1093</v>
      </c>
      <c r="H657" s="3" t="str">
        <f t="shared" si="15"/>
        <v>Data QA applied on BAL-CE1-F0 Level, computed by BMT WinMon, output to LMP.</v>
      </c>
    </row>
    <row r="658" spans="1:8" x14ac:dyDescent="0.25">
      <c r="A658" s="3" t="s">
        <v>6983</v>
      </c>
      <c r="B658" s="3" t="s">
        <v>6987</v>
      </c>
      <c r="C658" s="3" t="s">
        <v>6985</v>
      </c>
      <c r="D658" s="3" t="s">
        <v>2123</v>
      </c>
      <c r="E658" s="3">
        <v>657</v>
      </c>
      <c r="F658" s="3" t="s">
        <v>2045</v>
      </c>
      <c r="G658" s="3" t="s">
        <v>1093</v>
      </c>
      <c r="H658" s="3" t="str">
        <f t="shared" si="15"/>
        <v>Data QA applied on BAL-P1C Level, computed by BMT WinMon, output to LMP.</v>
      </c>
    </row>
    <row r="659" spans="1:8" x14ac:dyDescent="0.25">
      <c r="A659" s="3" t="s">
        <v>6983</v>
      </c>
      <c r="B659" s="3" t="s">
        <v>6987</v>
      </c>
      <c r="C659" s="3" t="s">
        <v>6985</v>
      </c>
      <c r="D659" s="3" t="s">
        <v>2123</v>
      </c>
      <c r="E659" s="3">
        <v>658</v>
      </c>
      <c r="F659" s="3" t="s">
        <v>2046</v>
      </c>
      <c r="G659" s="3" t="s">
        <v>1093</v>
      </c>
      <c r="H659" s="3" t="str">
        <f t="shared" si="15"/>
        <v>Data QA applied on BAL-PEA Level, computed by BMT WinMon, output to LMP.</v>
      </c>
    </row>
    <row r="660" spans="1:8" x14ac:dyDescent="0.25">
      <c r="A660" s="3" t="s">
        <v>6983</v>
      </c>
      <c r="B660" s="3" t="s">
        <v>6987</v>
      </c>
      <c r="C660" s="3" t="s">
        <v>6985</v>
      </c>
      <c r="D660" s="3" t="s">
        <v>2123</v>
      </c>
      <c r="E660" s="3">
        <v>659</v>
      </c>
      <c r="F660" s="3" t="s">
        <v>2047</v>
      </c>
      <c r="G660" s="3" t="s">
        <v>1093</v>
      </c>
      <c r="H660" s="3" t="str">
        <f t="shared" si="15"/>
        <v>Data QA applied on BAL-CE5-B0 Level, computed by BMT WinMon, output to LMP.</v>
      </c>
    </row>
    <row r="661" spans="1:8" x14ac:dyDescent="0.25">
      <c r="A661" s="3" t="s">
        <v>6983</v>
      </c>
      <c r="B661" s="3" t="s">
        <v>6987</v>
      </c>
      <c r="C661" s="3" t="s">
        <v>6985</v>
      </c>
      <c r="D661" s="3" t="s">
        <v>2123</v>
      </c>
      <c r="E661" s="3">
        <v>660</v>
      </c>
      <c r="F661" s="3" t="s">
        <v>2048</v>
      </c>
      <c r="G661" s="3" t="s">
        <v>1093</v>
      </c>
      <c r="H661" s="3" t="str">
        <f t="shared" si="15"/>
        <v>Data QA applied on BAL-CE5-C0 Level, computed by BMT WinMon, output to LMP.</v>
      </c>
    </row>
    <row r="662" spans="1:8" x14ac:dyDescent="0.25">
      <c r="A662" s="3" t="s">
        <v>6983</v>
      </c>
      <c r="B662" s="3" t="s">
        <v>6987</v>
      </c>
      <c r="C662" s="3" t="s">
        <v>6985</v>
      </c>
      <c r="D662" s="3" t="s">
        <v>2123</v>
      </c>
      <c r="E662" s="3">
        <v>661</v>
      </c>
      <c r="F662" s="3" t="s">
        <v>2049</v>
      </c>
      <c r="G662" s="3" t="s">
        <v>1093</v>
      </c>
      <c r="H662" s="3" t="str">
        <f t="shared" si="15"/>
        <v>Data QA applied on BAL-CE5-D0 Level, computed by BMT WinMon, output to LMP.</v>
      </c>
    </row>
    <row r="663" spans="1:8" x14ac:dyDescent="0.25">
      <c r="A663" s="3" t="s">
        <v>6983</v>
      </c>
      <c r="B663" s="3" t="s">
        <v>6987</v>
      </c>
      <c r="C663" s="3" t="s">
        <v>6985</v>
      </c>
      <c r="D663" s="3" t="s">
        <v>2123</v>
      </c>
      <c r="E663" s="3">
        <v>662</v>
      </c>
      <c r="F663" s="3" t="s">
        <v>2050</v>
      </c>
      <c r="G663" s="3" t="s">
        <v>1093</v>
      </c>
      <c r="H663" s="3" t="str">
        <f t="shared" si="15"/>
        <v>Data QA applied on BAL-CE5-E0 Level, computed by BMT WinMon, output to LMP.</v>
      </c>
    </row>
    <row r="664" spans="1:8" x14ac:dyDescent="0.25">
      <c r="A664" s="3" t="s">
        <v>6983</v>
      </c>
      <c r="B664" s="3" t="s">
        <v>6987</v>
      </c>
      <c r="C664" s="3" t="s">
        <v>6985</v>
      </c>
      <c r="D664" s="3" t="s">
        <v>2123</v>
      </c>
      <c r="E664" s="3">
        <v>663</v>
      </c>
      <c r="F664" s="3" t="s">
        <v>2051</v>
      </c>
      <c r="G664" s="3" t="s">
        <v>1093</v>
      </c>
      <c r="H664" s="3" t="str">
        <f t="shared" si="15"/>
        <v>Data QA applied on BAL-CE5-F0 Level, computed by BMT WinMon, output to LMP.</v>
      </c>
    </row>
    <row r="665" spans="1:8" x14ac:dyDescent="0.25">
      <c r="A665" s="3" t="s">
        <v>6983</v>
      </c>
      <c r="B665" s="3" t="s">
        <v>6987</v>
      </c>
      <c r="C665" s="3" t="s">
        <v>6985</v>
      </c>
      <c r="D665" s="3" t="s">
        <v>2123</v>
      </c>
      <c r="E665" s="3">
        <v>664</v>
      </c>
      <c r="F665" s="3" t="s">
        <v>2052</v>
      </c>
      <c r="G665" s="3" t="s">
        <v>1093</v>
      </c>
      <c r="H665" s="3" t="str">
        <f t="shared" si="15"/>
        <v>Data QA applied on BAL-P5C Level, computed by BMT WinMon, output to LMP.</v>
      </c>
    </row>
    <row r="666" spans="1:8" x14ac:dyDescent="0.25">
      <c r="A666" s="3" t="s">
        <v>6983</v>
      </c>
      <c r="B666" s="3" t="s">
        <v>6987</v>
      </c>
      <c r="C666" s="3" t="s">
        <v>6985</v>
      </c>
      <c r="D666" s="3" t="s">
        <v>2123</v>
      </c>
      <c r="E666" s="3">
        <v>665</v>
      </c>
      <c r="F666" s="3" t="s">
        <v>2053</v>
      </c>
      <c r="G666" s="3" t="s">
        <v>1093</v>
      </c>
      <c r="H666" s="3" t="str">
        <f t="shared" si="15"/>
        <v>Data QA applied on BAL-PEB Level, computed by BMT WinMon, output to LMP.</v>
      </c>
    </row>
    <row r="667" spans="1:8" x14ac:dyDescent="0.25">
      <c r="A667" s="3" t="s">
        <v>6983</v>
      </c>
      <c r="B667" s="3" t="s">
        <v>6987</v>
      </c>
      <c r="C667" s="3" t="s">
        <v>6985</v>
      </c>
      <c r="D667" s="3" t="s">
        <v>2123</v>
      </c>
      <c r="E667" s="3">
        <v>666</v>
      </c>
      <c r="F667" s="3" t="s">
        <v>2054</v>
      </c>
      <c r="G667" s="3" t="s">
        <v>1093</v>
      </c>
      <c r="H667" s="3" t="str">
        <f t="shared" si="15"/>
        <v>Data QA applied on ABJ-1004 Level, computed by BMT WinMon, output to LMP.</v>
      </c>
    </row>
    <row r="668" spans="1:8" x14ac:dyDescent="0.25">
      <c r="A668" s="3" t="s">
        <v>6983</v>
      </c>
      <c r="B668" s="3" t="s">
        <v>6987</v>
      </c>
      <c r="C668" s="3" t="s">
        <v>6985</v>
      </c>
      <c r="D668" s="3" t="s">
        <v>2123</v>
      </c>
      <c r="E668" s="3">
        <v>667</v>
      </c>
      <c r="F668" s="3" t="s">
        <v>2055</v>
      </c>
      <c r="G668" s="3" t="s">
        <v>1093</v>
      </c>
      <c r="H668" s="3" t="str">
        <f t="shared" si="15"/>
        <v>Data QA applied on ABJ-1005 Level, computed by BMT WinMon, output to LMP.</v>
      </c>
    </row>
    <row r="669" spans="1:8" x14ac:dyDescent="0.25">
      <c r="A669" s="3" t="s">
        <v>6983</v>
      </c>
      <c r="B669" s="3" t="s">
        <v>6987</v>
      </c>
      <c r="C669" s="3" t="s">
        <v>6985</v>
      </c>
      <c r="D669" s="3" t="s">
        <v>2123</v>
      </c>
      <c r="E669" s="3">
        <v>668</v>
      </c>
      <c r="F669" s="3" t="s">
        <v>2056</v>
      </c>
      <c r="G669" s="3" t="s">
        <v>1093</v>
      </c>
      <c r="H669" s="3" t="str">
        <f t="shared" si="15"/>
        <v>Data QA applied on ABJ-1006 Level, computed by BMT WinMon, output to LMP.</v>
      </c>
    </row>
    <row r="670" spans="1:8" x14ac:dyDescent="0.25">
      <c r="A670" s="3" t="s">
        <v>6983</v>
      </c>
      <c r="B670" s="3" t="s">
        <v>6987</v>
      </c>
      <c r="C670" s="3" t="s">
        <v>6985</v>
      </c>
      <c r="D670" s="3" t="s">
        <v>2123</v>
      </c>
      <c r="E670" s="3">
        <v>669</v>
      </c>
      <c r="F670" s="3" t="s">
        <v>2057</v>
      </c>
      <c r="G670" s="3" t="s">
        <v>1093</v>
      </c>
      <c r="H670" s="3" t="str">
        <f t="shared" si="15"/>
        <v>Data QA applied on ABJ-1007 Level, computed by BMT WinMon, output to LMP.</v>
      </c>
    </row>
    <row r="671" spans="1:8" x14ac:dyDescent="0.25">
      <c r="A671" s="3" t="s">
        <v>6983</v>
      </c>
      <c r="B671" s="3" t="s">
        <v>6987</v>
      </c>
      <c r="C671" s="3" t="s">
        <v>6985</v>
      </c>
      <c r="D671" s="3" t="s">
        <v>2123</v>
      </c>
      <c r="E671" s="3">
        <v>670</v>
      </c>
      <c r="F671" s="3" t="s">
        <v>2058</v>
      </c>
      <c r="G671" s="3" t="s">
        <v>1093</v>
      </c>
      <c r="H671" s="3" t="str">
        <f t="shared" si="15"/>
        <v>Data QA applied on ABJ-1008 Level, computed by BMT WinMon, output to LMP.</v>
      </c>
    </row>
    <row r="672" spans="1:8" x14ac:dyDescent="0.25">
      <c r="A672" s="3" t="s">
        <v>6983</v>
      </c>
      <c r="B672" s="3" t="s">
        <v>6987</v>
      </c>
      <c r="C672" s="3" t="s">
        <v>6985</v>
      </c>
      <c r="D672" s="3" t="s">
        <v>2123</v>
      </c>
      <c r="E672" s="3">
        <v>671</v>
      </c>
      <c r="F672" s="3" t="s">
        <v>2059</v>
      </c>
      <c r="G672" s="3" t="s">
        <v>1093</v>
      </c>
      <c r="H672" s="3" t="str">
        <f t="shared" si="15"/>
        <v>Data QA applied on ABJ-1250 Level, computed by BMT WinMon, output to LMP.</v>
      </c>
    </row>
    <row r="673" spans="1:8" x14ac:dyDescent="0.25">
      <c r="A673" s="3" t="s">
        <v>6983</v>
      </c>
      <c r="B673" s="3" t="s">
        <v>6987</v>
      </c>
      <c r="C673" s="3" t="s">
        <v>6985</v>
      </c>
      <c r="D673" s="3" t="s">
        <v>2123</v>
      </c>
      <c r="E673" s="3">
        <v>672</v>
      </c>
      <c r="F673" s="3" t="s">
        <v>2060</v>
      </c>
      <c r="G673" s="3" t="s">
        <v>1093</v>
      </c>
      <c r="H673" s="3" t="str">
        <f t="shared" si="15"/>
        <v>Data QA applied on ABJ-710 Level, computed by BMT WinMon, output to LMP.</v>
      </c>
    </row>
    <row r="674" spans="1:8" x14ac:dyDescent="0.25">
      <c r="A674" s="3" t="s">
        <v>6983</v>
      </c>
      <c r="B674" s="3" t="s">
        <v>6987</v>
      </c>
      <c r="C674" s="3" t="s">
        <v>6985</v>
      </c>
      <c r="D674" s="3" t="s">
        <v>2123</v>
      </c>
      <c r="E674" s="3">
        <v>673</v>
      </c>
      <c r="F674" s="3" t="s">
        <v>2061</v>
      </c>
      <c r="G674" s="3" t="s">
        <v>1093</v>
      </c>
      <c r="H674" s="3" t="str">
        <f t="shared" si="15"/>
        <v>Data QA applied on ABJ-720 Level, computed by BMT WinMon, output to LMP.</v>
      </c>
    </row>
    <row r="675" spans="1:8" x14ac:dyDescent="0.25">
      <c r="A675" s="3" t="s">
        <v>6983</v>
      </c>
      <c r="B675" s="3" t="s">
        <v>6987</v>
      </c>
      <c r="C675" s="3" t="s">
        <v>6985</v>
      </c>
      <c r="D675" s="3" t="s">
        <v>2123</v>
      </c>
      <c r="E675" s="3">
        <v>674</v>
      </c>
      <c r="F675" s="3" t="s">
        <v>2062</v>
      </c>
      <c r="G675" s="3" t="s">
        <v>1093</v>
      </c>
      <c r="H675" s="3" t="str">
        <f t="shared" si="15"/>
        <v>Data QA applied on ABJ-810 Level, computed by BMT WinMon, output to LMP.</v>
      </c>
    </row>
    <row r="676" spans="1:8" x14ac:dyDescent="0.25">
      <c r="A676" s="3" t="s">
        <v>6983</v>
      </c>
      <c r="B676" s="3" t="s">
        <v>6987</v>
      </c>
      <c r="C676" s="3" t="s">
        <v>6985</v>
      </c>
      <c r="D676" s="3" t="s">
        <v>2125</v>
      </c>
      <c r="E676" s="3">
        <v>675</v>
      </c>
      <c r="F676" s="3" t="s">
        <v>2063</v>
      </c>
      <c r="G676" s="3" t="s">
        <v>1093</v>
      </c>
      <c r="H676" s="3" t="str">
        <f t="shared" si="15"/>
        <v>Data QA applied on A5 Draft, computed by BMT WinMon, output to LMP.</v>
      </c>
    </row>
    <row r="677" spans="1:8" x14ac:dyDescent="0.25">
      <c r="A677" s="3" t="s">
        <v>6983</v>
      </c>
      <c r="B677" s="3" t="s">
        <v>6987</v>
      </c>
      <c r="C677" s="3" t="s">
        <v>6985</v>
      </c>
      <c r="D677" s="3" t="s">
        <v>2125</v>
      </c>
      <c r="E677" s="3">
        <v>676</v>
      </c>
      <c r="F677" s="3" t="s">
        <v>2064</v>
      </c>
      <c r="G677" s="3" t="s">
        <v>1093</v>
      </c>
      <c r="H677" s="3" t="str">
        <f t="shared" si="15"/>
        <v>Data QA applied on E1 Draft, computed by BMT WinMon, output to LMP.</v>
      </c>
    </row>
    <row r="678" spans="1:8" x14ac:dyDescent="0.25">
      <c r="A678" s="3" t="s">
        <v>6983</v>
      </c>
      <c r="B678" s="3" t="s">
        <v>6987</v>
      </c>
      <c r="C678" s="3" t="s">
        <v>6985</v>
      </c>
      <c r="D678" s="3" t="s">
        <v>2125</v>
      </c>
      <c r="E678" s="3">
        <v>677</v>
      </c>
      <c r="F678" s="3" t="s">
        <v>2065</v>
      </c>
      <c r="G678" s="3" t="s">
        <v>4</v>
      </c>
      <c r="H678" s="3" t="str">
        <f t="shared" si="15"/>
        <v>Data QA applied on NS Inclination, computed by BMT WinMon, output to LMP.</v>
      </c>
    </row>
    <row r="679" spans="1:8" x14ac:dyDescent="0.25">
      <c r="A679" s="3" t="s">
        <v>6983</v>
      </c>
      <c r="B679" s="3" t="s">
        <v>6987</v>
      </c>
      <c r="C679" s="3" t="s">
        <v>6985</v>
      </c>
      <c r="D679" s="3" t="s">
        <v>2125</v>
      </c>
      <c r="E679" s="3">
        <v>678</v>
      </c>
      <c r="F679" s="3" t="s">
        <v>2066</v>
      </c>
      <c r="G679" s="3" t="s">
        <v>4</v>
      </c>
      <c r="H679" s="3" t="str">
        <f t="shared" si="15"/>
        <v>Data QA applied on EW Inclination, computed by BMT WinMon, output to LMP.</v>
      </c>
    </row>
    <row r="680" spans="1:8" x14ac:dyDescent="0.25">
      <c r="A680" s="3" t="s">
        <v>6983</v>
      </c>
      <c r="B680" s="3" t="s">
        <v>6987</v>
      </c>
      <c r="C680" s="3" t="s">
        <v>6985</v>
      </c>
      <c r="D680" s="3" t="s">
        <v>2124</v>
      </c>
      <c r="E680" s="3">
        <v>679</v>
      </c>
      <c r="F680" s="3" t="s">
        <v>966</v>
      </c>
      <c r="G680" s="3" t="s">
        <v>1100</v>
      </c>
      <c r="H680" s="3" t="str">
        <f t="shared" si="15"/>
        <v>Data QA applied on ML 1 Tension, computed by BMT WinMon, output to LMP.</v>
      </c>
    </row>
    <row r="681" spans="1:8" x14ac:dyDescent="0.25">
      <c r="A681" s="3" t="s">
        <v>6983</v>
      </c>
      <c r="B681" s="3" t="s">
        <v>6987</v>
      </c>
      <c r="C681" s="3" t="s">
        <v>6985</v>
      </c>
      <c r="D681" s="3" t="s">
        <v>2124</v>
      </c>
      <c r="E681" s="3">
        <v>680</v>
      </c>
      <c r="F681" s="3" t="s">
        <v>2067</v>
      </c>
      <c r="G681" s="3" t="s">
        <v>16</v>
      </c>
      <c r="H681" s="3" t="str">
        <f t="shared" si="15"/>
        <v>Data QA applied on ML 1 Line Out, computed by BMT WinMon, output to LMP.</v>
      </c>
    </row>
    <row r="682" spans="1:8" x14ac:dyDescent="0.25">
      <c r="A682" s="3" t="s">
        <v>6983</v>
      </c>
      <c r="B682" s="3" t="s">
        <v>6987</v>
      </c>
      <c r="C682" s="3" t="s">
        <v>6985</v>
      </c>
      <c r="D682" s="3" t="s">
        <v>2124</v>
      </c>
      <c r="E682" s="3">
        <v>681</v>
      </c>
      <c r="F682" s="3" t="s">
        <v>969</v>
      </c>
      <c r="G682" s="3" t="s">
        <v>1100</v>
      </c>
      <c r="H682" s="3" t="str">
        <f t="shared" si="15"/>
        <v>Data QA applied on ML 2 Tension, computed by BMT WinMon, output to LMP.</v>
      </c>
    </row>
    <row r="683" spans="1:8" x14ac:dyDescent="0.25">
      <c r="A683" s="3" t="s">
        <v>6983</v>
      </c>
      <c r="B683" s="3" t="s">
        <v>6987</v>
      </c>
      <c r="C683" s="3" t="s">
        <v>6985</v>
      </c>
      <c r="D683" s="3" t="s">
        <v>2124</v>
      </c>
      <c r="E683" s="3">
        <v>682</v>
      </c>
      <c r="F683" s="3" t="s">
        <v>2068</v>
      </c>
      <c r="G683" s="3" t="s">
        <v>16</v>
      </c>
      <c r="H683" s="3" t="str">
        <f t="shared" si="15"/>
        <v>Data QA applied on ML 2 Line Out, computed by BMT WinMon, output to LMP.</v>
      </c>
    </row>
    <row r="684" spans="1:8" x14ac:dyDescent="0.25">
      <c r="A684" s="3" t="s">
        <v>6983</v>
      </c>
      <c r="B684" s="3" t="s">
        <v>6987</v>
      </c>
      <c r="C684" s="3" t="s">
        <v>6985</v>
      </c>
      <c r="D684" s="3" t="s">
        <v>2124</v>
      </c>
      <c r="E684" s="3">
        <v>683</v>
      </c>
      <c r="F684" s="3" t="s">
        <v>972</v>
      </c>
      <c r="G684" s="3" t="s">
        <v>1100</v>
      </c>
      <c r="H684" s="3" t="str">
        <f t="shared" si="15"/>
        <v>Data QA applied on ML 3 Tension, computed by BMT WinMon, output to LMP.</v>
      </c>
    </row>
    <row r="685" spans="1:8" x14ac:dyDescent="0.25">
      <c r="A685" s="3" t="s">
        <v>6983</v>
      </c>
      <c r="B685" s="3" t="s">
        <v>6987</v>
      </c>
      <c r="C685" s="3" t="s">
        <v>6985</v>
      </c>
      <c r="D685" s="3" t="s">
        <v>2124</v>
      </c>
      <c r="E685" s="3">
        <v>684</v>
      </c>
      <c r="F685" s="3" t="s">
        <v>2069</v>
      </c>
      <c r="G685" s="3" t="s">
        <v>16</v>
      </c>
      <c r="H685" s="3" t="str">
        <f t="shared" si="15"/>
        <v>Data QA applied on ML 3 Line Out, computed by BMT WinMon, output to LMP.</v>
      </c>
    </row>
    <row r="686" spans="1:8" x14ac:dyDescent="0.25">
      <c r="A686" s="3" t="s">
        <v>6983</v>
      </c>
      <c r="B686" s="3" t="s">
        <v>6987</v>
      </c>
      <c r="C686" s="3" t="s">
        <v>6985</v>
      </c>
      <c r="D686" s="3" t="s">
        <v>2124</v>
      </c>
      <c r="E686" s="3">
        <v>685</v>
      </c>
      <c r="F686" s="3" t="s">
        <v>975</v>
      </c>
      <c r="G686" s="3" t="s">
        <v>1100</v>
      </c>
      <c r="H686" s="3" t="str">
        <f t="shared" si="15"/>
        <v>Data QA applied on ML 4 Tension, computed by BMT WinMon, output to LMP.</v>
      </c>
    </row>
    <row r="687" spans="1:8" x14ac:dyDescent="0.25">
      <c r="A687" s="3" t="s">
        <v>6983</v>
      </c>
      <c r="B687" s="3" t="s">
        <v>6987</v>
      </c>
      <c r="C687" s="3" t="s">
        <v>6985</v>
      </c>
      <c r="D687" s="3" t="s">
        <v>2124</v>
      </c>
      <c r="E687" s="3">
        <v>686</v>
      </c>
      <c r="F687" s="3" t="s">
        <v>2070</v>
      </c>
      <c r="G687" s="3" t="s">
        <v>16</v>
      </c>
      <c r="H687" s="3" t="str">
        <f t="shared" si="15"/>
        <v>Data QA applied on ML 4 Line Out, computed by BMT WinMon, output to LMP.</v>
      </c>
    </row>
    <row r="688" spans="1:8" x14ac:dyDescent="0.25">
      <c r="A688" s="3" t="s">
        <v>6983</v>
      </c>
      <c r="B688" s="3" t="s">
        <v>6987</v>
      </c>
      <c r="C688" s="3" t="s">
        <v>6985</v>
      </c>
      <c r="D688" s="3" t="s">
        <v>2124</v>
      </c>
      <c r="E688" s="3">
        <v>687</v>
      </c>
      <c r="F688" s="3" t="s">
        <v>978</v>
      </c>
      <c r="G688" s="3" t="s">
        <v>1100</v>
      </c>
      <c r="H688" s="3" t="str">
        <f t="shared" si="15"/>
        <v>Data QA applied on ML 5 Tension, computed by BMT WinMon, output to LMP.</v>
      </c>
    </row>
    <row r="689" spans="1:8" x14ac:dyDescent="0.25">
      <c r="A689" s="3" t="s">
        <v>6983</v>
      </c>
      <c r="B689" s="3" t="s">
        <v>6987</v>
      </c>
      <c r="C689" s="3" t="s">
        <v>6985</v>
      </c>
      <c r="D689" s="3" t="s">
        <v>2124</v>
      </c>
      <c r="E689" s="3">
        <v>688</v>
      </c>
      <c r="F689" s="3" t="s">
        <v>2071</v>
      </c>
      <c r="G689" s="3" t="s">
        <v>16</v>
      </c>
      <c r="H689" s="3" t="str">
        <f t="shared" si="15"/>
        <v>Data QA applied on ML 5 Line Out, computed by BMT WinMon, output to LMP.</v>
      </c>
    </row>
    <row r="690" spans="1:8" x14ac:dyDescent="0.25">
      <c r="A690" s="3" t="s">
        <v>6983</v>
      </c>
      <c r="B690" s="3" t="s">
        <v>6987</v>
      </c>
      <c r="C690" s="3" t="s">
        <v>6985</v>
      </c>
      <c r="D690" s="3" t="s">
        <v>2124</v>
      </c>
      <c r="E690" s="3">
        <v>689</v>
      </c>
      <c r="F690" s="3" t="s">
        <v>981</v>
      </c>
      <c r="G690" s="3" t="s">
        <v>1100</v>
      </c>
      <c r="H690" s="3" t="str">
        <f t="shared" ref="H690:H703" si="16">_xlfn.CONCAT("Data QA applied on ",_xlfn.TEXTAFTER(F690, "MAS "), ", computed by BMT WinMon, output to LMP.")</f>
        <v>Data QA applied on ML 6 Tension, computed by BMT WinMon, output to LMP.</v>
      </c>
    </row>
    <row r="691" spans="1:8" x14ac:dyDescent="0.25">
      <c r="A691" s="3" t="s">
        <v>6983</v>
      </c>
      <c r="B691" s="3" t="s">
        <v>6987</v>
      </c>
      <c r="C691" s="3" t="s">
        <v>6985</v>
      </c>
      <c r="D691" s="3" t="s">
        <v>2124</v>
      </c>
      <c r="E691" s="3">
        <v>690</v>
      </c>
      <c r="F691" s="3" t="s">
        <v>2072</v>
      </c>
      <c r="G691" s="3" t="s">
        <v>16</v>
      </c>
      <c r="H691" s="3" t="str">
        <f t="shared" si="16"/>
        <v>Data QA applied on ML 6 Line Out, computed by BMT WinMon, output to LMP.</v>
      </c>
    </row>
    <row r="692" spans="1:8" x14ac:dyDescent="0.25">
      <c r="A692" s="3" t="s">
        <v>6983</v>
      </c>
      <c r="B692" s="3" t="s">
        <v>6987</v>
      </c>
      <c r="C692" s="3" t="s">
        <v>6985</v>
      </c>
      <c r="D692" s="3" t="s">
        <v>2124</v>
      </c>
      <c r="E692" s="3">
        <v>691</v>
      </c>
      <c r="F692" s="3" t="s">
        <v>984</v>
      </c>
      <c r="G692" s="3" t="s">
        <v>1100</v>
      </c>
      <c r="H692" s="3" t="str">
        <f t="shared" si="16"/>
        <v>Data QA applied on ML 7 Tension, computed by BMT WinMon, output to LMP.</v>
      </c>
    </row>
    <row r="693" spans="1:8" x14ac:dyDescent="0.25">
      <c r="A693" s="3" t="s">
        <v>6983</v>
      </c>
      <c r="B693" s="3" t="s">
        <v>6987</v>
      </c>
      <c r="C693" s="3" t="s">
        <v>6985</v>
      </c>
      <c r="D693" s="3" t="s">
        <v>2124</v>
      </c>
      <c r="E693" s="3">
        <v>692</v>
      </c>
      <c r="F693" s="3" t="s">
        <v>2073</v>
      </c>
      <c r="G693" s="3" t="s">
        <v>16</v>
      </c>
      <c r="H693" s="3" t="str">
        <f t="shared" si="16"/>
        <v>Data QA applied on ML 7 Line Out, computed by BMT WinMon, output to LMP.</v>
      </c>
    </row>
    <row r="694" spans="1:8" x14ac:dyDescent="0.25">
      <c r="A694" s="3" t="s">
        <v>6983</v>
      </c>
      <c r="B694" s="3" t="s">
        <v>6987</v>
      </c>
      <c r="C694" s="3" t="s">
        <v>6985</v>
      </c>
      <c r="D694" s="3" t="s">
        <v>2124</v>
      </c>
      <c r="E694" s="3">
        <v>693</v>
      </c>
      <c r="F694" s="3" t="s">
        <v>987</v>
      </c>
      <c r="G694" s="3" t="s">
        <v>1100</v>
      </c>
      <c r="H694" s="3" t="str">
        <f t="shared" si="16"/>
        <v>Data QA applied on ML 8 Tension, computed by BMT WinMon, output to LMP.</v>
      </c>
    </row>
    <row r="695" spans="1:8" x14ac:dyDescent="0.25">
      <c r="A695" s="3" t="s">
        <v>6983</v>
      </c>
      <c r="B695" s="3" t="s">
        <v>6987</v>
      </c>
      <c r="C695" s="3" t="s">
        <v>6985</v>
      </c>
      <c r="D695" s="3" t="s">
        <v>2124</v>
      </c>
      <c r="E695" s="3">
        <v>694</v>
      </c>
      <c r="F695" s="3" t="s">
        <v>2074</v>
      </c>
      <c r="G695" s="3" t="s">
        <v>16</v>
      </c>
      <c r="H695" s="3" t="str">
        <f t="shared" si="16"/>
        <v>Data QA applied on ML 8 Line Out, computed by BMT WinMon, output to LMP.</v>
      </c>
    </row>
    <row r="696" spans="1:8" x14ac:dyDescent="0.25">
      <c r="A696" s="3" t="s">
        <v>6983</v>
      </c>
      <c r="B696" s="3" t="s">
        <v>6987</v>
      </c>
      <c r="C696" s="3" t="s">
        <v>6985</v>
      </c>
      <c r="D696" s="3" t="s">
        <v>2125</v>
      </c>
      <c r="E696" s="3">
        <v>695</v>
      </c>
      <c r="F696" s="3" t="s">
        <v>2075</v>
      </c>
      <c r="G696" s="3" t="s">
        <v>1093</v>
      </c>
      <c r="H696" s="3" t="str">
        <f t="shared" si="16"/>
        <v>Data QA applied on ABJ-820 Level, computed by BMT WinMon, output to LMP.</v>
      </c>
    </row>
    <row r="697" spans="1:8" x14ac:dyDescent="0.25">
      <c r="A697" s="3" t="s">
        <v>6983</v>
      </c>
      <c r="B697" s="3" t="s">
        <v>6987</v>
      </c>
      <c r="C697" s="3" t="s">
        <v>6985</v>
      </c>
      <c r="D697" s="3" t="s">
        <v>2125</v>
      </c>
      <c r="E697" s="3">
        <v>696</v>
      </c>
      <c r="F697" s="3" t="s">
        <v>2076</v>
      </c>
      <c r="G697" s="3" t="s">
        <v>1093</v>
      </c>
      <c r="H697" s="3" t="str">
        <f t="shared" si="16"/>
        <v>Data QA applied on MBJ-809 Level, computed by BMT WinMon, output to LMP.</v>
      </c>
    </row>
    <row r="698" spans="1:8" x14ac:dyDescent="0.25">
      <c r="A698" s="3" t="s">
        <v>6983</v>
      </c>
      <c r="B698" s="3" t="s">
        <v>6987</v>
      </c>
      <c r="C698" s="3" t="s">
        <v>6985</v>
      </c>
      <c r="D698" s="3" t="s">
        <v>2125</v>
      </c>
      <c r="E698" s="3">
        <v>697</v>
      </c>
      <c r="F698" s="3" t="s">
        <v>2077</v>
      </c>
      <c r="G698" s="3" t="s">
        <v>1093</v>
      </c>
      <c r="H698" s="3" t="str">
        <f t="shared" si="16"/>
        <v>Data QA applied on ABJ-310 Level, computed by BMT WinMon, output to LMP.</v>
      </c>
    </row>
    <row r="699" spans="1:8" x14ac:dyDescent="0.25">
      <c r="A699" s="3" t="s">
        <v>6983</v>
      </c>
      <c r="B699" s="3" t="s">
        <v>6987</v>
      </c>
      <c r="C699" s="3" t="s">
        <v>6985</v>
      </c>
      <c r="D699" s="3" t="s">
        <v>2125</v>
      </c>
      <c r="E699" s="3">
        <v>698</v>
      </c>
      <c r="F699" s="3" t="s">
        <v>2078</v>
      </c>
      <c r="G699" s="3" t="s">
        <v>1093</v>
      </c>
      <c r="H699" s="3" t="str">
        <f t="shared" si="16"/>
        <v>Data QA applied on ABJ-320 Level, computed by BMT WinMon, output to LMP.</v>
      </c>
    </row>
    <row r="700" spans="1:8" x14ac:dyDescent="0.25">
      <c r="A700" s="3" t="s">
        <v>6983</v>
      </c>
      <c r="B700" s="3" t="s">
        <v>6987</v>
      </c>
      <c r="C700" s="3" t="s">
        <v>6985</v>
      </c>
      <c r="D700" s="3" t="s">
        <v>2125</v>
      </c>
      <c r="E700" s="3">
        <v>699</v>
      </c>
      <c r="F700" s="3" t="s">
        <v>886</v>
      </c>
      <c r="G700" s="3" t="s">
        <v>1093</v>
      </c>
      <c r="H700" s="3" t="str">
        <f t="shared" si="16"/>
        <v>Data QA applied on North Draft, computed by BMT WinMon, output to LMP.</v>
      </c>
    </row>
    <row r="701" spans="1:8" x14ac:dyDescent="0.25">
      <c r="A701" s="3" t="s">
        <v>6983</v>
      </c>
      <c r="B701" s="3" t="s">
        <v>6987</v>
      </c>
      <c r="C701" s="3" t="s">
        <v>6985</v>
      </c>
      <c r="D701" s="3" t="s">
        <v>2125</v>
      </c>
      <c r="E701" s="3">
        <v>700</v>
      </c>
      <c r="F701" s="3" t="s">
        <v>887</v>
      </c>
      <c r="G701" s="3" t="s">
        <v>1093</v>
      </c>
      <c r="H701" s="3" t="str">
        <f t="shared" si="16"/>
        <v>Data QA applied on East Draft, computed by BMT WinMon, output to LMP.</v>
      </c>
    </row>
    <row r="702" spans="1:8" x14ac:dyDescent="0.25">
      <c r="A702" s="3" t="s">
        <v>6983</v>
      </c>
      <c r="B702" s="3" t="s">
        <v>6987</v>
      </c>
      <c r="C702" s="3" t="s">
        <v>6985</v>
      </c>
      <c r="D702" s="3" t="s">
        <v>2125</v>
      </c>
      <c r="E702" s="3">
        <v>701</v>
      </c>
      <c r="F702" s="3" t="s">
        <v>888</v>
      </c>
      <c r="G702" s="3" t="s">
        <v>1093</v>
      </c>
      <c r="H702" s="3" t="str">
        <f t="shared" si="16"/>
        <v>Data QA applied on South Draft, computed by BMT WinMon, output to LMP.</v>
      </c>
    </row>
    <row r="703" spans="1:8" x14ac:dyDescent="0.25">
      <c r="A703" s="3" t="s">
        <v>6983</v>
      </c>
      <c r="B703" s="3" t="s">
        <v>6987</v>
      </c>
      <c r="C703" s="3" t="s">
        <v>6985</v>
      </c>
      <c r="D703" s="3" t="s">
        <v>2125</v>
      </c>
      <c r="E703" s="3">
        <v>702</v>
      </c>
      <c r="F703" s="3" t="s">
        <v>889</v>
      </c>
      <c r="G703" s="3" t="s">
        <v>1093</v>
      </c>
      <c r="H703" s="3" t="str">
        <f t="shared" si="16"/>
        <v>Data QA applied on West Draft, computed by BMT WinMon, output to LMP.</v>
      </c>
    </row>
    <row r="704" spans="1:8" x14ac:dyDescent="0.25">
      <c r="A704" s="3" t="s">
        <v>6983</v>
      </c>
      <c r="B704" s="3" t="s">
        <v>6987</v>
      </c>
      <c r="C704" s="3" t="s">
        <v>6985</v>
      </c>
      <c r="D704" s="3" t="s">
        <v>2126</v>
      </c>
      <c r="E704" s="3">
        <v>703</v>
      </c>
      <c r="F704" s="3" t="s">
        <v>2079</v>
      </c>
      <c r="G704" s="3" t="s">
        <v>20</v>
      </c>
      <c r="H704" s="4" t="s">
        <v>7059</v>
      </c>
    </row>
    <row r="705" spans="1:8" x14ac:dyDescent="0.25">
      <c r="A705" s="3" t="s">
        <v>6983</v>
      </c>
      <c r="B705" s="3" t="s">
        <v>6987</v>
      </c>
      <c r="C705" s="3" t="s">
        <v>6985</v>
      </c>
      <c r="D705" s="3" t="s">
        <v>2126</v>
      </c>
      <c r="E705" s="3">
        <v>704</v>
      </c>
      <c r="F705" s="3" t="s">
        <v>2080</v>
      </c>
      <c r="G705" s="3" t="s">
        <v>20</v>
      </c>
      <c r="H705" s="4" t="s">
        <v>7059</v>
      </c>
    </row>
    <row r="706" spans="1:8" x14ac:dyDescent="0.25">
      <c r="A706" s="3" t="s">
        <v>6983</v>
      </c>
      <c r="B706" s="3" t="s">
        <v>6987</v>
      </c>
      <c r="C706" s="3" t="s">
        <v>6985</v>
      </c>
      <c r="D706" s="3" t="s">
        <v>2126</v>
      </c>
      <c r="E706" s="3">
        <v>705</v>
      </c>
      <c r="F706" s="3" t="s">
        <v>2081</v>
      </c>
      <c r="G706" s="3" t="s">
        <v>20</v>
      </c>
      <c r="H706" s="4" t="s">
        <v>7059</v>
      </c>
    </row>
    <row r="707" spans="1:8" x14ac:dyDescent="0.25">
      <c r="A707" s="3" t="s">
        <v>6983</v>
      </c>
      <c r="B707" s="3" t="s">
        <v>6987</v>
      </c>
      <c r="C707" s="3" t="s">
        <v>6985</v>
      </c>
      <c r="D707" s="3" t="s">
        <v>2126</v>
      </c>
      <c r="E707" s="3">
        <v>706</v>
      </c>
      <c r="F707" s="3" t="s">
        <v>2082</v>
      </c>
      <c r="G707" s="3" t="s">
        <v>20</v>
      </c>
      <c r="H707" s="4" t="s">
        <v>7059</v>
      </c>
    </row>
    <row r="708" spans="1:8" x14ac:dyDescent="0.25">
      <c r="A708" s="3" t="s">
        <v>6983</v>
      </c>
      <c r="B708" s="3" t="s">
        <v>6987</v>
      </c>
      <c r="C708" s="3" t="s">
        <v>6985</v>
      </c>
      <c r="D708" s="3" t="s">
        <v>2126</v>
      </c>
      <c r="E708" s="3">
        <v>707</v>
      </c>
      <c r="F708" s="3" t="s">
        <v>2083</v>
      </c>
      <c r="G708" s="3" t="s">
        <v>20</v>
      </c>
      <c r="H708" s="4" t="s">
        <v>7059</v>
      </c>
    </row>
    <row r="709" spans="1:8" x14ac:dyDescent="0.25">
      <c r="A709" s="3" t="s">
        <v>6983</v>
      </c>
      <c r="B709" s="3" t="s">
        <v>6987</v>
      </c>
      <c r="C709" s="3" t="s">
        <v>6985</v>
      </c>
      <c r="D709" s="3" t="s">
        <v>2126</v>
      </c>
      <c r="E709" s="3">
        <v>708</v>
      </c>
      <c r="F709" s="3" t="s">
        <v>2084</v>
      </c>
      <c r="G709" s="3" t="s">
        <v>20</v>
      </c>
      <c r="H709" s="4" t="s">
        <v>7059</v>
      </c>
    </row>
    <row r="710" spans="1:8" x14ac:dyDescent="0.25">
      <c r="A710" s="3" t="s">
        <v>6983</v>
      </c>
      <c r="B710" s="3" t="s">
        <v>6987</v>
      </c>
      <c r="C710" s="3" t="s">
        <v>6985</v>
      </c>
      <c r="D710" s="3" t="s">
        <v>2126</v>
      </c>
      <c r="E710" s="3">
        <v>709</v>
      </c>
      <c r="F710" s="3" t="s">
        <v>2085</v>
      </c>
      <c r="G710" s="3" t="s">
        <v>20</v>
      </c>
      <c r="H710" s="4" t="s">
        <v>7059</v>
      </c>
    </row>
    <row r="711" spans="1:8" x14ac:dyDescent="0.25">
      <c r="A711" s="3" t="s">
        <v>6983</v>
      </c>
      <c r="B711" s="3" t="s">
        <v>6987</v>
      </c>
      <c r="C711" s="3" t="s">
        <v>6985</v>
      </c>
      <c r="D711" s="3" t="s">
        <v>2126</v>
      </c>
      <c r="E711" s="3">
        <v>710</v>
      </c>
      <c r="F711" s="3" t="s">
        <v>2086</v>
      </c>
      <c r="G711" s="3" t="s">
        <v>20</v>
      </c>
      <c r="H711" s="4" t="s">
        <v>7059</v>
      </c>
    </row>
    <row r="712" spans="1:8" x14ac:dyDescent="0.25">
      <c r="A712" s="3" t="s">
        <v>6983</v>
      </c>
      <c r="B712" s="3" t="s">
        <v>6987</v>
      </c>
      <c r="C712" s="3" t="s">
        <v>6985</v>
      </c>
      <c r="D712" s="3" t="s">
        <v>2126</v>
      </c>
      <c r="E712" s="3">
        <v>711</v>
      </c>
      <c r="F712" s="3" t="s">
        <v>2087</v>
      </c>
      <c r="G712" s="3" t="s">
        <v>20</v>
      </c>
      <c r="H712" s="4" t="s">
        <v>7059</v>
      </c>
    </row>
    <row r="713" spans="1:8" x14ac:dyDescent="0.25">
      <c r="A713" s="3" t="s">
        <v>6983</v>
      </c>
      <c r="B713" s="3" t="s">
        <v>6987</v>
      </c>
      <c r="C713" s="3" t="s">
        <v>6985</v>
      </c>
      <c r="D713" s="3" t="s">
        <v>2126</v>
      </c>
      <c r="E713" s="3">
        <v>712</v>
      </c>
      <c r="F713" s="3" t="s">
        <v>2088</v>
      </c>
      <c r="G713" s="3" t="s">
        <v>20</v>
      </c>
      <c r="H713" s="4" t="s">
        <v>7059</v>
      </c>
    </row>
    <row r="714" spans="1:8" x14ac:dyDescent="0.25">
      <c r="A714" s="3" t="s">
        <v>6983</v>
      </c>
      <c r="B714" s="3" t="s">
        <v>6987</v>
      </c>
      <c r="C714" s="3" t="s">
        <v>6985</v>
      </c>
      <c r="D714" s="3" t="s">
        <v>2126</v>
      </c>
      <c r="E714" s="3">
        <v>713</v>
      </c>
      <c r="F714" s="3" t="s">
        <v>2089</v>
      </c>
      <c r="G714" s="3" t="s">
        <v>20</v>
      </c>
      <c r="H714" s="4" t="s">
        <v>7059</v>
      </c>
    </row>
    <row r="715" spans="1:8" x14ac:dyDescent="0.25">
      <c r="A715" s="3" t="s">
        <v>6983</v>
      </c>
      <c r="B715" s="3" t="s">
        <v>6987</v>
      </c>
      <c r="C715" s="3" t="s">
        <v>6985</v>
      </c>
      <c r="D715" s="3" t="s">
        <v>2126</v>
      </c>
      <c r="E715" s="3">
        <v>714</v>
      </c>
      <c r="F715" s="3" t="s">
        <v>2090</v>
      </c>
      <c r="G715" s="3" t="s">
        <v>20</v>
      </c>
      <c r="H715" s="4" t="s">
        <v>7059</v>
      </c>
    </row>
    <row r="716" spans="1:8" x14ac:dyDescent="0.25">
      <c r="A716" s="3" t="s">
        <v>6983</v>
      </c>
      <c r="B716" s="3" t="s">
        <v>6987</v>
      </c>
      <c r="C716" s="3" t="s">
        <v>6985</v>
      </c>
      <c r="D716" s="3" t="s">
        <v>2126</v>
      </c>
      <c r="E716" s="3">
        <v>715</v>
      </c>
      <c r="F716" s="3" t="s">
        <v>2091</v>
      </c>
      <c r="G716" s="3" t="s">
        <v>20</v>
      </c>
      <c r="H716" s="4" t="s">
        <v>7059</v>
      </c>
    </row>
    <row r="717" spans="1:8" x14ac:dyDescent="0.25">
      <c r="A717" s="3" t="s">
        <v>6983</v>
      </c>
      <c r="B717" s="3" t="s">
        <v>6987</v>
      </c>
      <c r="C717" s="3" t="s">
        <v>6985</v>
      </c>
      <c r="D717" s="3" t="s">
        <v>2126</v>
      </c>
      <c r="E717" s="3">
        <v>716</v>
      </c>
      <c r="F717" s="3" t="s">
        <v>2092</v>
      </c>
      <c r="G717" s="3" t="s">
        <v>20</v>
      </c>
      <c r="H717" s="4" t="s">
        <v>7059</v>
      </c>
    </row>
    <row r="718" spans="1:8" x14ac:dyDescent="0.25">
      <c r="A718" s="3" t="s">
        <v>6983</v>
      </c>
      <c r="B718" s="3" t="s">
        <v>6987</v>
      </c>
      <c r="C718" s="3" t="s">
        <v>6985</v>
      </c>
      <c r="D718" s="3" t="s">
        <v>2126</v>
      </c>
      <c r="E718" s="3">
        <v>717</v>
      </c>
      <c r="F718" s="3" t="s">
        <v>2093</v>
      </c>
      <c r="G718" s="3" t="s">
        <v>20</v>
      </c>
      <c r="H718" s="4" t="s">
        <v>7059</v>
      </c>
    </row>
    <row r="719" spans="1:8" x14ac:dyDescent="0.25">
      <c r="A719" s="3" t="s">
        <v>6983</v>
      </c>
      <c r="B719" s="3" t="s">
        <v>6987</v>
      </c>
      <c r="C719" s="3" t="s">
        <v>6985</v>
      </c>
      <c r="D719" s="3" t="s">
        <v>2126</v>
      </c>
      <c r="E719" s="3">
        <v>718</v>
      </c>
      <c r="F719" s="3" t="s">
        <v>2094</v>
      </c>
      <c r="G719" s="3" t="s">
        <v>20</v>
      </c>
      <c r="H719" s="4" t="s">
        <v>7059</v>
      </c>
    </row>
    <row r="720" spans="1:8" x14ac:dyDescent="0.25">
      <c r="A720" s="3" t="s">
        <v>6983</v>
      </c>
      <c r="B720" s="3" t="s">
        <v>6987</v>
      </c>
      <c r="C720" s="3" t="s">
        <v>6985</v>
      </c>
      <c r="D720" s="3" t="s">
        <v>2126</v>
      </c>
      <c r="E720" s="3">
        <v>719</v>
      </c>
      <c r="F720" s="3" t="s">
        <v>2095</v>
      </c>
      <c r="G720" s="3" t="s">
        <v>16</v>
      </c>
      <c r="H720" s="3" t="s">
        <v>6965</v>
      </c>
    </row>
    <row r="721" spans="1:8" x14ac:dyDescent="0.25">
      <c r="A721" s="3" t="s">
        <v>6983</v>
      </c>
      <c r="B721" s="3" t="s">
        <v>6987</v>
      </c>
      <c r="C721" s="3" t="s">
        <v>6985</v>
      </c>
      <c r="D721" s="5" t="s">
        <v>2127</v>
      </c>
      <c r="E721" s="3">
        <v>720</v>
      </c>
      <c r="F721" s="5" t="s">
        <v>2096</v>
      </c>
      <c r="G721" s="3" t="s">
        <v>13</v>
      </c>
      <c r="H721" s="4" t="s">
        <v>2154</v>
      </c>
    </row>
    <row r="722" spans="1:8" x14ac:dyDescent="0.25">
      <c r="A722" s="3" t="s">
        <v>6983</v>
      </c>
      <c r="B722" s="3" t="s">
        <v>6987</v>
      </c>
      <c r="C722" s="3" t="s">
        <v>6985</v>
      </c>
      <c r="D722" s="5" t="s">
        <v>2127</v>
      </c>
      <c r="E722" s="3">
        <v>721</v>
      </c>
      <c r="F722" s="5" t="s">
        <v>2097</v>
      </c>
      <c r="G722" s="3" t="s">
        <v>13</v>
      </c>
      <c r="H722" s="4" t="s">
        <v>2155</v>
      </c>
    </row>
  </sheetData>
  <mergeCells count="1">
    <mergeCell ref="I552:I566"/>
  </mergeCells>
  <phoneticPr fontId="1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88413-DCAB-4B2F-871E-D3E0A30271F2}">
  <dimension ref="A1:L543"/>
  <sheetViews>
    <sheetView topLeftCell="B511" workbookViewId="0">
      <selection activeCell="D524" sqref="D524"/>
    </sheetView>
  </sheetViews>
  <sheetFormatPr defaultRowHeight="15" x14ac:dyDescent="0.25"/>
  <cols>
    <col min="1" max="4" width="9.140625" style="3"/>
    <col min="5" max="5" width="5.140625" style="3" customWidth="1"/>
    <col min="6" max="6" width="21" style="3" customWidth="1"/>
    <col min="7" max="7" width="9.140625" style="3"/>
    <col min="8" max="8" width="65.7109375" style="3" customWidth="1"/>
    <col min="9" max="9" width="24.85546875" style="3" customWidth="1"/>
    <col min="10" max="12" width="9.140625" style="3"/>
  </cols>
  <sheetData>
    <row r="1" spans="1:10" x14ac:dyDescent="0.25">
      <c r="A1" s="6" t="s">
        <v>6980</v>
      </c>
      <c r="B1" s="6" t="s">
        <v>6981</v>
      </c>
      <c r="C1" s="6" t="s">
        <v>6982</v>
      </c>
      <c r="D1" s="6" t="s">
        <v>0</v>
      </c>
      <c r="E1" s="6" t="s">
        <v>1</v>
      </c>
      <c r="F1" s="6" t="s">
        <v>2</v>
      </c>
      <c r="G1" s="6" t="s">
        <v>3</v>
      </c>
      <c r="H1" s="6" t="s">
        <v>22</v>
      </c>
      <c r="I1" s="6" t="s">
        <v>1139</v>
      </c>
      <c r="J1" s="6" t="s">
        <v>1269</v>
      </c>
    </row>
    <row r="2" spans="1:10" ht="15" customHeight="1" x14ac:dyDescent="0.25">
      <c r="A2" s="3" t="s">
        <v>6983</v>
      </c>
      <c r="B2" s="3" t="s">
        <v>6988</v>
      </c>
      <c r="C2" s="3" t="s">
        <v>6985</v>
      </c>
      <c r="D2" s="11" t="s">
        <v>2105</v>
      </c>
      <c r="E2" s="3">
        <v>1</v>
      </c>
      <c r="F2" s="3" t="s">
        <v>1435</v>
      </c>
      <c r="G2" s="3" t="s">
        <v>14</v>
      </c>
      <c r="H2" s="3" t="s">
        <v>6828</v>
      </c>
      <c r="I2" s="3" t="s">
        <v>1179</v>
      </c>
    </row>
    <row r="3" spans="1:10" x14ac:dyDescent="0.25">
      <c r="A3" s="3" t="s">
        <v>6983</v>
      </c>
      <c r="B3" s="3" t="s">
        <v>6988</v>
      </c>
      <c r="C3" s="3" t="s">
        <v>6985</v>
      </c>
      <c r="D3" s="3" t="s">
        <v>2105</v>
      </c>
      <c r="E3" s="3">
        <v>2</v>
      </c>
      <c r="F3" s="3" t="s">
        <v>1436</v>
      </c>
      <c r="G3" s="3" t="s">
        <v>15</v>
      </c>
      <c r="H3" s="3" t="s">
        <v>6829</v>
      </c>
      <c r="I3" s="3" t="s">
        <v>1179</v>
      </c>
    </row>
    <row r="4" spans="1:10" x14ac:dyDescent="0.25">
      <c r="A4" s="3" t="s">
        <v>6983</v>
      </c>
      <c r="B4" s="3" t="s">
        <v>6988</v>
      </c>
      <c r="C4" s="3" t="s">
        <v>6985</v>
      </c>
      <c r="D4" s="3" t="s">
        <v>2105</v>
      </c>
      <c r="E4" s="3">
        <v>3</v>
      </c>
      <c r="F4" s="3" t="s">
        <v>1437</v>
      </c>
      <c r="G4" s="3" t="s">
        <v>1091</v>
      </c>
      <c r="H4" s="3" t="s">
        <v>6830</v>
      </c>
      <c r="I4" s="3" t="s">
        <v>1179</v>
      </c>
    </row>
    <row r="5" spans="1:10" x14ac:dyDescent="0.25">
      <c r="A5" s="3" t="s">
        <v>6983</v>
      </c>
      <c r="B5" s="3" t="s">
        <v>6988</v>
      </c>
      <c r="C5" s="3" t="s">
        <v>6985</v>
      </c>
      <c r="D5" s="3" t="s">
        <v>2105</v>
      </c>
      <c r="E5" s="3">
        <v>4</v>
      </c>
      <c r="F5" s="3" t="s">
        <v>1438</v>
      </c>
      <c r="G5" s="3" t="s">
        <v>14</v>
      </c>
      <c r="H5" s="3" t="s">
        <v>6833</v>
      </c>
      <c r="I5" s="3" t="s">
        <v>1179</v>
      </c>
    </row>
    <row r="6" spans="1:10" x14ac:dyDescent="0.25">
      <c r="A6" s="3" t="s">
        <v>6983</v>
      </c>
      <c r="B6" s="3" t="s">
        <v>6988</v>
      </c>
      <c r="C6" s="3" t="s">
        <v>6985</v>
      </c>
      <c r="D6" s="3" t="s">
        <v>2105</v>
      </c>
      <c r="E6" s="3">
        <v>5</v>
      </c>
      <c r="F6" s="3" t="s">
        <v>1439</v>
      </c>
      <c r="G6" s="3" t="s">
        <v>15</v>
      </c>
      <c r="H6" s="3" t="s">
        <v>6831</v>
      </c>
      <c r="I6" s="3" t="s">
        <v>1179</v>
      </c>
    </row>
    <row r="7" spans="1:10" x14ac:dyDescent="0.25">
      <c r="A7" s="3" t="s">
        <v>6983</v>
      </c>
      <c r="B7" s="3" t="s">
        <v>6988</v>
      </c>
      <c r="C7" s="3" t="s">
        <v>6985</v>
      </c>
      <c r="D7" s="3" t="s">
        <v>2105</v>
      </c>
      <c r="E7" s="3">
        <v>6</v>
      </c>
      <c r="F7" s="3" t="s">
        <v>1440</v>
      </c>
      <c r="G7" s="3" t="s">
        <v>1091</v>
      </c>
      <c r="H7" s="3" t="s">
        <v>6832</v>
      </c>
      <c r="I7" s="3" t="s">
        <v>1179</v>
      </c>
    </row>
    <row r="8" spans="1:10" x14ac:dyDescent="0.25">
      <c r="A8" s="3" t="s">
        <v>6983</v>
      </c>
      <c r="B8" s="3" t="s">
        <v>6988</v>
      </c>
      <c r="C8" s="3" t="s">
        <v>6985</v>
      </c>
      <c r="D8" s="3" t="s">
        <v>2105</v>
      </c>
      <c r="E8" s="3">
        <v>7</v>
      </c>
      <c r="F8" s="3" t="s">
        <v>1441</v>
      </c>
      <c r="G8" s="3" t="s">
        <v>5</v>
      </c>
      <c r="H8" s="3" t="s">
        <v>35</v>
      </c>
      <c r="I8" s="3" t="s">
        <v>1179</v>
      </c>
    </row>
    <row r="9" spans="1:10" x14ac:dyDescent="0.25">
      <c r="A9" s="3" t="s">
        <v>6983</v>
      </c>
      <c r="B9" s="3" t="s">
        <v>6988</v>
      </c>
      <c r="C9" s="3" t="s">
        <v>6985</v>
      </c>
      <c r="D9" s="3" t="s">
        <v>2105</v>
      </c>
      <c r="E9" s="3">
        <v>8</v>
      </c>
      <c r="F9" s="3" t="s">
        <v>1442</v>
      </c>
      <c r="G9" s="3" t="s">
        <v>1092</v>
      </c>
      <c r="H9" s="3" t="s">
        <v>36</v>
      </c>
      <c r="I9" s="3" t="s">
        <v>1179</v>
      </c>
    </row>
    <row r="10" spans="1:10" x14ac:dyDescent="0.25">
      <c r="A10" s="3" t="s">
        <v>6983</v>
      </c>
      <c r="B10" s="3" t="s">
        <v>6988</v>
      </c>
      <c r="C10" s="3" t="s">
        <v>6985</v>
      </c>
      <c r="D10" s="3" t="s">
        <v>2105</v>
      </c>
      <c r="E10" s="3">
        <v>9</v>
      </c>
      <c r="F10" s="3" t="s">
        <v>1443</v>
      </c>
      <c r="G10" s="3" t="s">
        <v>16</v>
      </c>
      <c r="H10" s="3" t="s">
        <v>1143</v>
      </c>
      <c r="I10" s="3" t="s">
        <v>1179</v>
      </c>
    </row>
    <row r="11" spans="1:10" x14ac:dyDescent="0.25">
      <c r="A11" s="3" t="s">
        <v>6983</v>
      </c>
      <c r="B11" s="3" t="s">
        <v>6988</v>
      </c>
      <c r="C11" s="3" t="s">
        <v>6985</v>
      </c>
      <c r="D11" s="3" t="s">
        <v>2105</v>
      </c>
      <c r="E11" s="3">
        <v>10</v>
      </c>
      <c r="F11" s="3" t="s">
        <v>1444</v>
      </c>
      <c r="G11" s="3" t="s">
        <v>16</v>
      </c>
      <c r="H11" s="3" t="s">
        <v>37</v>
      </c>
      <c r="I11" s="3" t="s">
        <v>1179</v>
      </c>
    </row>
    <row r="12" spans="1:10" x14ac:dyDescent="0.25">
      <c r="A12" s="3" t="s">
        <v>6983</v>
      </c>
      <c r="B12" s="3" t="s">
        <v>6988</v>
      </c>
      <c r="C12" s="3" t="s">
        <v>6985</v>
      </c>
      <c r="D12" s="3" t="s">
        <v>2105</v>
      </c>
      <c r="E12" s="3">
        <v>11</v>
      </c>
      <c r="F12" s="3" t="s">
        <v>1445</v>
      </c>
      <c r="G12" s="3" t="s">
        <v>16</v>
      </c>
      <c r="H12" s="3" t="s">
        <v>1142</v>
      </c>
      <c r="I12" s="3" t="s">
        <v>1179</v>
      </c>
    </row>
    <row r="13" spans="1:10" x14ac:dyDescent="0.25">
      <c r="A13" s="3" t="s">
        <v>6983</v>
      </c>
      <c r="B13" s="3" t="s">
        <v>6988</v>
      </c>
      <c r="C13" s="3" t="s">
        <v>6985</v>
      </c>
      <c r="D13" s="3" t="s">
        <v>2105</v>
      </c>
      <c r="E13" s="3">
        <v>12</v>
      </c>
      <c r="F13" s="3" t="s">
        <v>1446</v>
      </c>
      <c r="G13" s="3" t="s">
        <v>17</v>
      </c>
      <c r="H13" s="3" t="s">
        <v>38</v>
      </c>
      <c r="I13" s="3" t="s">
        <v>1179</v>
      </c>
    </row>
    <row r="14" spans="1:10" x14ac:dyDescent="0.25">
      <c r="A14" s="3" t="s">
        <v>6983</v>
      </c>
      <c r="B14" s="3" t="s">
        <v>6988</v>
      </c>
      <c r="C14" s="3" t="s">
        <v>6985</v>
      </c>
      <c r="D14" s="3" t="s">
        <v>2106</v>
      </c>
      <c r="E14" s="3">
        <v>13</v>
      </c>
      <c r="F14" s="3" t="s">
        <v>2165</v>
      </c>
      <c r="G14" s="3" t="s">
        <v>2098</v>
      </c>
      <c r="H14" s="3" t="str">
        <f>_xlfn.CONCAT("Output ",F14, " from TIS.")</f>
        <v>Output NE Tendon 2 Bending from TIS.</v>
      </c>
    </row>
    <row r="15" spans="1:10" x14ac:dyDescent="0.25">
      <c r="A15" s="3" t="s">
        <v>6983</v>
      </c>
      <c r="B15" s="3" t="s">
        <v>6988</v>
      </c>
      <c r="C15" s="3" t="s">
        <v>6985</v>
      </c>
      <c r="D15" s="3" t="s">
        <v>2106</v>
      </c>
      <c r="E15" s="3">
        <v>14</v>
      </c>
      <c r="F15" s="3" t="s">
        <v>2166</v>
      </c>
      <c r="G15" s="3" t="s">
        <v>1100</v>
      </c>
      <c r="H15" s="3" t="str">
        <f t="shared" ref="H15:H30" si="0">_xlfn.CONCAT("Output ",F15, " from TIS.")</f>
        <v>Output NE Tendon 2 Tension from TIS.</v>
      </c>
    </row>
    <row r="16" spans="1:10" x14ac:dyDescent="0.25">
      <c r="A16" s="3" t="s">
        <v>6983</v>
      </c>
      <c r="B16" s="3" t="s">
        <v>6988</v>
      </c>
      <c r="C16" s="3" t="s">
        <v>6985</v>
      </c>
      <c r="D16" s="3" t="s">
        <v>2106</v>
      </c>
      <c r="E16" s="3">
        <v>15</v>
      </c>
      <c r="F16" s="3" t="s">
        <v>2167</v>
      </c>
      <c r="G16" s="3" t="s">
        <v>4</v>
      </c>
      <c r="H16" s="3" t="str">
        <f t="shared" si="0"/>
        <v>Output NE Tendon 2 Angle from TIS.</v>
      </c>
    </row>
    <row r="17" spans="1:8" x14ac:dyDescent="0.25">
      <c r="A17" s="3" t="s">
        <v>6983</v>
      </c>
      <c r="B17" s="3" t="s">
        <v>6988</v>
      </c>
      <c r="C17" s="3" t="s">
        <v>6985</v>
      </c>
      <c r="D17" s="3" t="s">
        <v>2106</v>
      </c>
      <c r="E17" s="3">
        <v>16</v>
      </c>
      <c r="F17" s="3" t="s">
        <v>2168</v>
      </c>
      <c r="G17" s="3" t="s">
        <v>1104</v>
      </c>
      <c r="H17" s="3" t="str">
        <f t="shared" si="0"/>
        <v>Output NE Tendon 2 Status from TIS.</v>
      </c>
    </row>
    <row r="18" spans="1:8" x14ac:dyDescent="0.25">
      <c r="A18" s="3" t="s">
        <v>6983</v>
      </c>
      <c r="B18" s="3" t="s">
        <v>6988</v>
      </c>
      <c r="C18" s="3" t="s">
        <v>6985</v>
      </c>
      <c r="D18" s="3" t="s">
        <v>2106</v>
      </c>
      <c r="E18" s="3">
        <v>17</v>
      </c>
      <c r="F18" s="3" t="s">
        <v>2169</v>
      </c>
      <c r="G18" s="3" t="s">
        <v>2098</v>
      </c>
      <c r="H18" s="3" t="str">
        <f t="shared" si="0"/>
        <v>Output SE Tendon 5 Bending from TIS.</v>
      </c>
    </row>
    <row r="19" spans="1:8" x14ac:dyDescent="0.25">
      <c r="A19" s="3" t="s">
        <v>6983</v>
      </c>
      <c r="B19" s="3" t="s">
        <v>6988</v>
      </c>
      <c r="C19" s="3" t="s">
        <v>6985</v>
      </c>
      <c r="D19" s="3" t="s">
        <v>2106</v>
      </c>
      <c r="E19" s="3">
        <v>18</v>
      </c>
      <c r="F19" s="3" t="s">
        <v>2170</v>
      </c>
      <c r="G19" s="3" t="s">
        <v>1100</v>
      </c>
      <c r="H19" s="3" t="str">
        <f t="shared" si="0"/>
        <v>Output SE Tendon 5 Tension from TIS.</v>
      </c>
    </row>
    <row r="20" spans="1:8" x14ac:dyDescent="0.25">
      <c r="A20" s="3" t="s">
        <v>6983</v>
      </c>
      <c r="B20" s="3" t="s">
        <v>6988</v>
      </c>
      <c r="C20" s="3" t="s">
        <v>6985</v>
      </c>
      <c r="D20" s="3" t="s">
        <v>2106</v>
      </c>
      <c r="E20" s="3">
        <v>19</v>
      </c>
      <c r="F20" s="3" t="s">
        <v>2171</v>
      </c>
      <c r="G20" s="3" t="s">
        <v>4</v>
      </c>
      <c r="H20" s="3" t="str">
        <f t="shared" si="0"/>
        <v>Output SE Tendon 5 Angle from TIS.</v>
      </c>
    </row>
    <row r="21" spans="1:8" x14ac:dyDescent="0.25">
      <c r="A21" s="3" t="s">
        <v>6983</v>
      </c>
      <c r="B21" s="3" t="s">
        <v>6988</v>
      </c>
      <c r="C21" s="3" t="s">
        <v>6985</v>
      </c>
      <c r="D21" s="3" t="s">
        <v>2106</v>
      </c>
      <c r="E21" s="3">
        <v>20</v>
      </c>
      <c r="F21" s="3" t="s">
        <v>2172</v>
      </c>
      <c r="G21" s="3" t="s">
        <v>1104</v>
      </c>
      <c r="H21" s="3" t="str">
        <f t="shared" si="0"/>
        <v>Output SE Tendon 5 Status from TIS.</v>
      </c>
    </row>
    <row r="22" spans="1:8" x14ac:dyDescent="0.25">
      <c r="A22" s="3" t="s">
        <v>6983</v>
      </c>
      <c r="B22" s="3" t="s">
        <v>6988</v>
      </c>
      <c r="C22" s="3" t="s">
        <v>6985</v>
      </c>
      <c r="D22" s="3" t="s">
        <v>2106</v>
      </c>
      <c r="E22" s="3">
        <v>21</v>
      </c>
      <c r="F22" s="3" t="s">
        <v>2173</v>
      </c>
      <c r="G22" s="3" t="s">
        <v>2098</v>
      </c>
      <c r="H22" s="3" t="str">
        <f t="shared" si="0"/>
        <v>Output SW Tendon 8 Bending from TIS.</v>
      </c>
    </row>
    <row r="23" spans="1:8" x14ac:dyDescent="0.25">
      <c r="A23" s="3" t="s">
        <v>6983</v>
      </c>
      <c r="B23" s="3" t="s">
        <v>6988</v>
      </c>
      <c r="C23" s="3" t="s">
        <v>6985</v>
      </c>
      <c r="D23" s="3" t="s">
        <v>2106</v>
      </c>
      <c r="E23" s="3">
        <v>22</v>
      </c>
      <c r="F23" s="3" t="s">
        <v>2174</v>
      </c>
      <c r="G23" s="3" t="s">
        <v>1100</v>
      </c>
      <c r="H23" s="3" t="str">
        <f t="shared" si="0"/>
        <v>Output SW Tendon 8 Tension from TIS.</v>
      </c>
    </row>
    <row r="24" spans="1:8" x14ac:dyDescent="0.25">
      <c r="A24" s="3" t="s">
        <v>6983</v>
      </c>
      <c r="B24" s="3" t="s">
        <v>6988</v>
      </c>
      <c r="C24" s="3" t="s">
        <v>6985</v>
      </c>
      <c r="D24" s="3" t="s">
        <v>2106</v>
      </c>
      <c r="E24" s="3">
        <v>23</v>
      </c>
      <c r="F24" s="3" t="s">
        <v>2175</v>
      </c>
      <c r="G24" s="3" t="s">
        <v>4</v>
      </c>
      <c r="H24" s="3" t="str">
        <f t="shared" si="0"/>
        <v>Output SW Tendon 8 Angle from TIS.</v>
      </c>
    </row>
    <row r="25" spans="1:8" x14ac:dyDescent="0.25">
      <c r="A25" s="3" t="s">
        <v>6983</v>
      </c>
      <c r="B25" s="3" t="s">
        <v>6988</v>
      </c>
      <c r="C25" s="3" t="s">
        <v>6985</v>
      </c>
      <c r="D25" s="3" t="s">
        <v>2106</v>
      </c>
      <c r="E25" s="3">
        <v>24</v>
      </c>
      <c r="F25" s="3" t="s">
        <v>2176</v>
      </c>
      <c r="G25" s="3" t="s">
        <v>1104</v>
      </c>
      <c r="H25" s="3" t="str">
        <f t="shared" si="0"/>
        <v>Output SW Tendon 8 Status from TIS.</v>
      </c>
    </row>
    <row r="26" spans="1:8" x14ac:dyDescent="0.25">
      <c r="A26" s="3" t="s">
        <v>6983</v>
      </c>
      <c r="B26" s="3" t="s">
        <v>6988</v>
      </c>
      <c r="C26" s="3" t="s">
        <v>6985</v>
      </c>
      <c r="D26" s="3" t="s">
        <v>2106</v>
      </c>
      <c r="E26" s="3">
        <v>25</v>
      </c>
      <c r="F26" s="3" t="s">
        <v>2177</v>
      </c>
      <c r="G26" s="3" t="s">
        <v>2098</v>
      </c>
      <c r="H26" s="3" t="str">
        <f t="shared" si="0"/>
        <v>Output NW Tendon 11 Bending from TIS.</v>
      </c>
    </row>
    <row r="27" spans="1:8" x14ac:dyDescent="0.25">
      <c r="A27" s="3" t="s">
        <v>6983</v>
      </c>
      <c r="B27" s="3" t="s">
        <v>6988</v>
      </c>
      <c r="C27" s="3" t="s">
        <v>6985</v>
      </c>
      <c r="D27" s="3" t="s">
        <v>2106</v>
      </c>
      <c r="E27" s="3">
        <v>26</v>
      </c>
      <c r="F27" s="3" t="s">
        <v>2178</v>
      </c>
      <c r="G27" s="3" t="s">
        <v>1100</v>
      </c>
      <c r="H27" s="3" t="str">
        <f t="shared" si="0"/>
        <v>Output NW Tendon 11 Tension from TIS.</v>
      </c>
    </row>
    <row r="28" spans="1:8" x14ac:dyDescent="0.25">
      <c r="A28" s="3" t="s">
        <v>6983</v>
      </c>
      <c r="B28" s="3" t="s">
        <v>6988</v>
      </c>
      <c r="C28" s="3" t="s">
        <v>6985</v>
      </c>
      <c r="D28" s="3" t="s">
        <v>2106</v>
      </c>
      <c r="E28" s="3">
        <v>27</v>
      </c>
      <c r="F28" s="3" t="s">
        <v>2179</v>
      </c>
      <c r="G28" s="3" t="s">
        <v>4</v>
      </c>
      <c r="H28" s="3" t="str">
        <f t="shared" si="0"/>
        <v>Output NW Tendon 11 Angle from TIS.</v>
      </c>
    </row>
    <row r="29" spans="1:8" x14ac:dyDescent="0.25">
      <c r="A29" s="3" t="s">
        <v>6983</v>
      </c>
      <c r="B29" s="3" t="s">
        <v>6988</v>
      </c>
      <c r="C29" s="3" t="s">
        <v>6985</v>
      </c>
      <c r="D29" s="3" t="s">
        <v>2106</v>
      </c>
      <c r="E29" s="3">
        <v>28</v>
      </c>
      <c r="F29" s="3" t="s">
        <v>2180</v>
      </c>
      <c r="G29" s="3" t="s">
        <v>1104</v>
      </c>
      <c r="H29" s="3" t="str">
        <f t="shared" si="0"/>
        <v>Output NW Tendon 11 Status from TIS.</v>
      </c>
    </row>
    <row r="30" spans="1:8" x14ac:dyDescent="0.25">
      <c r="A30" s="3" t="s">
        <v>6983</v>
      </c>
      <c r="B30" s="3" t="s">
        <v>6988</v>
      </c>
      <c r="C30" s="3" t="s">
        <v>6985</v>
      </c>
      <c r="D30" s="3" t="s">
        <v>2106</v>
      </c>
      <c r="E30" s="3">
        <v>29</v>
      </c>
      <c r="F30" s="3" t="s">
        <v>2181</v>
      </c>
      <c r="G30" s="3" t="s">
        <v>1104</v>
      </c>
      <c r="H30" s="3" t="str">
        <f t="shared" si="0"/>
        <v>Output TIS Status from TIS.</v>
      </c>
    </row>
    <row r="31" spans="1:8" x14ac:dyDescent="0.25">
      <c r="A31" s="3" t="s">
        <v>6983</v>
      </c>
      <c r="B31" s="3" t="s">
        <v>6988</v>
      </c>
      <c r="C31" s="3" t="s">
        <v>6985</v>
      </c>
      <c r="D31" s="3" t="s">
        <v>2107</v>
      </c>
      <c r="E31" s="3">
        <v>30</v>
      </c>
      <c r="F31" s="4" t="s">
        <v>1498</v>
      </c>
      <c r="G31" s="4" t="s">
        <v>1093</v>
      </c>
      <c r="H31" s="3" t="s">
        <v>6948</v>
      </c>
    </row>
    <row r="32" spans="1:8" x14ac:dyDescent="0.25">
      <c r="A32" s="3" t="s">
        <v>6983</v>
      </c>
      <c r="B32" s="3" t="s">
        <v>6988</v>
      </c>
      <c r="C32" s="3" t="s">
        <v>6985</v>
      </c>
      <c r="D32" s="3" t="s">
        <v>2107</v>
      </c>
      <c r="E32" s="3">
        <v>31</v>
      </c>
      <c r="F32" s="4" t="s">
        <v>1499</v>
      </c>
      <c r="G32" s="4" t="s">
        <v>8</v>
      </c>
      <c r="H32" s="3" t="s">
        <v>6953</v>
      </c>
    </row>
    <row r="33" spans="1:8" x14ac:dyDescent="0.25">
      <c r="A33" s="3" t="s">
        <v>6983</v>
      </c>
      <c r="B33" s="3" t="s">
        <v>6988</v>
      </c>
      <c r="C33" s="3" t="s">
        <v>6985</v>
      </c>
      <c r="D33" s="3" t="s">
        <v>2107</v>
      </c>
      <c r="E33" s="3">
        <v>32</v>
      </c>
      <c r="F33" s="3" t="s">
        <v>1500</v>
      </c>
      <c r="G33" s="3" t="s">
        <v>1093</v>
      </c>
      <c r="H33" s="3" t="s">
        <v>1239</v>
      </c>
    </row>
    <row r="34" spans="1:8" x14ac:dyDescent="0.25">
      <c r="A34" s="3" t="s">
        <v>6983</v>
      </c>
      <c r="B34" s="3" t="s">
        <v>6988</v>
      </c>
      <c r="C34" s="3" t="s">
        <v>6985</v>
      </c>
      <c r="D34" s="3" t="s">
        <v>2107</v>
      </c>
      <c r="E34" s="3">
        <v>33</v>
      </c>
      <c r="F34" s="3" t="s">
        <v>1501</v>
      </c>
      <c r="G34" s="3" t="s">
        <v>8</v>
      </c>
      <c r="H34" s="3" t="s">
        <v>1236</v>
      </c>
    </row>
    <row r="35" spans="1:8" x14ac:dyDescent="0.25">
      <c r="A35" s="3" t="s">
        <v>6983</v>
      </c>
      <c r="B35" s="3" t="s">
        <v>6988</v>
      </c>
      <c r="C35" s="3" t="s">
        <v>6985</v>
      </c>
      <c r="D35" s="3" t="s">
        <v>2107</v>
      </c>
      <c r="E35" s="3">
        <v>34</v>
      </c>
      <c r="F35" s="3" t="s">
        <v>1502</v>
      </c>
      <c r="G35" s="3" t="s">
        <v>1093</v>
      </c>
      <c r="H35" s="3" t="s">
        <v>1240</v>
      </c>
    </row>
    <row r="36" spans="1:8" x14ac:dyDescent="0.25">
      <c r="A36" s="3" t="s">
        <v>6983</v>
      </c>
      <c r="B36" s="3" t="s">
        <v>6988</v>
      </c>
      <c r="C36" s="3" t="s">
        <v>6985</v>
      </c>
      <c r="D36" s="3" t="s">
        <v>2107</v>
      </c>
      <c r="E36" s="3">
        <v>35</v>
      </c>
      <c r="F36" s="3" t="s">
        <v>1503</v>
      </c>
      <c r="G36" s="3" t="s">
        <v>8</v>
      </c>
      <c r="H36" s="3" t="s">
        <v>1237</v>
      </c>
    </row>
    <row r="37" spans="1:8" x14ac:dyDescent="0.25">
      <c r="A37" s="3" t="s">
        <v>6983</v>
      </c>
      <c r="B37" s="3" t="s">
        <v>6988</v>
      </c>
      <c r="C37" s="3" t="s">
        <v>6985</v>
      </c>
      <c r="D37" s="3" t="s">
        <v>2107</v>
      </c>
      <c r="E37" s="3">
        <v>36</v>
      </c>
      <c r="F37" s="3" t="s">
        <v>1504</v>
      </c>
      <c r="G37" s="3" t="s">
        <v>2099</v>
      </c>
      <c r="H37" s="3" t="s">
        <v>1233</v>
      </c>
    </row>
    <row r="38" spans="1:8" x14ac:dyDescent="0.25">
      <c r="A38" s="3" t="s">
        <v>6983</v>
      </c>
      <c r="B38" s="3" t="s">
        <v>6988</v>
      </c>
      <c r="C38" s="3" t="s">
        <v>6985</v>
      </c>
      <c r="D38" s="3" t="s">
        <v>2107</v>
      </c>
      <c r="E38" s="3">
        <v>37</v>
      </c>
      <c r="F38" s="3" t="s">
        <v>1505</v>
      </c>
      <c r="G38" s="3" t="s">
        <v>1094</v>
      </c>
      <c r="H38" s="3" t="s">
        <v>1242</v>
      </c>
    </row>
    <row r="39" spans="1:8" x14ac:dyDescent="0.25">
      <c r="A39" s="3" t="s">
        <v>6983</v>
      </c>
      <c r="B39" s="3" t="s">
        <v>6988</v>
      </c>
      <c r="C39" s="3" t="s">
        <v>6985</v>
      </c>
      <c r="D39" s="3" t="s">
        <v>2107</v>
      </c>
      <c r="E39" s="3">
        <v>38</v>
      </c>
      <c r="F39" s="3" t="s">
        <v>1506</v>
      </c>
      <c r="G39" s="3" t="s">
        <v>1095</v>
      </c>
      <c r="H39" s="3" t="s">
        <v>32</v>
      </c>
    </row>
    <row r="40" spans="1:8" x14ac:dyDescent="0.25">
      <c r="A40" s="3" t="s">
        <v>6983</v>
      </c>
      <c r="B40" s="3" t="s">
        <v>6988</v>
      </c>
      <c r="C40" s="3" t="s">
        <v>6985</v>
      </c>
      <c r="D40" s="3" t="s">
        <v>2107</v>
      </c>
      <c r="E40" s="3">
        <v>39</v>
      </c>
      <c r="F40" s="3" t="s">
        <v>1507</v>
      </c>
      <c r="G40" s="3" t="s">
        <v>1095</v>
      </c>
      <c r="H40" s="3" t="s">
        <v>1144</v>
      </c>
    </row>
    <row r="41" spans="1:8" x14ac:dyDescent="0.25">
      <c r="A41" s="3" t="s">
        <v>6983</v>
      </c>
      <c r="B41" s="3" t="s">
        <v>6988</v>
      </c>
      <c r="C41" s="3" t="s">
        <v>6985</v>
      </c>
      <c r="D41" s="3" t="s">
        <v>2107</v>
      </c>
      <c r="E41" s="3">
        <v>40</v>
      </c>
      <c r="F41" s="3" t="s">
        <v>1508</v>
      </c>
      <c r="G41" s="3" t="s">
        <v>9</v>
      </c>
      <c r="H41" s="3" t="s">
        <v>7023</v>
      </c>
    </row>
    <row r="42" spans="1:8" x14ac:dyDescent="0.25">
      <c r="A42" s="3" t="s">
        <v>6983</v>
      </c>
      <c r="B42" s="3" t="s">
        <v>6988</v>
      </c>
      <c r="C42" s="3" t="s">
        <v>6985</v>
      </c>
      <c r="D42" s="3" t="s">
        <v>2107</v>
      </c>
      <c r="E42" s="3">
        <v>41</v>
      </c>
      <c r="F42" s="3" t="s">
        <v>1509</v>
      </c>
      <c r="G42" s="3" t="s">
        <v>13</v>
      </c>
      <c r="H42" s="3" t="s">
        <v>2128</v>
      </c>
    </row>
    <row r="43" spans="1:8" x14ac:dyDescent="0.25">
      <c r="A43" s="3" t="s">
        <v>6983</v>
      </c>
      <c r="B43" s="3" t="s">
        <v>6988</v>
      </c>
      <c r="C43" s="3" t="s">
        <v>6985</v>
      </c>
      <c r="D43" s="3" t="s">
        <v>2107</v>
      </c>
      <c r="E43" s="3">
        <v>42</v>
      </c>
      <c r="F43" s="3" t="s">
        <v>1510</v>
      </c>
      <c r="G43" s="3" t="s">
        <v>2100</v>
      </c>
      <c r="H43" s="3" t="s">
        <v>6689</v>
      </c>
    </row>
    <row r="44" spans="1:8" x14ac:dyDescent="0.25">
      <c r="A44" s="3" t="s">
        <v>6983</v>
      </c>
      <c r="B44" s="3" t="s">
        <v>6988</v>
      </c>
      <c r="C44" s="3" t="s">
        <v>6985</v>
      </c>
      <c r="D44" s="3" t="s">
        <v>2107</v>
      </c>
      <c r="E44" s="3">
        <v>43</v>
      </c>
      <c r="F44" s="3" t="s">
        <v>1511</v>
      </c>
      <c r="G44" s="3" t="s">
        <v>1093</v>
      </c>
      <c r="H44" s="3" t="s">
        <v>1241</v>
      </c>
    </row>
    <row r="45" spans="1:8" x14ac:dyDescent="0.25">
      <c r="A45" s="3" t="s">
        <v>6983</v>
      </c>
      <c r="B45" s="3" t="s">
        <v>6988</v>
      </c>
      <c r="C45" s="3" t="s">
        <v>6985</v>
      </c>
      <c r="D45" s="3" t="s">
        <v>2107</v>
      </c>
      <c r="E45" s="3">
        <v>44</v>
      </c>
      <c r="F45" s="3" t="s">
        <v>1512</v>
      </c>
      <c r="G45" s="3" t="s">
        <v>2100</v>
      </c>
      <c r="H45" s="3" t="s">
        <v>1244</v>
      </c>
    </row>
    <row r="46" spans="1:8" x14ac:dyDescent="0.25">
      <c r="A46" s="3" t="s">
        <v>6983</v>
      </c>
      <c r="B46" s="3" t="s">
        <v>6988</v>
      </c>
      <c r="C46" s="3" t="s">
        <v>6985</v>
      </c>
      <c r="D46" s="3" t="s">
        <v>2107</v>
      </c>
      <c r="E46" s="3">
        <v>45</v>
      </c>
      <c r="F46" s="3" t="s">
        <v>1513</v>
      </c>
      <c r="G46" s="3" t="s">
        <v>8</v>
      </c>
      <c r="H46" s="3" t="s">
        <v>1243</v>
      </c>
    </row>
    <row r="47" spans="1:8" x14ac:dyDescent="0.25">
      <c r="A47" s="3" t="s">
        <v>6983</v>
      </c>
      <c r="B47" s="3" t="s">
        <v>6988</v>
      </c>
      <c r="C47" s="3" t="s">
        <v>6985</v>
      </c>
      <c r="D47" s="3" t="s">
        <v>2107</v>
      </c>
      <c r="E47" s="3">
        <v>46</v>
      </c>
      <c r="F47" s="3" t="s">
        <v>1514</v>
      </c>
      <c r="G47" s="3" t="s">
        <v>8</v>
      </c>
      <c r="H47" s="3" t="s">
        <v>1243</v>
      </c>
    </row>
    <row r="48" spans="1:8" x14ac:dyDescent="0.25">
      <c r="A48" s="3" t="s">
        <v>6983</v>
      </c>
      <c r="B48" s="3" t="s">
        <v>6988</v>
      </c>
      <c r="C48" s="3" t="s">
        <v>6985</v>
      </c>
      <c r="D48" s="3" t="s">
        <v>2107</v>
      </c>
      <c r="E48" s="3">
        <v>47</v>
      </c>
      <c r="F48" s="3" t="s">
        <v>1515</v>
      </c>
      <c r="G48" s="3" t="s">
        <v>8</v>
      </c>
      <c r="H48" s="3" t="s">
        <v>1243</v>
      </c>
    </row>
    <row r="49" spans="1:8" x14ac:dyDescent="0.25">
      <c r="A49" s="3" t="s">
        <v>6983</v>
      </c>
      <c r="B49" s="3" t="s">
        <v>6988</v>
      </c>
      <c r="C49" s="3" t="s">
        <v>6985</v>
      </c>
      <c r="D49" s="3" t="s">
        <v>2107</v>
      </c>
      <c r="E49" s="3">
        <v>48</v>
      </c>
      <c r="F49" s="3" t="s">
        <v>1516</v>
      </c>
      <c r="G49" s="3" t="s">
        <v>1097</v>
      </c>
      <c r="H49" s="3" t="s">
        <v>33</v>
      </c>
    </row>
    <row r="50" spans="1:8" x14ac:dyDescent="0.25">
      <c r="A50" s="3" t="s">
        <v>6983</v>
      </c>
      <c r="B50" s="3" t="s">
        <v>6988</v>
      </c>
      <c r="C50" s="3" t="s">
        <v>6985</v>
      </c>
      <c r="D50" s="3" t="s">
        <v>2107</v>
      </c>
      <c r="E50" s="3">
        <v>49</v>
      </c>
      <c r="F50" s="3" t="s">
        <v>1517</v>
      </c>
      <c r="G50" s="3" t="s">
        <v>13</v>
      </c>
      <c r="H50" s="3" t="s">
        <v>1246</v>
      </c>
    </row>
    <row r="51" spans="1:8" x14ac:dyDescent="0.25">
      <c r="A51" s="3" t="s">
        <v>6983</v>
      </c>
      <c r="B51" s="3" t="s">
        <v>6988</v>
      </c>
      <c r="C51" s="3" t="s">
        <v>6985</v>
      </c>
      <c r="D51" s="3" t="s">
        <v>2112</v>
      </c>
      <c r="E51" s="3">
        <v>50</v>
      </c>
      <c r="F51" s="3" t="s">
        <v>1522</v>
      </c>
      <c r="G51" s="3" t="s">
        <v>13</v>
      </c>
      <c r="H51" s="3" t="s">
        <v>6613</v>
      </c>
    </row>
    <row r="52" spans="1:8" x14ac:dyDescent="0.25">
      <c r="A52" s="3" t="s">
        <v>6983</v>
      </c>
      <c r="B52" s="3" t="s">
        <v>6988</v>
      </c>
      <c r="C52" s="3" t="s">
        <v>6985</v>
      </c>
      <c r="D52" s="3" t="s">
        <v>2112</v>
      </c>
      <c r="E52" s="3">
        <v>51</v>
      </c>
      <c r="F52" s="3" t="s">
        <v>1523</v>
      </c>
      <c r="G52" s="3" t="s">
        <v>9</v>
      </c>
      <c r="H52" s="4" t="s">
        <v>7030</v>
      </c>
    </row>
    <row r="53" spans="1:8" x14ac:dyDescent="0.25">
      <c r="A53" s="3" t="s">
        <v>6983</v>
      </c>
      <c r="B53" s="3" t="s">
        <v>6988</v>
      </c>
      <c r="C53" s="3" t="s">
        <v>6985</v>
      </c>
      <c r="D53" s="3" t="s">
        <v>2112</v>
      </c>
      <c r="E53" s="3">
        <v>52</v>
      </c>
      <c r="F53" s="3" t="s">
        <v>1524</v>
      </c>
      <c r="G53" s="3" t="s">
        <v>1095</v>
      </c>
      <c r="H53" s="3" t="s">
        <v>1524</v>
      </c>
    </row>
    <row r="54" spans="1:8" x14ac:dyDescent="0.25">
      <c r="A54" s="3" t="s">
        <v>6983</v>
      </c>
      <c r="B54" s="3" t="s">
        <v>6988</v>
      </c>
      <c r="C54" s="3" t="s">
        <v>6985</v>
      </c>
      <c r="D54" s="3" t="s">
        <v>6300</v>
      </c>
      <c r="E54" s="3">
        <v>53</v>
      </c>
      <c r="F54" s="3" t="s">
        <v>2182</v>
      </c>
      <c r="G54" s="3" t="s">
        <v>1093</v>
      </c>
      <c r="H54" s="3" t="str">
        <f>_xlfn.CONCAT("Output ",F54, " from 3rd party Tanks system.")</f>
        <v>Output ABJ-2606 Level from 3rd party Tanks system.</v>
      </c>
    </row>
    <row r="55" spans="1:8" x14ac:dyDescent="0.25">
      <c r="A55" s="3" t="s">
        <v>6983</v>
      </c>
      <c r="B55" s="3" t="s">
        <v>6988</v>
      </c>
      <c r="C55" s="3" t="s">
        <v>6985</v>
      </c>
      <c r="D55" s="3" t="s">
        <v>6300</v>
      </c>
      <c r="E55" s="3">
        <v>54</v>
      </c>
      <c r="F55" s="3" t="s">
        <v>2183</v>
      </c>
      <c r="G55" s="3" t="s">
        <v>1093</v>
      </c>
      <c r="H55" s="3" t="str">
        <f t="shared" ref="H55:H80" si="1">_xlfn.CONCAT("Output ",F55, " from 3rd party Tanks system.")</f>
        <v>Output ABJ-2607 Level from 3rd party Tanks system.</v>
      </c>
    </row>
    <row r="56" spans="1:8" x14ac:dyDescent="0.25">
      <c r="A56" s="3" t="s">
        <v>6983</v>
      </c>
      <c r="B56" s="3" t="s">
        <v>6988</v>
      </c>
      <c r="C56" s="3" t="s">
        <v>6985</v>
      </c>
      <c r="D56" s="3" t="s">
        <v>6300</v>
      </c>
      <c r="E56" s="3">
        <v>55</v>
      </c>
      <c r="F56" s="3" t="s">
        <v>2184</v>
      </c>
      <c r="G56" s="3" t="s">
        <v>1093</v>
      </c>
      <c r="H56" s="3" t="str">
        <f t="shared" si="1"/>
        <v>Output BAL-NPE Level from 3rd party Tanks system.</v>
      </c>
    </row>
    <row r="57" spans="1:8" x14ac:dyDescent="0.25">
      <c r="A57" s="3" t="s">
        <v>6983</v>
      </c>
      <c r="B57" s="3" t="s">
        <v>6988</v>
      </c>
      <c r="C57" s="3" t="s">
        <v>6985</v>
      </c>
      <c r="D57" s="3" t="s">
        <v>6300</v>
      </c>
      <c r="E57" s="3">
        <v>56</v>
      </c>
      <c r="F57" s="3" t="s">
        <v>2185</v>
      </c>
      <c r="G57" s="3" t="s">
        <v>1093</v>
      </c>
      <c r="H57" s="3" t="str">
        <f t="shared" si="1"/>
        <v>Output BAL-EPN Level from 3rd party Tanks system.</v>
      </c>
    </row>
    <row r="58" spans="1:8" x14ac:dyDescent="0.25">
      <c r="A58" s="3" t="s">
        <v>6983</v>
      </c>
      <c r="B58" s="3" t="s">
        <v>6988</v>
      </c>
      <c r="C58" s="3" t="s">
        <v>6985</v>
      </c>
      <c r="D58" s="3" t="s">
        <v>6300</v>
      </c>
      <c r="E58" s="3">
        <v>57</v>
      </c>
      <c r="F58" s="3" t="s">
        <v>2186</v>
      </c>
      <c r="G58" s="3" t="s">
        <v>1093</v>
      </c>
      <c r="H58" s="3" t="str">
        <f t="shared" si="1"/>
        <v>Output BAL-EPS Level from 3rd party Tanks system.</v>
      </c>
    </row>
    <row r="59" spans="1:8" x14ac:dyDescent="0.25">
      <c r="A59" s="3" t="s">
        <v>6983</v>
      </c>
      <c r="B59" s="3" t="s">
        <v>6988</v>
      </c>
      <c r="C59" s="3" t="s">
        <v>6985</v>
      </c>
      <c r="D59" s="3" t="s">
        <v>6300</v>
      </c>
      <c r="E59" s="3">
        <v>58</v>
      </c>
      <c r="F59" s="3" t="s">
        <v>2187</v>
      </c>
      <c r="G59" s="3" t="s">
        <v>1093</v>
      </c>
      <c r="H59" s="3" t="str">
        <f t="shared" si="1"/>
        <v>Output BAL-SPE Level from 3rd party Tanks system.</v>
      </c>
    </row>
    <row r="60" spans="1:8" x14ac:dyDescent="0.25">
      <c r="A60" s="3" t="s">
        <v>6983</v>
      </c>
      <c r="B60" s="3" t="s">
        <v>6988</v>
      </c>
      <c r="C60" s="3" t="s">
        <v>6985</v>
      </c>
      <c r="D60" s="3" t="s">
        <v>6300</v>
      </c>
      <c r="E60" s="3">
        <v>59</v>
      </c>
      <c r="F60" s="3" t="s">
        <v>2188</v>
      </c>
      <c r="G60" s="3" t="s">
        <v>1093</v>
      </c>
      <c r="H60" s="3" t="str">
        <f t="shared" si="1"/>
        <v>Output BAL-NE0-BN Level from 3rd party Tanks system.</v>
      </c>
    </row>
    <row r="61" spans="1:8" x14ac:dyDescent="0.25">
      <c r="A61" s="3" t="s">
        <v>6983</v>
      </c>
      <c r="B61" s="3" t="s">
        <v>6988</v>
      </c>
      <c r="C61" s="3" t="s">
        <v>6985</v>
      </c>
      <c r="D61" s="3" t="s">
        <v>6300</v>
      </c>
      <c r="E61" s="3">
        <v>60</v>
      </c>
      <c r="F61" s="3" t="s">
        <v>2189</v>
      </c>
      <c r="G61" s="3" t="s">
        <v>1093</v>
      </c>
      <c r="H61" s="3" t="str">
        <f t="shared" si="1"/>
        <v>Output BAL-NE0-BE Level from 3rd party Tanks system.</v>
      </c>
    </row>
    <row r="62" spans="1:8" x14ac:dyDescent="0.25">
      <c r="A62" s="3" t="s">
        <v>6983</v>
      </c>
      <c r="B62" s="3" t="s">
        <v>6988</v>
      </c>
      <c r="C62" s="3" t="s">
        <v>6985</v>
      </c>
      <c r="D62" s="3" t="s">
        <v>6300</v>
      </c>
      <c r="E62" s="3">
        <v>61</v>
      </c>
      <c r="F62" s="3" t="s">
        <v>2190</v>
      </c>
      <c r="G62" s="3" t="s">
        <v>1093</v>
      </c>
      <c r="H62" s="3" t="str">
        <f t="shared" si="1"/>
        <v>Output BAL-SE0-BE Level from 3rd party Tanks system.</v>
      </c>
    </row>
    <row r="63" spans="1:8" x14ac:dyDescent="0.25">
      <c r="A63" s="3" t="s">
        <v>6983</v>
      </c>
      <c r="B63" s="3" t="s">
        <v>6988</v>
      </c>
      <c r="C63" s="3" t="s">
        <v>6985</v>
      </c>
      <c r="D63" s="3" t="s">
        <v>6300</v>
      </c>
      <c r="E63" s="3">
        <v>62</v>
      </c>
      <c r="F63" s="3" t="s">
        <v>2191</v>
      </c>
      <c r="G63" s="3" t="s">
        <v>1093</v>
      </c>
      <c r="H63" s="3" t="str">
        <f t="shared" si="1"/>
        <v>Output BAL-SE0-BS Level from 3rd party Tanks system.</v>
      </c>
    </row>
    <row r="64" spans="1:8" x14ac:dyDescent="0.25">
      <c r="A64" s="3" t="s">
        <v>6983</v>
      </c>
      <c r="B64" s="3" t="s">
        <v>6988</v>
      </c>
      <c r="C64" s="3" t="s">
        <v>6985</v>
      </c>
      <c r="D64" s="3" t="s">
        <v>6300</v>
      </c>
      <c r="E64" s="3">
        <v>63</v>
      </c>
      <c r="F64" s="3" t="s">
        <v>2192</v>
      </c>
      <c r="G64" s="3" t="s">
        <v>1093</v>
      </c>
      <c r="H64" s="3" t="str">
        <f t="shared" si="1"/>
        <v>Output BAL-SE1-BS Level from 3rd party Tanks system.</v>
      </c>
    </row>
    <row r="65" spans="1:8" x14ac:dyDescent="0.25">
      <c r="A65" s="3" t="s">
        <v>6983</v>
      </c>
      <c r="B65" s="3" t="s">
        <v>6988</v>
      </c>
      <c r="C65" s="3" t="s">
        <v>6985</v>
      </c>
      <c r="D65" s="3" t="s">
        <v>6301</v>
      </c>
      <c r="E65" s="3">
        <v>64</v>
      </c>
      <c r="F65" s="3" t="s">
        <v>2193</v>
      </c>
      <c r="G65" s="3" t="s">
        <v>2463</v>
      </c>
      <c r="H65" s="3" t="str">
        <f t="shared" si="1"/>
        <v>Output ABJ-2606 Vol from 3rd party Tanks system.</v>
      </c>
    </row>
    <row r="66" spans="1:8" x14ac:dyDescent="0.25">
      <c r="A66" s="3" t="s">
        <v>6983</v>
      </c>
      <c r="B66" s="3" t="s">
        <v>6988</v>
      </c>
      <c r="C66" s="3" t="s">
        <v>6985</v>
      </c>
      <c r="D66" s="3" t="s">
        <v>6301</v>
      </c>
      <c r="E66" s="3">
        <v>65</v>
      </c>
      <c r="F66" s="3" t="s">
        <v>2194</v>
      </c>
      <c r="G66" s="3" t="s">
        <v>2463</v>
      </c>
      <c r="H66" s="3" t="str">
        <f t="shared" si="1"/>
        <v>Output ABJ-2607 Vol from 3rd party Tanks system.</v>
      </c>
    </row>
    <row r="67" spans="1:8" x14ac:dyDescent="0.25">
      <c r="A67" s="3" t="s">
        <v>6983</v>
      </c>
      <c r="B67" s="3" t="s">
        <v>6988</v>
      </c>
      <c r="C67" s="3" t="s">
        <v>6985</v>
      </c>
      <c r="D67" s="3" t="s">
        <v>6301</v>
      </c>
      <c r="E67" s="3">
        <v>66</v>
      </c>
      <c r="F67" s="3" t="s">
        <v>2195</v>
      </c>
      <c r="G67" s="3" t="s">
        <v>1093</v>
      </c>
      <c r="H67" s="3" t="str">
        <f t="shared" si="1"/>
        <v>Output ABJ-2700 Level from 3rd party Tanks system.</v>
      </c>
    </row>
    <row r="68" spans="1:8" x14ac:dyDescent="0.25">
      <c r="A68" s="3" t="s">
        <v>6983</v>
      </c>
      <c r="B68" s="3" t="s">
        <v>6988</v>
      </c>
      <c r="C68" s="3" t="s">
        <v>6985</v>
      </c>
      <c r="D68" s="3" t="s">
        <v>6301</v>
      </c>
      <c r="E68" s="3">
        <v>67</v>
      </c>
      <c r="F68" s="3" t="s">
        <v>2196</v>
      </c>
      <c r="G68" s="3" t="s">
        <v>1093</v>
      </c>
      <c r="H68" s="3" t="str">
        <f t="shared" si="1"/>
        <v>Output ABJ-2703 Level from 3rd party Tanks system.</v>
      </c>
    </row>
    <row r="69" spans="1:8" x14ac:dyDescent="0.25">
      <c r="A69" s="3" t="s">
        <v>6983</v>
      </c>
      <c r="B69" s="3" t="s">
        <v>6988</v>
      </c>
      <c r="C69" s="3" t="s">
        <v>6985</v>
      </c>
      <c r="D69" s="3" t="s">
        <v>6301</v>
      </c>
      <c r="E69" s="3">
        <v>68</v>
      </c>
      <c r="F69" s="3" t="s">
        <v>2197</v>
      </c>
      <c r="G69" s="3" t="s">
        <v>1093</v>
      </c>
      <c r="H69" s="3" t="str">
        <f t="shared" si="1"/>
        <v>Output BAL-NPW Level from 3rd party Tanks system.</v>
      </c>
    </row>
    <row r="70" spans="1:8" x14ac:dyDescent="0.25">
      <c r="A70" s="3" t="s">
        <v>6983</v>
      </c>
      <c r="B70" s="3" t="s">
        <v>6988</v>
      </c>
      <c r="C70" s="3" t="s">
        <v>6985</v>
      </c>
      <c r="D70" s="3" t="s">
        <v>6301</v>
      </c>
      <c r="E70" s="3">
        <v>69</v>
      </c>
      <c r="F70" s="3" t="s">
        <v>2198</v>
      </c>
      <c r="G70" s="3" t="s">
        <v>1093</v>
      </c>
      <c r="H70" s="3" t="str">
        <f t="shared" si="1"/>
        <v>Output BAL-WPN Level from 3rd party Tanks system.</v>
      </c>
    </row>
    <row r="71" spans="1:8" x14ac:dyDescent="0.25">
      <c r="A71" s="3" t="s">
        <v>6983</v>
      </c>
      <c r="B71" s="3" t="s">
        <v>6988</v>
      </c>
      <c r="C71" s="3" t="s">
        <v>6985</v>
      </c>
      <c r="D71" s="3" t="s">
        <v>6301</v>
      </c>
      <c r="E71" s="3">
        <v>70</v>
      </c>
      <c r="F71" s="3" t="s">
        <v>2199</v>
      </c>
      <c r="G71" s="3" t="s">
        <v>1093</v>
      </c>
      <c r="H71" s="3" t="str">
        <f t="shared" si="1"/>
        <v>Output BAL-WPS Level from 3rd party Tanks system.</v>
      </c>
    </row>
    <row r="72" spans="1:8" x14ac:dyDescent="0.25">
      <c r="A72" s="3" t="s">
        <v>6983</v>
      </c>
      <c r="B72" s="3" t="s">
        <v>6988</v>
      </c>
      <c r="C72" s="3" t="s">
        <v>6985</v>
      </c>
      <c r="D72" s="3" t="s">
        <v>6301</v>
      </c>
      <c r="E72" s="3">
        <v>71</v>
      </c>
      <c r="F72" s="3" t="s">
        <v>2200</v>
      </c>
      <c r="G72" s="3" t="s">
        <v>1093</v>
      </c>
      <c r="H72" s="3" t="str">
        <f t="shared" si="1"/>
        <v>Output BAL-SPW Level from 3rd party Tanks system.</v>
      </c>
    </row>
    <row r="73" spans="1:8" x14ac:dyDescent="0.25">
      <c r="A73" s="3" t="s">
        <v>6983</v>
      </c>
      <c r="B73" s="3" t="s">
        <v>6988</v>
      </c>
      <c r="C73" s="3" t="s">
        <v>6985</v>
      </c>
      <c r="D73" s="3" t="s">
        <v>6301</v>
      </c>
      <c r="E73" s="3">
        <v>72</v>
      </c>
      <c r="F73" s="3" t="s">
        <v>2201</v>
      </c>
      <c r="G73" s="3" t="s">
        <v>1093</v>
      </c>
      <c r="H73" s="3" t="str">
        <f t="shared" si="1"/>
        <v>Output BAL-NW0-BN Level from 3rd party Tanks system.</v>
      </c>
    </row>
    <row r="74" spans="1:8" x14ac:dyDescent="0.25">
      <c r="A74" s="3" t="s">
        <v>6983</v>
      </c>
      <c r="B74" s="3" t="s">
        <v>6988</v>
      </c>
      <c r="C74" s="3" t="s">
        <v>6985</v>
      </c>
      <c r="D74" s="3" t="s">
        <v>6301</v>
      </c>
      <c r="E74" s="3">
        <v>73</v>
      </c>
      <c r="F74" s="3" t="s">
        <v>2202</v>
      </c>
      <c r="G74" s="3" t="s">
        <v>1093</v>
      </c>
      <c r="H74" s="3" t="str">
        <f t="shared" si="1"/>
        <v>Output BAL-NW0-BW Level from 3rd party Tanks system.</v>
      </c>
    </row>
    <row r="75" spans="1:8" x14ac:dyDescent="0.25">
      <c r="A75" s="3" t="s">
        <v>6983</v>
      </c>
      <c r="B75" s="3" t="s">
        <v>6988</v>
      </c>
      <c r="C75" s="3" t="s">
        <v>6985</v>
      </c>
      <c r="D75" s="3" t="s">
        <v>6301</v>
      </c>
      <c r="E75" s="3">
        <v>74</v>
      </c>
      <c r="F75" s="3" t="s">
        <v>2203</v>
      </c>
      <c r="G75" s="3" t="s">
        <v>1093</v>
      </c>
      <c r="H75" s="3" t="str">
        <f t="shared" si="1"/>
        <v>Output BAL-SW0-BS Level from 3rd party Tanks system.</v>
      </c>
    </row>
    <row r="76" spans="1:8" x14ac:dyDescent="0.25">
      <c r="A76" s="3" t="s">
        <v>6983</v>
      </c>
      <c r="B76" s="3" t="s">
        <v>6988</v>
      </c>
      <c r="C76" s="3" t="s">
        <v>6985</v>
      </c>
      <c r="D76" s="3" t="s">
        <v>6301</v>
      </c>
      <c r="E76" s="3">
        <v>75</v>
      </c>
      <c r="F76" s="3" t="s">
        <v>2204</v>
      </c>
      <c r="G76" s="3" t="s">
        <v>1093</v>
      </c>
      <c r="H76" s="3" t="str">
        <f t="shared" si="1"/>
        <v>Output BAL-SW0-BW Level from 3rd party Tanks system.</v>
      </c>
    </row>
    <row r="77" spans="1:8" x14ac:dyDescent="0.25">
      <c r="A77" s="3" t="s">
        <v>6983</v>
      </c>
      <c r="B77" s="3" t="s">
        <v>6988</v>
      </c>
      <c r="C77" s="3" t="s">
        <v>6985</v>
      </c>
      <c r="D77" s="3" t="s">
        <v>6301</v>
      </c>
      <c r="E77" s="3">
        <v>76</v>
      </c>
      <c r="F77" s="3" t="s">
        <v>2205</v>
      </c>
      <c r="G77" s="3" t="s">
        <v>1093</v>
      </c>
      <c r="H77" s="3" t="str">
        <f t="shared" si="1"/>
        <v>Output BAL-SW1-BS Level from 3rd party Tanks system.</v>
      </c>
    </row>
    <row r="78" spans="1:8" x14ac:dyDescent="0.25">
      <c r="A78" s="3" t="s">
        <v>6983</v>
      </c>
      <c r="B78" s="3" t="s">
        <v>6988</v>
      </c>
      <c r="C78" s="3" t="s">
        <v>6985</v>
      </c>
      <c r="D78" s="3" t="s">
        <v>6301</v>
      </c>
      <c r="E78" s="3">
        <v>77</v>
      </c>
      <c r="F78" s="3" t="s">
        <v>2206</v>
      </c>
      <c r="G78" s="3" t="s">
        <v>2101</v>
      </c>
      <c r="H78" s="3" t="str">
        <f t="shared" si="1"/>
        <v>Output ABJ-2700 Vol from 3rd party Tanks system.</v>
      </c>
    </row>
    <row r="79" spans="1:8" x14ac:dyDescent="0.25">
      <c r="A79" s="3" t="s">
        <v>6983</v>
      </c>
      <c r="B79" s="3" t="s">
        <v>6988</v>
      </c>
      <c r="C79" s="3" t="s">
        <v>6985</v>
      </c>
      <c r="D79" s="3" t="s">
        <v>6301</v>
      </c>
      <c r="E79" s="3">
        <v>78</v>
      </c>
      <c r="F79" s="3" t="s">
        <v>2207</v>
      </c>
      <c r="G79" s="3" t="s">
        <v>2463</v>
      </c>
      <c r="H79" s="3" t="str">
        <f t="shared" si="1"/>
        <v>Output ABJ-2703 Vol from 3rd party Tanks system.</v>
      </c>
    </row>
    <row r="80" spans="1:8" x14ac:dyDescent="0.25">
      <c r="A80" s="3" t="s">
        <v>6983</v>
      </c>
      <c r="B80" s="3" t="s">
        <v>6988</v>
      </c>
      <c r="C80" s="3" t="s">
        <v>6985</v>
      </c>
      <c r="D80" s="3" t="s">
        <v>6301</v>
      </c>
      <c r="E80" s="3">
        <v>79</v>
      </c>
      <c r="F80" s="3" t="s">
        <v>2208</v>
      </c>
      <c r="G80" s="3" t="s">
        <v>1093</v>
      </c>
      <c r="H80" s="3" t="str">
        <f t="shared" si="1"/>
        <v>Output ABJ-801 Level from 3rd party Tanks system.</v>
      </c>
    </row>
    <row r="81" spans="1:8" x14ac:dyDescent="0.25">
      <c r="A81" s="3" t="s">
        <v>6983</v>
      </c>
      <c r="B81" s="3" t="s">
        <v>6988</v>
      </c>
      <c r="C81" s="3" t="s">
        <v>6985</v>
      </c>
      <c r="D81" s="3" t="s">
        <v>1120</v>
      </c>
      <c r="E81" s="3">
        <v>80</v>
      </c>
      <c r="F81" s="3" t="s">
        <v>1634</v>
      </c>
      <c r="G81" s="3" t="s">
        <v>2104</v>
      </c>
      <c r="H81" s="3" t="str">
        <f>_xlfn.CONCAT("Data QA applied on ",F81, ", computed by BMT WinMon.")</f>
        <v>Data QA applied on Calculation Flag, computed by BMT WinMon.</v>
      </c>
    </row>
    <row r="82" spans="1:8" x14ac:dyDescent="0.25">
      <c r="A82" s="3" t="s">
        <v>6983</v>
      </c>
      <c r="B82" s="3" t="s">
        <v>6988</v>
      </c>
      <c r="C82" s="3" t="s">
        <v>6985</v>
      </c>
      <c r="D82" s="3" t="s">
        <v>1120</v>
      </c>
      <c r="E82" s="3">
        <v>81</v>
      </c>
      <c r="F82" s="3" t="s">
        <v>1635</v>
      </c>
      <c r="G82" s="3" t="s">
        <v>1100</v>
      </c>
      <c r="H82" s="3" t="str">
        <f t="shared" ref="H82:H145" si="2">_xlfn.CONCAT("Data QA applied on ",F82, ", computed by BMT WinMon.")</f>
        <v>Data QA applied on Target Tendon 1, computed by BMT WinMon.</v>
      </c>
    </row>
    <row r="83" spans="1:8" x14ac:dyDescent="0.25">
      <c r="A83" s="3" t="s">
        <v>6983</v>
      </c>
      <c r="B83" s="3" t="s">
        <v>6988</v>
      </c>
      <c r="C83" s="3" t="s">
        <v>6985</v>
      </c>
      <c r="D83" s="3" t="s">
        <v>1120</v>
      </c>
      <c r="E83" s="3">
        <v>82</v>
      </c>
      <c r="F83" s="3" t="s">
        <v>1636</v>
      </c>
      <c r="G83" s="3" t="s">
        <v>1100</v>
      </c>
      <c r="H83" s="3" t="str">
        <f t="shared" si="2"/>
        <v>Data QA applied on Target Tendon 2, computed by BMT WinMon.</v>
      </c>
    </row>
    <row r="84" spans="1:8" x14ac:dyDescent="0.25">
      <c r="A84" s="3" t="s">
        <v>6983</v>
      </c>
      <c r="B84" s="3" t="s">
        <v>6988</v>
      </c>
      <c r="C84" s="3" t="s">
        <v>6985</v>
      </c>
      <c r="D84" s="3" t="s">
        <v>1120</v>
      </c>
      <c r="E84" s="3">
        <v>83</v>
      </c>
      <c r="F84" s="3" t="s">
        <v>1637</v>
      </c>
      <c r="G84" s="3" t="s">
        <v>1100</v>
      </c>
      <c r="H84" s="3" t="str">
        <f t="shared" si="2"/>
        <v>Data QA applied on Target Tendon 3, computed by BMT WinMon.</v>
      </c>
    </row>
    <row r="85" spans="1:8" x14ac:dyDescent="0.25">
      <c r="A85" s="3" t="s">
        <v>6983</v>
      </c>
      <c r="B85" s="3" t="s">
        <v>6988</v>
      </c>
      <c r="C85" s="3" t="s">
        <v>6985</v>
      </c>
      <c r="D85" s="3" t="s">
        <v>1120</v>
      </c>
      <c r="E85" s="3">
        <v>84</v>
      </c>
      <c r="F85" s="3" t="s">
        <v>1638</v>
      </c>
      <c r="G85" s="3" t="s">
        <v>1100</v>
      </c>
      <c r="H85" s="3" t="str">
        <f t="shared" si="2"/>
        <v>Data QA applied on Target Tendon 4, computed by BMT WinMon.</v>
      </c>
    </row>
    <row r="86" spans="1:8" x14ac:dyDescent="0.25">
      <c r="A86" s="3" t="s">
        <v>6983</v>
      </c>
      <c r="B86" s="3" t="s">
        <v>6988</v>
      </c>
      <c r="C86" s="3" t="s">
        <v>6985</v>
      </c>
      <c r="D86" s="3" t="s">
        <v>1120</v>
      </c>
      <c r="E86" s="3">
        <v>85</v>
      </c>
      <c r="F86" s="3" t="s">
        <v>1639</v>
      </c>
      <c r="G86" s="3" t="s">
        <v>1100</v>
      </c>
      <c r="H86" s="3" t="str">
        <f t="shared" si="2"/>
        <v>Data QA applied on Target Tendon 5, computed by BMT WinMon.</v>
      </c>
    </row>
    <row r="87" spans="1:8" x14ac:dyDescent="0.25">
      <c r="A87" s="3" t="s">
        <v>6983</v>
      </c>
      <c r="B87" s="3" t="s">
        <v>6988</v>
      </c>
      <c r="C87" s="3" t="s">
        <v>6985</v>
      </c>
      <c r="D87" s="3" t="s">
        <v>1120</v>
      </c>
      <c r="E87" s="3">
        <v>86</v>
      </c>
      <c r="F87" s="3" t="s">
        <v>1640</v>
      </c>
      <c r="G87" s="3" t="s">
        <v>1100</v>
      </c>
      <c r="H87" s="3" t="str">
        <f t="shared" si="2"/>
        <v>Data QA applied on Target Tendon 6, computed by BMT WinMon.</v>
      </c>
    </row>
    <row r="88" spans="1:8" x14ac:dyDescent="0.25">
      <c r="A88" s="3" t="s">
        <v>6983</v>
      </c>
      <c r="B88" s="3" t="s">
        <v>6988</v>
      </c>
      <c r="C88" s="3" t="s">
        <v>6985</v>
      </c>
      <c r="D88" s="3" t="s">
        <v>1120</v>
      </c>
      <c r="E88" s="3">
        <v>87</v>
      </c>
      <c r="F88" s="3" t="s">
        <v>1641</v>
      </c>
      <c r="G88" s="3" t="s">
        <v>1100</v>
      </c>
      <c r="H88" s="3" t="str">
        <f t="shared" si="2"/>
        <v>Data QA applied on Target Tendon 7, computed by BMT WinMon.</v>
      </c>
    </row>
    <row r="89" spans="1:8" x14ac:dyDescent="0.25">
      <c r="A89" s="3" t="s">
        <v>6983</v>
      </c>
      <c r="B89" s="3" t="s">
        <v>6988</v>
      </c>
      <c r="C89" s="3" t="s">
        <v>6985</v>
      </c>
      <c r="D89" s="3" t="s">
        <v>1120</v>
      </c>
      <c r="E89" s="3">
        <v>88</v>
      </c>
      <c r="F89" s="3" t="s">
        <v>1642</v>
      </c>
      <c r="G89" s="3" t="s">
        <v>1100</v>
      </c>
      <c r="H89" s="3" t="str">
        <f t="shared" si="2"/>
        <v>Data QA applied on Target Tendon 8, computed by BMT WinMon.</v>
      </c>
    </row>
    <row r="90" spans="1:8" x14ac:dyDescent="0.25">
      <c r="A90" s="3" t="s">
        <v>6983</v>
      </c>
      <c r="B90" s="3" t="s">
        <v>6988</v>
      </c>
      <c r="C90" s="3" t="s">
        <v>6985</v>
      </c>
      <c r="D90" s="3" t="s">
        <v>1120</v>
      </c>
      <c r="E90" s="3">
        <v>89</v>
      </c>
      <c r="F90" s="3" t="s">
        <v>1643</v>
      </c>
      <c r="G90" s="3" t="s">
        <v>1100</v>
      </c>
      <c r="H90" s="3" t="str">
        <f t="shared" si="2"/>
        <v>Data QA applied on Target Tendon 9, computed by BMT WinMon.</v>
      </c>
    </row>
    <row r="91" spans="1:8" x14ac:dyDescent="0.25">
      <c r="A91" s="3" t="s">
        <v>6983</v>
      </c>
      <c r="B91" s="3" t="s">
        <v>6988</v>
      </c>
      <c r="C91" s="3" t="s">
        <v>6985</v>
      </c>
      <c r="D91" s="3" t="s">
        <v>1120</v>
      </c>
      <c r="E91" s="3">
        <v>90</v>
      </c>
      <c r="F91" s="3" t="s">
        <v>1644</v>
      </c>
      <c r="G91" s="3" t="s">
        <v>1100</v>
      </c>
      <c r="H91" s="3" t="str">
        <f t="shared" si="2"/>
        <v>Data QA applied on Target Tendon 10, computed by BMT WinMon.</v>
      </c>
    </row>
    <row r="92" spans="1:8" x14ac:dyDescent="0.25">
      <c r="A92" s="3" t="s">
        <v>6983</v>
      </c>
      <c r="B92" s="3" t="s">
        <v>6988</v>
      </c>
      <c r="C92" s="3" t="s">
        <v>6985</v>
      </c>
      <c r="D92" s="3" t="s">
        <v>1120</v>
      </c>
      <c r="E92" s="3">
        <v>91</v>
      </c>
      <c r="F92" s="3" t="s">
        <v>1645</v>
      </c>
      <c r="G92" s="3" t="s">
        <v>1100</v>
      </c>
      <c r="H92" s="3" t="str">
        <f t="shared" si="2"/>
        <v>Data QA applied on Target Tendon 11, computed by BMT WinMon.</v>
      </c>
    </row>
    <row r="93" spans="1:8" x14ac:dyDescent="0.25">
      <c r="A93" s="3" t="s">
        <v>6983</v>
      </c>
      <c r="B93" s="3" t="s">
        <v>6988</v>
      </c>
      <c r="C93" s="3" t="s">
        <v>6985</v>
      </c>
      <c r="D93" s="3" t="s">
        <v>1120</v>
      </c>
      <c r="E93" s="3">
        <v>92</v>
      </c>
      <c r="F93" s="3" t="s">
        <v>1646</v>
      </c>
      <c r="G93" s="3" t="s">
        <v>1100</v>
      </c>
      <c r="H93" s="3" t="str">
        <f t="shared" si="2"/>
        <v>Data QA applied on Target Tendon 12, computed by BMT WinMon.</v>
      </c>
    </row>
    <row r="94" spans="1:8" x14ac:dyDescent="0.25">
      <c r="A94" s="3" t="s">
        <v>6983</v>
      </c>
      <c r="B94" s="3" t="s">
        <v>6988</v>
      </c>
      <c r="C94" s="3" t="s">
        <v>6985</v>
      </c>
      <c r="D94" s="3" t="s">
        <v>1120</v>
      </c>
      <c r="E94" s="3">
        <v>93</v>
      </c>
      <c r="F94" s="3" t="s">
        <v>1647</v>
      </c>
      <c r="G94" s="3" t="s">
        <v>1100</v>
      </c>
      <c r="H94" s="3" t="str">
        <f>_xlfn.CONCAT("Calculated ", _xlfn.TEXTAFTER(F94,"Apparent "), ", from 3rd party Herbert-ABS LMP system.")</f>
        <v>Calculated Tendon 1, from 3rd party Herbert-ABS LMP system.</v>
      </c>
    </row>
    <row r="95" spans="1:8" x14ac:dyDescent="0.25">
      <c r="A95" s="3" t="s">
        <v>6983</v>
      </c>
      <c r="B95" s="3" t="s">
        <v>6988</v>
      </c>
      <c r="C95" s="3" t="s">
        <v>6985</v>
      </c>
      <c r="D95" s="3" t="s">
        <v>1120</v>
      </c>
      <c r="E95" s="3">
        <v>94</v>
      </c>
      <c r="F95" s="3" t="s">
        <v>1648</v>
      </c>
      <c r="G95" s="3" t="s">
        <v>1100</v>
      </c>
      <c r="H95" s="3" t="str">
        <f t="shared" ref="H95:H105" si="3">_xlfn.CONCAT("Calculated ", _xlfn.TEXTAFTER(F95,"Apparent "), ", from 3rd party Herbert-ABS LMP system.")</f>
        <v>Calculated Tendon 2, from 3rd party Herbert-ABS LMP system.</v>
      </c>
    </row>
    <row r="96" spans="1:8" x14ac:dyDescent="0.25">
      <c r="A96" s="3" t="s">
        <v>6983</v>
      </c>
      <c r="B96" s="3" t="s">
        <v>6988</v>
      </c>
      <c r="C96" s="3" t="s">
        <v>6985</v>
      </c>
      <c r="D96" s="3" t="s">
        <v>1120</v>
      </c>
      <c r="E96" s="3">
        <v>95</v>
      </c>
      <c r="F96" s="3" t="s">
        <v>1649</v>
      </c>
      <c r="G96" s="3" t="s">
        <v>1100</v>
      </c>
      <c r="H96" s="3" t="str">
        <f t="shared" si="3"/>
        <v>Calculated Tendon 3, from 3rd party Herbert-ABS LMP system.</v>
      </c>
    </row>
    <row r="97" spans="1:8" x14ac:dyDescent="0.25">
      <c r="A97" s="3" t="s">
        <v>6983</v>
      </c>
      <c r="B97" s="3" t="s">
        <v>6988</v>
      </c>
      <c r="C97" s="3" t="s">
        <v>6985</v>
      </c>
      <c r="D97" s="3" t="s">
        <v>1120</v>
      </c>
      <c r="E97" s="3">
        <v>96</v>
      </c>
      <c r="F97" s="3" t="s">
        <v>1650</v>
      </c>
      <c r="G97" s="3" t="s">
        <v>1100</v>
      </c>
      <c r="H97" s="3" t="str">
        <f t="shared" si="3"/>
        <v>Calculated Tendon 4, from 3rd party Herbert-ABS LMP system.</v>
      </c>
    </row>
    <row r="98" spans="1:8" x14ac:dyDescent="0.25">
      <c r="A98" s="3" t="s">
        <v>6983</v>
      </c>
      <c r="B98" s="3" t="s">
        <v>6988</v>
      </c>
      <c r="C98" s="3" t="s">
        <v>6985</v>
      </c>
      <c r="D98" s="3" t="s">
        <v>1120</v>
      </c>
      <c r="E98" s="3">
        <v>97</v>
      </c>
      <c r="F98" s="3" t="s">
        <v>1651</v>
      </c>
      <c r="G98" s="3" t="s">
        <v>1100</v>
      </c>
      <c r="H98" s="3" t="str">
        <f t="shared" si="3"/>
        <v>Calculated Tendon 5, from 3rd party Herbert-ABS LMP system.</v>
      </c>
    </row>
    <row r="99" spans="1:8" x14ac:dyDescent="0.25">
      <c r="A99" s="3" t="s">
        <v>6983</v>
      </c>
      <c r="B99" s="3" t="s">
        <v>6988</v>
      </c>
      <c r="C99" s="3" t="s">
        <v>6985</v>
      </c>
      <c r="D99" s="3" t="s">
        <v>1120</v>
      </c>
      <c r="E99" s="3">
        <v>98</v>
      </c>
      <c r="F99" s="3" t="s">
        <v>1652</v>
      </c>
      <c r="G99" s="3" t="s">
        <v>1100</v>
      </c>
      <c r="H99" s="3" t="str">
        <f t="shared" si="3"/>
        <v>Calculated Tendon 6, from 3rd party Herbert-ABS LMP system.</v>
      </c>
    </row>
    <row r="100" spans="1:8" x14ac:dyDescent="0.25">
      <c r="A100" s="3" t="s">
        <v>6983</v>
      </c>
      <c r="B100" s="3" t="s">
        <v>6988</v>
      </c>
      <c r="C100" s="3" t="s">
        <v>6985</v>
      </c>
      <c r="D100" s="3" t="s">
        <v>1120</v>
      </c>
      <c r="E100" s="3">
        <v>99</v>
      </c>
      <c r="F100" s="3" t="s">
        <v>1653</v>
      </c>
      <c r="G100" s="3" t="s">
        <v>1100</v>
      </c>
      <c r="H100" s="3" t="str">
        <f t="shared" si="3"/>
        <v>Calculated Tendon 7, from 3rd party Herbert-ABS LMP system.</v>
      </c>
    </row>
    <row r="101" spans="1:8" x14ac:dyDescent="0.25">
      <c r="A101" s="3" t="s">
        <v>6983</v>
      </c>
      <c r="B101" s="3" t="s">
        <v>6988</v>
      </c>
      <c r="C101" s="3" t="s">
        <v>6985</v>
      </c>
      <c r="D101" s="3" t="s">
        <v>1120</v>
      </c>
      <c r="E101" s="3">
        <v>100</v>
      </c>
      <c r="F101" s="3" t="s">
        <v>1654</v>
      </c>
      <c r="G101" s="3" t="s">
        <v>1100</v>
      </c>
      <c r="H101" s="3" t="str">
        <f t="shared" si="3"/>
        <v>Calculated Tendon 8, from 3rd party Herbert-ABS LMP system.</v>
      </c>
    </row>
    <row r="102" spans="1:8" x14ac:dyDescent="0.25">
      <c r="A102" s="3" t="s">
        <v>6983</v>
      </c>
      <c r="B102" s="3" t="s">
        <v>6988</v>
      </c>
      <c r="C102" s="3" t="s">
        <v>6985</v>
      </c>
      <c r="D102" s="3" t="s">
        <v>1120</v>
      </c>
      <c r="E102" s="3">
        <v>101</v>
      </c>
      <c r="F102" s="3" t="s">
        <v>1655</v>
      </c>
      <c r="G102" s="3" t="s">
        <v>1100</v>
      </c>
      <c r="H102" s="3" t="str">
        <f t="shared" si="3"/>
        <v>Calculated Tendon 9, from 3rd party Herbert-ABS LMP system.</v>
      </c>
    </row>
    <row r="103" spans="1:8" x14ac:dyDescent="0.25">
      <c r="A103" s="3" t="s">
        <v>6983</v>
      </c>
      <c r="B103" s="3" t="s">
        <v>6988</v>
      </c>
      <c r="C103" s="3" t="s">
        <v>6985</v>
      </c>
      <c r="D103" s="3" t="s">
        <v>1120</v>
      </c>
      <c r="E103" s="3">
        <v>102</v>
      </c>
      <c r="F103" s="3" t="s">
        <v>1656</v>
      </c>
      <c r="G103" s="3" t="s">
        <v>1100</v>
      </c>
      <c r="H103" s="3" t="str">
        <f t="shared" si="3"/>
        <v>Calculated Tendon 10, from 3rd party Herbert-ABS LMP system.</v>
      </c>
    </row>
    <row r="104" spans="1:8" x14ac:dyDescent="0.25">
      <c r="A104" s="3" t="s">
        <v>6983</v>
      </c>
      <c r="B104" s="3" t="s">
        <v>6988</v>
      </c>
      <c r="C104" s="3" t="s">
        <v>6985</v>
      </c>
      <c r="D104" s="3" t="s">
        <v>1120</v>
      </c>
      <c r="E104" s="3">
        <v>103</v>
      </c>
      <c r="F104" s="3" t="s">
        <v>1657</v>
      </c>
      <c r="G104" s="3" t="s">
        <v>1100</v>
      </c>
      <c r="H104" s="3" t="str">
        <f t="shared" si="3"/>
        <v>Calculated Tendon 11, from 3rd party Herbert-ABS LMP system.</v>
      </c>
    </row>
    <row r="105" spans="1:8" x14ac:dyDescent="0.25">
      <c r="A105" s="3" t="s">
        <v>6983</v>
      </c>
      <c r="B105" s="3" t="s">
        <v>6988</v>
      </c>
      <c r="C105" s="3" t="s">
        <v>6985</v>
      </c>
      <c r="D105" s="3" t="s">
        <v>1120</v>
      </c>
      <c r="E105" s="3">
        <v>104</v>
      </c>
      <c r="F105" s="3" t="s">
        <v>1658</v>
      </c>
      <c r="G105" s="3" t="s">
        <v>1100</v>
      </c>
      <c r="H105" s="3" t="str">
        <f t="shared" si="3"/>
        <v>Calculated Tendon 12, from 3rd party Herbert-ABS LMP system.</v>
      </c>
    </row>
    <row r="106" spans="1:8" x14ac:dyDescent="0.25">
      <c r="A106" s="3" t="s">
        <v>6983</v>
      </c>
      <c r="B106" s="3" t="s">
        <v>6988</v>
      </c>
      <c r="C106" s="3" t="s">
        <v>6985</v>
      </c>
      <c r="D106" s="3" t="s">
        <v>1120</v>
      </c>
      <c r="E106" s="3">
        <v>105</v>
      </c>
      <c r="F106" s="3" t="s">
        <v>2209</v>
      </c>
      <c r="G106" s="3" t="s">
        <v>1100</v>
      </c>
      <c r="H106" s="3" t="str">
        <f t="shared" si="2"/>
        <v>Data QA applied on Phantom Wt Hi, computed by BMT WinMon.</v>
      </c>
    </row>
    <row r="107" spans="1:8" x14ac:dyDescent="0.25">
      <c r="A107" s="3" t="s">
        <v>6983</v>
      </c>
      <c r="B107" s="3" t="s">
        <v>6988</v>
      </c>
      <c r="C107" s="3" t="s">
        <v>6985</v>
      </c>
      <c r="D107" s="3" t="s">
        <v>1120</v>
      </c>
      <c r="E107" s="3">
        <v>106</v>
      </c>
      <c r="F107" s="3" t="s">
        <v>2210</v>
      </c>
      <c r="G107" s="3" t="s">
        <v>1100</v>
      </c>
      <c r="H107" s="3" t="str">
        <f t="shared" si="2"/>
        <v>Data QA applied on Phantom Wt Lo, computed by BMT WinMon.</v>
      </c>
    </row>
    <row r="108" spans="1:8" x14ac:dyDescent="0.25">
      <c r="A108" s="3" t="s">
        <v>6983</v>
      </c>
      <c r="B108" s="3" t="s">
        <v>6988</v>
      </c>
      <c r="C108" s="3" t="s">
        <v>6985</v>
      </c>
      <c r="D108" s="3" t="s">
        <v>1120</v>
      </c>
      <c r="E108" s="3">
        <v>107</v>
      </c>
      <c r="F108" s="3" t="s">
        <v>2211</v>
      </c>
      <c r="G108" s="3" t="s">
        <v>1093</v>
      </c>
      <c r="H108" s="3" t="str">
        <f t="shared" si="2"/>
        <v>Data QA applied on Phantom Wt VCG, computed by BMT WinMon.</v>
      </c>
    </row>
    <row r="109" spans="1:8" x14ac:dyDescent="0.25">
      <c r="A109" s="3" t="s">
        <v>6983</v>
      </c>
      <c r="B109" s="3" t="s">
        <v>6988</v>
      </c>
      <c r="C109" s="3" t="s">
        <v>6985</v>
      </c>
      <c r="D109" s="3" t="s">
        <v>1120</v>
      </c>
      <c r="E109" s="3">
        <v>108</v>
      </c>
      <c r="F109" s="3" t="s">
        <v>2212</v>
      </c>
      <c r="G109" s="3" t="s">
        <v>1093</v>
      </c>
      <c r="H109" s="3" t="str">
        <f t="shared" si="2"/>
        <v>Data QA applied on Phantom Wt CG EW, computed by BMT WinMon.</v>
      </c>
    </row>
    <row r="110" spans="1:8" x14ac:dyDescent="0.25">
      <c r="A110" s="3" t="s">
        <v>6983</v>
      </c>
      <c r="B110" s="3" t="s">
        <v>6988</v>
      </c>
      <c r="C110" s="3" t="s">
        <v>6985</v>
      </c>
      <c r="D110" s="3" t="s">
        <v>1120</v>
      </c>
      <c r="E110" s="3">
        <v>109</v>
      </c>
      <c r="F110" s="3" t="s">
        <v>2213</v>
      </c>
      <c r="G110" s="3" t="s">
        <v>1093</v>
      </c>
      <c r="H110" s="3" t="str">
        <f t="shared" si="2"/>
        <v>Data QA applied on Phantom Wt CG NS, computed by BMT WinMon.</v>
      </c>
    </row>
    <row r="111" spans="1:8" x14ac:dyDescent="0.25">
      <c r="A111" s="3" t="s">
        <v>6983</v>
      </c>
      <c r="B111" s="3" t="s">
        <v>6988</v>
      </c>
      <c r="C111" s="3" t="s">
        <v>6985</v>
      </c>
      <c r="D111" s="3" t="s">
        <v>1120</v>
      </c>
      <c r="E111" s="3">
        <v>110</v>
      </c>
      <c r="F111" s="3" t="s">
        <v>1659</v>
      </c>
      <c r="G111" s="3" t="s">
        <v>1100</v>
      </c>
      <c r="H111" s="3" t="str">
        <f t="shared" si="2"/>
        <v>Data QA applied on Lateral Phantom Force EW, computed by BMT WinMon.</v>
      </c>
    </row>
    <row r="112" spans="1:8" x14ac:dyDescent="0.25">
      <c r="A112" s="3" t="s">
        <v>6983</v>
      </c>
      <c r="B112" s="3" t="s">
        <v>6988</v>
      </c>
      <c r="C112" s="3" t="s">
        <v>6985</v>
      </c>
      <c r="D112" s="3" t="s">
        <v>1120</v>
      </c>
      <c r="E112" s="3">
        <v>111</v>
      </c>
      <c r="F112" s="3" t="s">
        <v>1660</v>
      </c>
      <c r="G112" s="3" t="s">
        <v>1100</v>
      </c>
      <c r="H112" s="3" t="str">
        <f t="shared" si="2"/>
        <v>Data QA applied on Lateral Phantom Force NS, computed by BMT WinMon.</v>
      </c>
    </row>
    <row r="113" spans="1:8" x14ac:dyDescent="0.25">
      <c r="A113" s="3" t="s">
        <v>6983</v>
      </c>
      <c r="B113" s="3" t="s">
        <v>6988</v>
      </c>
      <c r="C113" s="3" t="s">
        <v>6985</v>
      </c>
      <c r="D113" s="3" t="s">
        <v>1120</v>
      </c>
      <c r="E113" s="3">
        <v>112</v>
      </c>
      <c r="F113" s="3" t="s">
        <v>1661</v>
      </c>
      <c r="G113" s="3" t="s">
        <v>1101</v>
      </c>
      <c r="H113" s="3" t="str">
        <f t="shared" si="2"/>
        <v>Data QA applied on LPF Moment EW, computed by BMT WinMon.</v>
      </c>
    </row>
    <row r="114" spans="1:8" x14ac:dyDescent="0.25">
      <c r="A114" s="3" t="s">
        <v>6983</v>
      </c>
      <c r="B114" s="3" t="s">
        <v>6988</v>
      </c>
      <c r="C114" s="3" t="s">
        <v>6985</v>
      </c>
      <c r="D114" s="3" t="s">
        <v>1120</v>
      </c>
      <c r="E114" s="3">
        <v>113</v>
      </c>
      <c r="F114" s="3" t="s">
        <v>1662</v>
      </c>
      <c r="G114" s="3" t="s">
        <v>1101</v>
      </c>
      <c r="H114" s="3" t="str">
        <f t="shared" si="2"/>
        <v>Data QA applied on LPF Moment NS, computed by BMT WinMon.</v>
      </c>
    </row>
    <row r="115" spans="1:8" x14ac:dyDescent="0.25">
      <c r="A115" s="3" t="s">
        <v>6983</v>
      </c>
      <c r="B115" s="3" t="s">
        <v>6988</v>
      </c>
      <c r="C115" s="3" t="s">
        <v>6985</v>
      </c>
      <c r="D115" s="3" t="s">
        <v>1120</v>
      </c>
      <c r="E115" s="3">
        <v>114</v>
      </c>
      <c r="F115" s="3" t="s">
        <v>1663</v>
      </c>
      <c r="G115" s="3" t="s">
        <v>1093</v>
      </c>
      <c r="H115" s="3" t="str">
        <f>_xlfn.CONCAT("Calculated ", _xlfn.TEXTAFTER(F115,"Apparent "), ", from 3rd party Herbert-ABS LMP system.")</f>
        <v>Calculated Draft, from 3rd party Herbert-ABS LMP system.</v>
      </c>
    </row>
    <row r="116" spans="1:8" x14ac:dyDescent="0.25">
      <c r="A116" s="3" t="s">
        <v>6983</v>
      </c>
      <c r="B116" s="3" t="s">
        <v>6988</v>
      </c>
      <c r="C116" s="3" t="s">
        <v>6985</v>
      </c>
      <c r="D116" s="3" t="s">
        <v>1120</v>
      </c>
      <c r="E116" s="3">
        <v>115</v>
      </c>
      <c r="F116" s="3" t="s">
        <v>1664</v>
      </c>
      <c r="G116" s="3" t="s">
        <v>4</v>
      </c>
      <c r="H116" s="3" t="str">
        <f>_xlfn.CONCAT("Calculated ", _xlfn.TEXTAFTER(F116,"Apparent "), ", from 3rd party Herbert-ABS LMP system.")</f>
        <v>Calculated TLP Incli EW, from 3rd party Herbert-ABS LMP system.</v>
      </c>
    </row>
    <row r="117" spans="1:8" x14ac:dyDescent="0.25">
      <c r="A117" s="3" t="s">
        <v>6983</v>
      </c>
      <c r="B117" s="3" t="s">
        <v>6988</v>
      </c>
      <c r="C117" s="3" t="s">
        <v>6985</v>
      </c>
      <c r="D117" s="3" t="s">
        <v>1120</v>
      </c>
      <c r="E117" s="3">
        <v>116</v>
      </c>
      <c r="F117" s="3" t="s">
        <v>1665</v>
      </c>
      <c r="G117" s="3" t="s">
        <v>4</v>
      </c>
      <c r="H117" s="3" t="str">
        <f>_xlfn.CONCAT("Calculated ", _xlfn.TEXTAFTER(F117,"Apparent "), ", from 3rd party Herbert-ABS LMP system.")</f>
        <v>Calculated TLP Incli NS, from 3rd party Herbert-ABS LMP system.</v>
      </c>
    </row>
    <row r="118" spans="1:8" x14ac:dyDescent="0.25">
      <c r="A118" s="3" t="s">
        <v>6983</v>
      </c>
      <c r="B118" s="3" t="s">
        <v>6988</v>
      </c>
      <c r="C118" s="3" t="s">
        <v>6985</v>
      </c>
      <c r="D118" s="3" t="s">
        <v>1120</v>
      </c>
      <c r="E118" s="3">
        <v>117</v>
      </c>
      <c r="F118" s="3" t="s">
        <v>1666</v>
      </c>
      <c r="G118" s="3" t="s">
        <v>1093</v>
      </c>
      <c r="H118" s="3" t="str">
        <f t="shared" si="2"/>
        <v>Data QA applied on Platform KG, computed by BMT WinMon.</v>
      </c>
    </row>
    <row r="119" spans="1:8" x14ac:dyDescent="0.25">
      <c r="A119" s="3" t="s">
        <v>6983</v>
      </c>
      <c r="B119" s="3" t="s">
        <v>6988</v>
      </c>
      <c r="C119" s="3" t="s">
        <v>6985</v>
      </c>
      <c r="D119" s="3" t="s">
        <v>1120</v>
      </c>
      <c r="E119" s="3">
        <v>118</v>
      </c>
      <c r="F119" s="3" t="s">
        <v>1667</v>
      </c>
      <c r="G119" s="3" t="s">
        <v>1093</v>
      </c>
      <c r="H119" s="3" t="str">
        <f t="shared" si="2"/>
        <v>Data QA applied on KG Allow Hurricane, computed by BMT WinMon.</v>
      </c>
    </row>
    <row r="120" spans="1:8" x14ac:dyDescent="0.25">
      <c r="A120" s="3" t="s">
        <v>6983</v>
      </c>
      <c r="B120" s="3" t="s">
        <v>6988</v>
      </c>
      <c r="C120" s="3" t="s">
        <v>6985</v>
      </c>
      <c r="D120" s="3" t="s">
        <v>1120</v>
      </c>
      <c r="E120" s="3">
        <v>119</v>
      </c>
      <c r="F120" s="3" t="s">
        <v>1668</v>
      </c>
      <c r="G120" s="3" t="s">
        <v>1093</v>
      </c>
      <c r="H120" s="3" t="str">
        <f t="shared" si="2"/>
        <v>Data QA applied on KG Allow Winter Storm, computed by BMT WinMon.</v>
      </c>
    </row>
    <row r="121" spans="1:8" x14ac:dyDescent="0.25">
      <c r="A121" s="3" t="s">
        <v>6983</v>
      </c>
      <c r="B121" s="3" t="s">
        <v>6988</v>
      </c>
      <c r="C121" s="3" t="s">
        <v>6985</v>
      </c>
      <c r="D121" s="3" t="s">
        <v>1120</v>
      </c>
      <c r="E121" s="3">
        <v>120</v>
      </c>
      <c r="F121" s="3" t="s">
        <v>1669</v>
      </c>
      <c r="G121" s="3" t="s">
        <v>1093</v>
      </c>
      <c r="H121" s="3" t="str">
        <f t="shared" si="2"/>
        <v>Data QA applied on Rig Location EW, computed by BMT WinMon.</v>
      </c>
    </row>
    <row r="122" spans="1:8" x14ac:dyDescent="0.25">
      <c r="A122" s="3" t="s">
        <v>6983</v>
      </c>
      <c r="B122" s="3" t="s">
        <v>6988</v>
      </c>
      <c r="C122" s="3" t="s">
        <v>6985</v>
      </c>
      <c r="D122" s="3" t="s">
        <v>1120</v>
      </c>
      <c r="E122" s="3">
        <v>121</v>
      </c>
      <c r="F122" s="3" t="s">
        <v>1670</v>
      </c>
      <c r="G122" s="3" t="s">
        <v>1093</v>
      </c>
      <c r="H122" s="3" t="str">
        <f t="shared" si="2"/>
        <v>Data QA applied on Rig Location NS, computed by BMT WinMon.</v>
      </c>
    </row>
    <row r="123" spans="1:8" x14ac:dyDescent="0.25">
      <c r="A123" s="3" t="s">
        <v>6983</v>
      </c>
      <c r="B123" s="3" t="s">
        <v>6988</v>
      </c>
      <c r="C123" s="3" t="s">
        <v>6985</v>
      </c>
      <c r="D123" s="3" t="s">
        <v>1120</v>
      </c>
      <c r="E123" s="3">
        <v>122</v>
      </c>
      <c r="F123" s="3" t="s">
        <v>2214</v>
      </c>
      <c r="G123" s="3" t="s">
        <v>1093</v>
      </c>
      <c r="H123" s="3" t="str">
        <f t="shared" si="2"/>
        <v>Data QA applied on ABJ-2606 Advisor Level, computed by BMT WinMon.</v>
      </c>
    </row>
    <row r="124" spans="1:8" x14ac:dyDescent="0.25">
      <c r="A124" s="3" t="s">
        <v>6983</v>
      </c>
      <c r="B124" s="3" t="s">
        <v>6988</v>
      </c>
      <c r="C124" s="3" t="s">
        <v>6985</v>
      </c>
      <c r="D124" s="3" t="s">
        <v>1120</v>
      </c>
      <c r="E124" s="3">
        <v>123</v>
      </c>
      <c r="F124" s="3" t="s">
        <v>2215</v>
      </c>
      <c r="G124" s="3" t="s">
        <v>1093</v>
      </c>
      <c r="H124" s="3" t="str">
        <f t="shared" si="2"/>
        <v>Data QA applied on ABJ-2607 Advisor Level, computed by BMT WinMon.</v>
      </c>
    </row>
    <row r="125" spans="1:8" x14ac:dyDescent="0.25">
      <c r="A125" s="3" t="s">
        <v>6983</v>
      </c>
      <c r="B125" s="3" t="s">
        <v>6988</v>
      </c>
      <c r="C125" s="3" t="s">
        <v>6985</v>
      </c>
      <c r="D125" s="3" t="s">
        <v>1120</v>
      </c>
      <c r="E125" s="3">
        <v>124</v>
      </c>
      <c r="F125" s="3" t="s">
        <v>2216</v>
      </c>
      <c r="G125" s="3" t="s">
        <v>1093</v>
      </c>
      <c r="H125" s="3" t="str">
        <f t="shared" si="2"/>
        <v>Data QA applied on NPE-B Advisor Level, computed by BMT WinMon.</v>
      </c>
    </row>
    <row r="126" spans="1:8" x14ac:dyDescent="0.25">
      <c r="A126" s="3" t="s">
        <v>6983</v>
      </c>
      <c r="B126" s="3" t="s">
        <v>6988</v>
      </c>
      <c r="C126" s="3" t="s">
        <v>6985</v>
      </c>
      <c r="D126" s="3" t="s">
        <v>1120</v>
      </c>
      <c r="E126" s="3">
        <v>125</v>
      </c>
      <c r="F126" s="3" t="s">
        <v>2217</v>
      </c>
      <c r="G126" s="3" t="s">
        <v>1093</v>
      </c>
      <c r="H126" s="3" t="str">
        <f t="shared" si="2"/>
        <v>Data QA applied on EPN-B Advisor Level, computed by BMT WinMon.</v>
      </c>
    </row>
    <row r="127" spans="1:8" x14ac:dyDescent="0.25">
      <c r="A127" s="3" t="s">
        <v>6983</v>
      </c>
      <c r="B127" s="3" t="s">
        <v>6988</v>
      </c>
      <c r="C127" s="3" t="s">
        <v>6985</v>
      </c>
      <c r="D127" s="3" t="s">
        <v>1120</v>
      </c>
      <c r="E127" s="3">
        <v>126</v>
      </c>
      <c r="F127" s="3" t="s">
        <v>2218</v>
      </c>
      <c r="G127" s="3" t="s">
        <v>1093</v>
      </c>
      <c r="H127" s="3" t="str">
        <f t="shared" si="2"/>
        <v>Data QA applied on EPS-B Advisor Level, computed by BMT WinMon.</v>
      </c>
    </row>
    <row r="128" spans="1:8" x14ac:dyDescent="0.25">
      <c r="A128" s="3" t="s">
        <v>6983</v>
      </c>
      <c r="B128" s="3" t="s">
        <v>6988</v>
      </c>
      <c r="C128" s="3" t="s">
        <v>6985</v>
      </c>
      <c r="D128" s="3" t="s">
        <v>1120</v>
      </c>
      <c r="E128" s="3">
        <v>127</v>
      </c>
      <c r="F128" s="3" t="s">
        <v>2219</v>
      </c>
      <c r="G128" s="3" t="s">
        <v>1093</v>
      </c>
      <c r="H128" s="3" t="str">
        <f t="shared" si="2"/>
        <v>Data QA applied on SPE-B Advisor Level, computed by BMT WinMon.</v>
      </c>
    </row>
    <row r="129" spans="1:8" x14ac:dyDescent="0.25">
      <c r="A129" s="3" t="s">
        <v>6983</v>
      </c>
      <c r="B129" s="3" t="s">
        <v>6988</v>
      </c>
      <c r="C129" s="3" t="s">
        <v>6985</v>
      </c>
      <c r="D129" s="3" t="s">
        <v>1120</v>
      </c>
      <c r="E129" s="3">
        <v>128</v>
      </c>
      <c r="F129" s="3" t="s">
        <v>2220</v>
      </c>
      <c r="G129" s="3" t="s">
        <v>1093</v>
      </c>
      <c r="H129" s="3" t="str">
        <f t="shared" si="2"/>
        <v>Data QA applied on NE0-BN Advisor Level, computed by BMT WinMon.</v>
      </c>
    </row>
    <row r="130" spans="1:8" x14ac:dyDescent="0.25">
      <c r="A130" s="3" t="s">
        <v>6983</v>
      </c>
      <c r="B130" s="3" t="s">
        <v>6988</v>
      </c>
      <c r="C130" s="3" t="s">
        <v>6985</v>
      </c>
      <c r="D130" s="3" t="s">
        <v>1120</v>
      </c>
      <c r="E130" s="3">
        <v>129</v>
      </c>
      <c r="F130" s="3" t="s">
        <v>2221</v>
      </c>
      <c r="G130" s="3" t="s">
        <v>1093</v>
      </c>
      <c r="H130" s="3" t="str">
        <f t="shared" si="2"/>
        <v>Data QA applied on NE0-BE Advisor Level, computed by BMT WinMon.</v>
      </c>
    </row>
    <row r="131" spans="1:8" x14ac:dyDescent="0.25">
      <c r="A131" s="3" t="s">
        <v>6983</v>
      </c>
      <c r="B131" s="3" t="s">
        <v>6988</v>
      </c>
      <c r="C131" s="3" t="s">
        <v>6985</v>
      </c>
      <c r="D131" s="3" t="s">
        <v>1120</v>
      </c>
      <c r="E131" s="3">
        <v>130</v>
      </c>
      <c r="F131" s="3" t="s">
        <v>2222</v>
      </c>
      <c r="G131" s="3" t="s">
        <v>1093</v>
      </c>
      <c r="H131" s="3" t="str">
        <f t="shared" si="2"/>
        <v>Data QA applied on SE0-BE Advisor Level, computed by BMT WinMon.</v>
      </c>
    </row>
    <row r="132" spans="1:8" x14ac:dyDescent="0.25">
      <c r="A132" s="3" t="s">
        <v>6983</v>
      </c>
      <c r="B132" s="3" t="s">
        <v>6988</v>
      </c>
      <c r="C132" s="3" t="s">
        <v>6985</v>
      </c>
      <c r="D132" s="3" t="s">
        <v>1120</v>
      </c>
      <c r="E132" s="3">
        <v>131</v>
      </c>
      <c r="F132" s="3" t="s">
        <v>2223</v>
      </c>
      <c r="G132" s="3" t="s">
        <v>1093</v>
      </c>
      <c r="H132" s="3" t="str">
        <f t="shared" si="2"/>
        <v>Data QA applied on SE0-BS Advisor Level, computed by BMT WinMon.</v>
      </c>
    </row>
    <row r="133" spans="1:8" x14ac:dyDescent="0.25">
      <c r="A133" s="3" t="s">
        <v>6983</v>
      </c>
      <c r="B133" s="3" t="s">
        <v>6988</v>
      </c>
      <c r="C133" s="3" t="s">
        <v>6985</v>
      </c>
      <c r="D133" s="3" t="s">
        <v>1120</v>
      </c>
      <c r="E133" s="3">
        <v>132</v>
      </c>
      <c r="F133" s="3" t="s">
        <v>2224</v>
      </c>
      <c r="G133" s="3" t="s">
        <v>1093</v>
      </c>
      <c r="H133" s="3" t="str">
        <f t="shared" si="2"/>
        <v>Data QA applied on SE1-BS Advisor Level, computed by BMT WinMon.</v>
      </c>
    </row>
    <row r="134" spans="1:8" x14ac:dyDescent="0.25">
      <c r="A134" s="3" t="s">
        <v>6983</v>
      </c>
      <c r="B134" s="3" t="s">
        <v>6988</v>
      </c>
      <c r="C134" s="3" t="s">
        <v>6985</v>
      </c>
      <c r="D134" s="3" t="s">
        <v>1120</v>
      </c>
      <c r="E134" s="3">
        <v>133</v>
      </c>
      <c r="F134" s="3" t="s">
        <v>2225</v>
      </c>
      <c r="G134" s="3" t="s">
        <v>1093</v>
      </c>
      <c r="H134" s="3" t="str">
        <f t="shared" si="2"/>
        <v>Data QA applied on ABJ-2700 Advisor Level, computed by BMT WinMon.</v>
      </c>
    </row>
    <row r="135" spans="1:8" x14ac:dyDescent="0.25">
      <c r="A135" s="3" t="s">
        <v>6983</v>
      </c>
      <c r="B135" s="3" t="s">
        <v>6988</v>
      </c>
      <c r="C135" s="3" t="s">
        <v>6985</v>
      </c>
      <c r="D135" s="3" t="s">
        <v>1120</v>
      </c>
      <c r="E135" s="3">
        <v>134</v>
      </c>
      <c r="F135" s="3" t="s">
        <v>2226</v>
      </c>
      <c r="G135" s="3" t="s">
        <v>1093</v>
      </c>
      <c r="H135" s="3" t="str">
        <f t="shared" si="2"/>
        <v>Data QA applied on ABJ-2703 Advisor Level, computed by BMT WinMon.</v>
      </c>
    </row>
    <row r="136" spans="1:8" x14ac:dyDescent="0.25">
      <c r="A136" s="3" t="s">
        <v>6983</v>
      </c>
      <c r="B136" s="3" t="s">
        <v>6988</v>
      </c>
      <c r="C136" s="3" t="s">
        <v>6985</v>
      </c>
      <c r="D136" s="3" t="s">
        <v>1120</v>
      </c>
      <c r="E136" s="3">
        <v>135</v>
      </c>
      <c r="F136" s="3" t="s">
        <v>2227</v>
      </c>
      <c r="G136" s="3" t="s">
        <v>1093</v>
      </c>
      <c r="H136" s="3" t="str">
        <f t="shared" si="2"/>
        <v>Data QA applied on NPW-B Advisor Level, computed by BMT WinMon.</v>
      </c>
    </row>
    <row r="137" spans="1:8" x14ac:dyDescent="0.25">
      <c r="A137" s="3" t="s">
        <v>6983</v>
      </c>
      <c r="B137" s="3" t="s">
        <v>6988</v>
      </c>
      <c r="C137" s="3" t="s">
        <v>6985</v>
      </c>
      <c r="D137" s="3" t="s">
        <v>1120</v>
      </c>
      <c r="E137" s="3">
        <v>136</v>
      </c>
      <c r="F137" s="3" t="s">
        <v>2228</v>
      </c>
      <c r="G137" s="3" t="s">
        <v>1093</v>
      </c>
      <c r="H137" s="3" t="str">
        <f t="shared" si="2"/>
        <v>Data QA applied on WPN-B Advisor Level, computed by BMT WinMon.</v>
      </c>
    </row>
    <row r="138" spans="1:8" x14ac:dyDescent="0.25">
      <c r="A138" s="3" t="s">
        <v>6983</v>
      </c>
      <c r="B138" s="3" t="s">
        <v>6988</v>
      </c>
      <c r="C138" s="3" t="s">
        <v>6985</v>
      </c>
      <c r="D138" s="3" t="s">
        <v>1120</v>
      </c>
      <c r="E138" s="3">
        <v>137</v>
      </c>
      <c r="F138" s="3" t="s">
        <v>2229</v>
      </c>
      <c r="G138" s="3" t="s">
        <v>1093</v>
      </c>
      <c r="H138" s="3" t="str">
        <f t="shared" si="2"/>
        <v>Data QA applied on WPS-B Advisor Level, computed by BMT WinMon.</v>
      </c>
    </row>
    <row r="139" spans="1:8" x14ac:dyDescent="0.25">
      <c r="A139" s="3" t="s">
        <v>6983</v>
      </c>
      <c r="B139" s="3" t="s">
        <v>6988</v>
      </c>
      <c r="C139" s="3" t="s">
        <v>6985</v>
      </c>
      <c r="D139" s="3" t="s">
        <v>1120</v>
      </c>
      <c r="E139" s="3">
        <v>138</v>
      </c>
      <c r="F139" s="3" t="s">
        <v>2230</v>
      </c>
      <c r="G139" s="3" t="s">
        <v>1093</v>
      </c>
      <c r="H139" s="3" t="str">
        <f t="shared" si="2"/>
        <v>Data QA applied on SPW-B Advisor Level, computed by BMT WinMon.</v>
      </c>
    </row>
    <row r="140" spans="1:8" x14ac:dyDescent="0.25">
      <c r="A140" s="3" t="s">
        <v>6983</v>
      </c>
      <c r="B140" s="3" t="s">
        <v>6988</v>
      </c>
      <c r="C140" s="3" t="s">
        <v>6985</v>
      </c>
      <c r="D140" s="3" t="s">
        <v>1120</v>
      </c>
      <c r="E140" s="3">
        <v>139</v>
      </c>
      <c r="F140" s="3" t="s">
        <v>2231</v>
      </c>
      <c r="G140" s="3" t="s">
        <v>1093</v>
      </c>
      <c r="H140" s="3" t="str">
        <f t="shared" si="2"/>
        <v>Data QA applied on NW0-BN Advisor Level, computed by BMT WinMon.</v>
      </c>
    </row>
    <row r="141" spans="1:8" x14ac:dyDescent="0.25">
      <c r="A141" s="3" t="s">
        <v>6983</v>
      </c>
      <c r="B141" s="3" t="s">
        <v>6988</v>
      </c>
      <c r="C141" s="3" t="s">
        <v>6985</v>
      </c>
      <c r="D141" s="3" t="s">
        <v>1120</v>
      </c>
      <c r="E141" s="3">
        <v>140</v>
      </c>
      <c r="F141" s="3" t="s">
        <v>2232</v>
      </c>
      <c r="G141" s="3" t="s">
        <v>1093</v>
      </c>
      <c r="H141" s="3" t="str">
        <f t="shared" si="2"/>
        <v>Data QA applied on NW0-BW Advisor Level, computed by BMT WinMon.</v>
      </c>
    </row>
    <row r="142" spans="1:8" x14ac:dyDescent="0.25">
      <c r="A142" s="3" t="s">
        <v>6983</v>
      </c>
      <c r="B142" s="3" t="s">
        <v>6988</v>
      </c>
      <c r="C142" s="3" t="s">
        <v>6985</v>
      </c>
      <c r="D142" s="3" t="s">
        <v>1120</v>
      </c>
      <c r="E142" s="3">
        <v>141</v>
      </c>
      <c r="F142" s="3" t="s">
        <v>2233</v>
      </c>
      <c r="G142" s="3" t="s">
        <v>1093</v>
      </c>
      <c r="H142" s="3" t="str">
        <f t="shared" si="2"/>
        <v>Data QA applied on SW0-BS Advisor Level, computed by BMT WinMon.</v>
      </c>
    </row>
    <row r="143" spans="1:8" x14ac:dyDescent="0.25">
      <c r="A143" s="3" t="s">
        <v>6983</v>
      </c>
      <c r="B143" s="3" t="s">
        <v>6988</v>
      </c>
      <c r="C143" s="3" t="s">
        <v>6985</v>
      </c>
      <c r="D143" s="3" t="s">
        <v>1120</v>
      </c>
      <c r="E143" s="3">
        <v>142</v>
      </c>
      <c r="F143" s="3" t="s">
        <v>2234</v>
      </c>
      <c r="G143" s="3" t="s">
        <v>1093</v>
      </c>
      <c r="H143" s="3" t="str">
        <f t="shared" si="2"/>
        <v>Data QA applied on SW0-BW Advisor Level, computed by BMT WinMon.</v>
      </c>
    </row>
    <row r="144" spans="1:8" x14ac:dyDescent="0.25">
      <c r="A144" s="3" t="s">
        <v>6983</v>
      </c>
      <c r="B144" s="3" t="s">
        <v>6988</v>
      </c>
      <c r="C144" s="3" t="s">
        <v>6985</v>
      </c>
      <c r="D144" s="3" t="s">
        <v>1120</v>
      </c>
      <c r="E144" s="3">
        <v>143</v>
      </c>
      <c r="F144" s="3" t="s">
        <v>2235</v>
      </c>
      <c r="G144" s="3" t="s">
        <v>1093</v>
      </c>
      <c r="H144" s="3" t="str">
        <f t="shared" si="2"/>
        <v>Data QA applied on SW1-BS Advisor Level, computed by BMT WinMon.</v>
      </c>
    </row>
    <row r="145" spans="1:8" x14ac:dyDescent="0.25">
      <c r="A145" s="3" t="s">
        <v>6983</v>
      </c>
      <c r="B145" s="3" t="s">
        <v>6988</v>
      </c>
      <c r="C145" s="3" t="s">
        <v>6985</v>
      </c>
      <c r="D145" s="3" t="s">
        <v>1120</v>
      </c>
      <c r="E145" s="3">
        <v>144</v>
      </c>
      <c r="F145" s="3" t="s">
        <v>1701</v>
      </c>
      <c r="G145" s="3" t="s">
        <v>16</v>
      </c>
      <c r="H145" s="3" t="str">
        <f t="shared" si="2"/>
        <v>Data QA applied on Rig Location Index, computed by BMT WinMon.</v>
      </c>
    </row>
    <row r="146" spans="1:8" x14ac:dyDescent="0.25">
      <c r="A146" s="3" t="s">
        <v>6983</v>
      </c>
      <c r="B146" s="3" t="s">
        <v>6988</v>
      </c>
      <c r="C146" s="3" t="s">
        <v>6985</v>
      </c>
      <c r="D146" s="3" t="s">
        <v>1120</v>
      </c>
      <c r="E146" s="3">
        <v>145</v>
      </c>
      <c r="F146" s="3" t="s">
        <v>2236</v>
      </c>
      <c r="G146" s="3" t="s">
        <v>1093</v>
      </c>
      <c r="H146" s="3" t="str">
        <f t="shared" ref="H146:H209" si="4">_xlfn.CONCAT("Data QA applied on ",F146, ", computed by BMT WinMon.")</f>
        <v>Data QA applied on Calculated Draft, computed by BMT WinMon.</v>
      </c>
    </row>
    <row r="147" spans="1:8" x14ac:dyDescent="0.25">
      <c r="A147" s="3" t="s">
        <v>6983</v>
      </c>
      <c r="B147" s="3" t="s">
        <v>6988</v>
      </c>
      <c r="C147" s="3" t="s">
        <v>6985</v>
      </c>
      <c r="D147" s="3" t="s">
        <v>1120</v>
      </c>
      <c r="E147" s="3">
        <v>146</v>
      </c>
      <c r="F147" s="3" t="s">
        <v>1633</v>
      </c>
      <c r="G147" s="3" t="s">
        <v>16</v>
      </c>
      <c r="H147" s="3" t="s">
        <v>6961</v>
      </c>
    </row>
    <row r="148" spans="1:8" x14ac:dyDescent="0.25">
      <c r="A148" s="3" t="s">
        <v>6983</v>
      </c>
      <c r="B148" s="3" t="s">
        <v>6988</v>
      </c>
      <c r="C148" s="3" t="s">
        <v>6985</v>
      </c>
      <c r="D148" s="3" t="s">
        <v>1120</v>
      </c>
      <c r="E148" s="3">
        <v>147</v>
      </c>
      <c r="F148" s="3" t="s">
        <v>2237</v>
      </c>
      <c r="G148" s="3" t="s">
        <v>1093</v>
      </c>
      <c r="H148" s="3" t="str">
        <f t="shared" si="4"/>
        <v>Data QA applied on KG Corrected EW, computed by BMT WinMon.</v>
      </c>
    </row>
    <row r="149" spans="1:8" x14ac:dyDescent="0.25">
      <c r="A149" s="3" t="s">
        <v>6983</v>
      </c>
      <c r="B149" s="3" t="s">
        <v>6988</v>
      </c>
      <c r="C149" s="3" t="s">
        <v>6985</v>
      </c>
      <c r="D149" s="3" t="s">
        <v>1120</v>
      </c>
      <c r="E149" s="3">
        <v>148</v>
      </c>
      <c r="F149" s="3" t="s">
        <v>2238</v>
      </c>
      <c r="G149" s="3" t="s">
        <v>1093</v>
      </c>
      <c r="H149" s="3" t="str">
        <f t="shared" si="4"/>
        <v>Data QA applied on KG Corrected NS, computed by BMT WinMon.</v>
      </c>
    </row>
    <row r="150" spans="1:8" x14ac:dyDescent="0.25">
      <c r="A150" s="3" t="s">
        <v>6983</v>
      </c>
      <c r="B150" s="3" t="s">
        <v>6988</v>
      </c>
      <c r="C150" s="3" t="s">
        <v>6985</v>
      </c>
      <c r="D150" s="3" t="s">
        <v>1120</v>
      </c>
      <c r="E150" s="3">
        <v>149</v>
      </c>
      <c r="F150" s="3" t="s">
        <v>2239</v>
      </c>
      <c r="G150" s="3" t="s">
        <v>1093</v>
      </c>
      <c r="H150" s="3" t="str">
        <f t="shared" si="4"/>
        <v>Data QA applied on GM Corrected EW, computed by BMT WinMon.</v>
      </c>
    </row>
    <row r="151" spans="1:8" x14ac:dyDescent="0.25">
      <c r="A151" s="3" t="s">
        <v>6983</v>
      </c>
      <c r="B151" s="3" t="s">
        <v>6988</v>
      </c>
      <c r="C151" s="3" t="s">
        <v>6985</v>
      </c>
      <c r="D151" s="3" t="s">
        <v>1120</v>
      </c>
      <c r="E151" s="3">
        <v>150</v>
      </c>
      <c r="F151" s="3" t="s">
        <v>2240</v>
      </c>
      <c r="G151" s="3" t="s">
        <v>1093</v>
      </c>
      <c r="H151" s="3" t="str">
        <f t="shared" si="4"/>
        <v>Data QA applied on GM Corrected NS, computed by BMT WinMon.</v>
      </c>
    </row>
    <row r="152" spans="1:8" x14ac:dyDescent="0.25">
      <c r="A152" s="3" t="s">
        <v>6983</v>
      </c>
      <c r="B152" s="3" t="s">
        <v>6988</v>
      </c>
      <c r="C152" s="3" t="s">
        <v>6985</v>
      </c>
      <c r="D152" s="3" t="s">
        <v>1120</v>
      </c>
      <c r="E152" s="3">
        <v>151</v>
      </c>
      <c r="F152" s="3" t="s">
        <v>2241</v>
      </c>
      <c r="G152" s="3" t="s">
        <v>1100</v>
      </c>
      <c r="H152" s="3" t="str">
        <f t="shared" si="4"/>
        <v>Data QA applied on Lightship Wt Hi, computed by BMT WinMon.</v>
      </c>
    </row>
    <row r="153" spans="1:8" x14ac:dyDescent="0.25">
      <c r="A153" s="3" t="s">
        <v>6983</v>
      </c>
      <c r="B153" s="3" t="s">
        <v>6988</v>
      </c>
      <c r="C153" s="3" t="s">
        <v>6985</v>
      </c>
      <c r="D153" s="3" t="s">
        <v>1120</v>
      </c>
      <c r="E153" s="3">
        <v>152</v>
      </c>
      <c r="F153" s="3" t="s">
        <v>2242</v>
      </c>
      <c r="G153" s="3" t="s">
        <v>1100</v>
      </c>
      <c r="H153" s="3" t="str">
        <f t="shared" si="4"/>
        <v>Data QA applied on Lightship Wt Lo, computed by BMT WinMon.</v>
      </c>
    </row>
    <row r="154" spans="1:8" x14ac:dyDescent="0.25">
      <c r="A154" s="3" t="s">
        <v>6983</v>
      </c>
      <c r="B154" s="3" t="s">
        <v>6988</v>
      </c>
      <c r="C154" s="3" t="s">
        <v>6985</v>
      </c>
      <c r="D154" s="3" t="s">
        <v>1120</v>
      </c>
      <c r="E154" s="3">
        <v>153</v>
      </c>
      <c r="F154" s="3" t="s">
        <v>2243</v>
      </c>
      <c r="G154" s="3" t="s">
        <v>1100</v>
      </c>
      <c r="H154" s="3" t="str">
        <f t="shared" si="4"/>
        <v>Data QA applied on Lightship Change Wt Hi, computed by BMT WinMon.</v>
      </c>
    </row>
    <row r="155" spans="1:8" x14ac:dyDescent="0.25">
      <c r="A155" s="3" t="s">
        <v>6983</v>
      </c>
      <c r="B155" s="3" t="s">
        <v>6988</v>
      </c>
      <c r="C155" s="3" t="s">
        <v>6985</v>
      </c>
      <c r="D155" s="3" t="s">
        <v>1120</v>
      </c>
      <c r="E155" s="3">
        <v>154</v>
      </c>
      <c r="F155" s="3" t="s">
        <v>2244</v>
      </c>
      <c r="G155" s="3" t="s">
        <v>1100</v>
      </c>
      <c r="H155" s="3" t="str">
        <f t="shared" si="4"/>
        <v>Data QA applied on Lightship Change Wt Lo, computed by BMT WinMon.</v>
      </c>
    </row>
    <row r="156" spans="1:8" x14ac:dyDescent="0.25">
      <c r="A156" s="3" t="s">
        <v>6983</v>
      </c>
      <c r="B156" s="3" t="s">
        <v>6988</v>
      </c>
      <c r="C156" s="3" t="s">
        <v>6985</v>
      </c>
      <c r="D156" s="3" t="s">
        <v>1120</v>
      </c>
      <c r="E156" s="3">
        <v>155</v>
      </c>
      <c r="F156" s="3" t="s">
        <v>2245</v>
      </c>
      <c r="G156" s="3" t="s">
        <v>1093</v>
      </c>
      <c r="H156" s="3" t="str">
        <f t="shared" si="4"/>
        <v>Data QA applied on Lightship Change VCG, computed by BMT WinMon.</v>
      </c>
    </row>
    <row r="157" spans="1:8" x14ac:dyDescent="0.25">
      <c r="A157" s="3" t="s">
        <v>6983</v>
      </c>
      <c r="B157" s="3" t="s">
        <v>6988</v>
      </c>
      <c r="C157" s="3" t="s">
        <v>6985</v>
      </c>
      <c r="D157" s="3" t="s">
        <v>1120</v>
      </c>
      <c r="E157" s="3">
        <v>156</v>
      </c>
      <c r="F157" s="3" t="s">
        <v>2246</v>
      </c>
      <c r="G157" s="3" t="s">
        <v>1093</v>
      </c>
      <c r="H157" s="3" t="str">
        <f t="shared" si="4"/>
        <v>Data QA applied on Lightship Change CG EW, computed by BMT WinMon.</v>
      </c>
    </row>
    <row r="158" spans="1:8" x14ac:dyDescent="0.25">
      <c r="A158" s="3" t="s">
        <v>6983</v>
      </c>
      <c r="B158" s="3" t="s">
        <v>6988</v>
      </c>
      <c r="C158" s="3" t="s">
        <v>6985</v>
      </c>
      <c r="D158" s="3" t="s">
        <v>1120</v>
      </c>
      <c r="E158" s="3">
        <v>157</v>
      </c>
      <c r="F158" s="3" t="s">
        <v>2247</v>
      </c>
      <c r="G158" s="3" t="s">
        <v>1093</v>
      </c>
      <c r="H158" s="3" t="str">
        <f t="shared" si="4"/>
        <v>Data QA applied on Lightship Change CG NS, computed by BMT WinMon.</v>
      </c>
    </row>
    <row r="159" spans="1:8" x14ac:dyDescent="0.25">
      <c r="A159" s="3" t="s">
        <v>6983</v>
      </c>
      <c r="B159" s="3" t="s">
        <v>6988</v>
      </c>
      <c r="C159" s="3" t="s">
        <v>6985</v>
      </c>
      <c r="D159" s="3" t="s">
        <v>1120</v>
      </c>
      <c r="E159" s="3">
        <v>158</v>
      </c>
      <c r="F159" s="3" t="s">
        <v>2248</v>
      </c>
      <c r="G159" s="3" t="s">
        <v>1101</v>
      </c>
      <c r="H159" s="3" t="str">
        <f t="shared" si="4"/>
        <v>Data QA applied on Lightship Change Mt Vert, computed by BMT WinMon.</v>
      </c>
    </row>
    <row r="160" spans="1:8" x14ac:dyDescent="0.25">
      <c r="A160" s="3" t="s">
        <v>6983</v>
      </c>
      <c r="B160" s="3" t="s">
        <v>6988</v>
      </c>
      <c r="C160" s="3" t="s">
        <v>6985</v>
      </c>
      <c r="D160" s="3" t="s">
        <v>1120</v>
      </c>
      <c r="E160" s="3">
        <v>159</v>
      </c>
      <c r="F160" s="3" t="s">
        <v>2249</v>
      </c>
      <c r="G160" s="3" t="s">
        <v>1101</v>
      </c>
      <c r="H160" s="3" t="str">
        <f t="shared" si="4"/>
        <v>Data QA applied on Lightship Change Mt EW, computed by BMT WinMon.</v>
      </c>
    </row>
    <row r="161" spans="1:8" x14ac:dyDescent="0.25">
      <c r="A161" s="3" t="s">
        <v>6983</v>
      </c>
      <c r="B161" s="3" t="s">
        <v>6988</v>
      </c>
      <c r="C161" s="3" t="s">
        <v>6985</v>
      </c>
      <c r="D161" s="3" t="s">
        <v>1120</v>
      </c>
      <c r="E161" s="3">
        <v>160</v>
      </c>
      <c r="F161" s="3" t="s">
        <v>2250</v>
      </c>
      <c r="G161" s="3" t="s">
        <v>1101</v>
      </c>
      <c r="H161" s="3" t="str">
        <f t="shared" si="4"/>
        <v>Data QA applied on Lightship Change Mt NS, computed by BMT WinMon.</v>
      </c>
    </row>
    <row r="162" spans="1:8" x14ac:dyDescent="0.25">
      <c r="A162" s="3" t="s">
        <v>6983</v>
      </c>
      <c r="B162" s="3" t="s">
        <v>6988</v>
      </c>
      <c r="C162" s="3" t="s">
        <v>6985</v>
      </c>
      <c r="D162" s="3" t="s">
        <v>1120</v>
      </c>
      <c r="E162" s="3">
        <v>161</v>
      </c>
      <c r="F162" s="3" t="s">
        <v>2251</v>
      </c>
      <c r="G162" s="3" t="s">
        <v>1100</v>
      </c>
      <c r="H162" s="3" t="str">
        <f t="shared" si="4"/>
        <v>Data QA applied on Ballast Wt Hi, computed by BMT WinMon.</v>
      </c>
    </row>
    <row r="163" spans="1:8" x14ac:dyDescent="0.25">
      <c r="A163" s="3" t="s">
        <v>6983</v>
      </c>
      <c r="B163" s="3" t="s">
        <v>6988</v>
      </c>
      <c r="C163" s="3" t="s">
        <v>6985</v>
      </c>
      <c r="D163" s="3" t="s">
        <v>1120</v>
      </c>
      <c r="E163" s="3">
        <v>162</v>
      </c>
      <c r="F163" s="3" t="s">
        <v>2252</v>
      </c>
      <c r="G163" s="3" t="s">
        <v>1100</v>
      </c>
      <c r="H163" s="3" t="str">
        <f t="shared" si="4"/>
        <v>Data QA applied on Ballast Wt Lo, computed by BMT WinMon.</v>
      </c>
    </row>
    <row r="164" spans="1:8" x14ac:dyDescent="0.25">
      <c r="A164" s="3" t="s">
        <v>6983</v>
      </c>
      <c r="B164" s="3" t="s">
        <v>6988</v>
      </c>
      <c r="C164" s="3" t="s">
        <v>6985</v>
      </c>
      <c r="D164" s="3" t="s">
        <v>1120</v>
      </c>
      <c r="E164" s="3">
        <v>163</v>
      </c>
      <c r="F164" s="3" t="s">
        <v>2253</v>
      </c>
      <c r="G164" s="3" t="s">
        <v>1093</v>
      </c>
      <c r="H164" s="3" t="str">
        <f t="shared" si="4"/>
        <v>Data QA applied on Ballast VCG, computed by BMT WinMon.</v>
      </c>
    </row>
    <row r="165" spans="1:8" x14ac:dyDescent="0.25">
      <c r="A165" s="3" t="s">
        <v>6983</v>
      </c>
      <c r="B165" s="3" t="s">
        <v>6988</v>
      </c>
      <c r="C165" s="3" t="s">
        <v>6985</v>
      </c>
      <c r="D165" s="3" t="s">
        <v>1120</v>
      </c>
      <c r="E165" s="3">
        <v>164</v>
      </c>
      <c r="F165" s="3" t="s">
        <v>2254</v>
      </c>
      <c r="G165" s="3" t="s">
        <v>1093</v>
      </c>
      <c r="H165" s="3" t="str">
        <f t="shared" si="4"/>
        <v>Data QA applied on Ballast CG EW, computed by BMT WinMon.</v>
      </c>
    </row>
    <row r="166" spans="1:8" x14ac:dyDescent="0.25">
      <c r="A166" s="3" t="s">
        <v>6983</v>
      </c>
      <c r="B166" s="3" t="s">
        <v>6988</v>
      </c>
      <c r="C166" s="3" t="s">
        <v>6985</v>
      </c>
      <c r="D166" s="3" t="s">
        <v>1120</v>
      </c>
      <c r="E166" s="3">
        <v>165</v>
      </c>
      <c r="F166" s="3" t="s">
        <v>2255</v>
      </c>
      <c r="G166" s="3" t="s">
        <v>1093</v>
      </c>
      <c r="H166" s="3" t="str">
        <f t="shared" si="4"/>
        <v>Data QA applied on Ballast CG NS, computed by BMT WinMon.</v>
      </c>
    </row>
    <row r="167" spans="1:8" x14ac:dyDescent="0.25">
      <c r="A167" s="3" t="s">
        <v>6983</v>
      </c>
      <c r="B167" s="3" t="s">
        <v>6988</v>
      </c>
      <c r="C167" s="3" t="s">
        <v>6985</v>
      </c>
      <c r="D167" s="3" t="s">
        <v>1120</v>
      </c>
      <c r="E167" s="3">
        <v>166</v>
      </c>
      <c r="F167" s="3" t="s">
        <v>2256</v>
      </c>
      <c r="G167" s="3" t="s">
        <v>1101</v>
      </c>
      <c r="H167" s="3" t="str">
        <f t="shared" si="4"/>
        <v>Data QA applied on Ballast Ttl Moment Vert, computed by BMT WinMon.</v>
      </c>
    </row>
    <row r="168" spans="1:8" x14ac:dyDescent="0.25">
      <c r="A168" s="3" t="s">
        <v>6983</v>
      </c>
      <c r="B168" s="3" t="s">
        <v>6988</v>
      </c>
      <c r="C168" s="3" t="s">
        <v>6985</v>
      </c>
      <c r="D168" s="3" t="s">
        <v>1120</v>
      </c>
      <c r="E168" s="3">
        <v>167</v>
      </c>
      <c r="F168" s="3" t="s">
        <v>2257</v>
      </c>
      <c r="G168" s="3" t="s">
        <v>1101</v>
      </c>
      <c r="H168" s="3" t="str">
        <f t="shared" si="4"/>
        <v>Data QA applied on Ballast Moment EW, computed by BMT WinMon.</v>
      </c>
    </row>
    <row r="169" spans="1:8" x14ac:dyDescent="0.25">
      <c r="A169" s="3" t="s">
        <v>6983</v>
      </c>
      <c r="B169" s="3" t="s">
        <v>6988</v>
      </c>
      <c r="C169" s="3" t="s">
        <v>6985</v>
      </c>
      <c r="D169" s="3" t="s">
        <v>1120</v>
      </c>
      <c r="E169" s="3">
        <v>168</v>
      </c>
      <c r="F169" s="3" t="s">
        <v>2258</v>
      </c>
      <c r="G169" s="3" t="s">
        <v>1101</v>
      </c>
      <c r="H169" s="3" t="str">
        <f t="shared" si="4"/>
        <v>Data QA applied on Ballast Moment NS, computed by BMT WinMon.</v>
      </c>
    </row>
    <row r="170" spans="1:8" x14ac:dyDescent="0.25">
      <c r="A170" s="3" t="s">
        <v>6983</v>
      </c>
      <c r="B170" s="3" t="s">
        <v>6988</v>
      </c>
      <c r="C170" s="3" t="s">
        <v>6985</v>
      </c>
      <c r="D170" s="3" t="s">
        <v>1120</v>
      </c>
      <c r="E170" s="3">
        <v>169</v>
      </c>
      <c r="F170" s="3" t="s">
        <v>2259</v>
      </c>
      <c r="G170" s="3" t="s">
        <v>1101</v>
      </c>
      <c r="H170" s="3" t="str">
        <f t="shared" si="4"/>
        <v>Data QA applied on Ballast FS Moment EW, computed by BMT WinMon.</v>
      </c>
    </row>
    <row r="171" spans="1:8" x14ac:dyDescent="0.25">
      <c r="A171" s="3" t="s">
        <v>6983</v>
      </c>
      <c r="B171" s="3" t="s">
        <v>6988</v>
      </c>
      <c r="C171" s="3" t="s">
        <v>6985</v>
      </c>
      <c r="D171" s="3" t="s">
        <v>1120</v>
      </c>
      <c r="E171" s="3">
        <v>170</v>
      </c>
      <c r="F171" s="3" t="s">
        <v>2260</v>
      </c>
      <c r="G171" s="3" t="s">
        <v>1101</v>
      </c>
      <c r="H171" s="3" t="str">
        <f t="shared" si="4"/>
        <v>Data QA applied on Ballast FS Moment NS, computed by BMT WinMon.</v>
      </c>
    </row>
    <row r="172" spans="1:8" x14ac:dyDescent="0.25">
      <c r="A172" s="3" t="s">
        <v>6983</v>
      </c>
      <c r="B172" s="3" t="s">
        <v>6988</v>
      </c>
      <c r="C172" s="3" t="s">
        <v>6985</v>
      </c>
      <c r="D172" s="3" t="s">
        <v>1120</v>
      </c>
      <c r="E172" s="3">
        <v>171</v>
      </c>
      <c r="F172" s="3" t="s">
        <v>2261</v>
      </c>
      <c r="G172" s="3" t="s">
        <v>1100</v>
      </c>
      <c r="H172" s="3" t="str">
        <f t="shared" si="4"/>
        <v>Data QA applied on Void Wt Hi, computed by BMT WinMon.</v>
      </c>
    </row>
    <row r="173" spans="1:8" x14ac:dyDescent="0.25">
      <c r="A173" s="3" t="s">
        <v>6983</v>
      </c>
      <c r="B173" s="3" t="s">
        <v>6988</v>
      </c>
      <c r="C173" s="3" t="s">
        <v>6985</v>
      </c>
      <c r="D173" s="3" t="s">
        <v>1120</v>
      </c>
      <c r="E173" s="3">
        <v>172</v>
      </c>
      <c r="F173" s="3" t="s">
        <v>2262</v>
      </c>
      <c r="G173" s="3" t="s">
        <v>1100</v>
      </c>
      <c r="H173" s="3" t="str">
        <f t="shared" si="4"/>
        <v>Data QA applied on Void Wt Lo, computed by BMT WinMon.</v>
      </c>
    </row>
    <row r="174" spans="1:8" x14ac:dyDescent="0.25">
      <c r="A174" s="3" t="s">
        <v>6983</v>
      </c>
      <c r="B174" s="3" t="s">
        <v>6988</v>
      </c>
      <c r="C174" s="3" t="s">
        <v>6985</v>
      </c>
      <c r="D174" s="3" t="s">
        <v>1120</v>
      </c>
      <c r="E174" s="3">
        <v>173</v>
      </c>
      <c r="F174" s="3" t="s">
        <v>2263</v>
      </c>
      <c r="G174" s="3" t="s">
        <v>1093</v>
      </c>
      <c r="H174" s="3" t="str">
        <f t="shared" si="4"/>
        <v>Data QA applied on Void VCG, computed by BMT WinMon.</v>
      </c>
    </row>
    <row r="175" spans="1:8" x14ac:dyDescent="0.25">
      <c r="A175" s="3" t="s">
        <v>6983</v>
      </c>
      <c r="B175" s="3" t="s">
        <v>6988</v>
      </c>
      <c r="C175" s="3" t="s">
        <v>6985</v>
      </c>
      <c r="D175" s="3" t="s">
        <v>1120</v>
      </c>
      <c r="E175" s="3">
        <v>174</v>
      </c>
      <c r="F175" s="3" t="s">
        <v>2264</v>
      </c>
      <c r="G175" s="3" t="s">
        <v>1093</v>
      </c>
      <c r="H175" s="3" t="str">
        <f t="shared" si="4"/>
        <v>Data QA applied on Void CG EW, computed by BMT WinMon.</v>
      </c>
    </row>
    <row r="176" spans="1:8" x14ac:dyDescent="0.25">
      <c r="A176" s="3" t="s">
        <v>6983</v>
      </c>
      <c r="B176" s="3" t="s">
        <v>6988</v>
      </c>
      <c r="C176" s="3" t="s">
        <v>6985</v>
      </c>
      <c r="D176" s="3" t="s">
        <v>1120</v>
      </c>
      <c r="E176" s="3">
        <v>175</v>
      </c>
      <c r="F176" s="3" t="s">
        <v>2265</v>
      </c>
      <c r="G176" s="3" t="s">
        <v>1093</v>
      </c>
      <c r="H176" s="3" t="str">
        <f t="shared" si="4"/>
        <v>Data QA applied on Void CG NS, computed by BMT WinMon.</v>
      </c>
    </row>
    <row r="177" spans="1:8" x14ac:dyDescent="0.25">
      <c r="A177" s="3" t="s">
        <v>6983</v>
      </c>
      <c r="B177" s="3" t="s">
        <v>6988</v>
      </c>
      <c r="C177" s="3" t="s">
        <v>6985</v>
      </c>
      <c r="D177" s="3" t="s">
        <v>1120</v>
      </c>
      <c r="E177" s="3">
        <v>176</v>
      </c>
      <c r="F177" s="3" t="s">
        <v>2266</v>
      </c>
      <c r="G177" s="3" t="s">
        <v>1101</v>
      </c>
      <c r="H177" s="3" t="str">
        <f t="shared" si="4"/>
        <v>Data QA applied on Void Ttl Moment Vert, computed by BMT WinMon.</v>
      </c>
    </row>
    <row r="178" spans="1:8" x14ac:dyDescent="0.25">
      <c r="A178" s="3" t="s">
        <v>6983</v>
      </c>
      <c r="B178" s="3" t="s">
        <v>6988</v>
      </c>
      <c r="C178" s="3" t="s">
        <v>6985</v>
      </c>
      <c r="D178" s="3" t="s">
        <v>1120</v>
      </c>
      <c r="E178" s="3">
        <v>177</v>
      </c>
      <c r="F178" s="3" t="s">
        <v>2267</v>
      </c>
      <c r="G178" s="3" t="s">
        <v>1101</v>
      </c>
      <c r="H178" s="3" t="str">
        <f t="shared" si="4"/>
        <v>Data QA applied on Void Moment EW, computed by BMT WinMon.</v>
      </c>
    </row>
    <row r="179" spans="1:8" x14ac:dyDescent="0.25">
      <c r="A179" s="3" t="s">
        <v>6983</v>
      </c>
      <c r="B179" s="3" t="s">
        <v>6988</v>
      </c>
      <c r="C179" s="3" t="s">
        <v>6985</v>
      </c>
      <c r="D179" s="3" t="s">
        <v>1120</v>
      </c>
      <c r="E179" s="3">
        <v>178</v>
      </c>
      <c r="F179" s="3" t="s">
        <v>2268</v>
      </c>
      <c r="G179" s="3" t="s">
        <v>1101</v>
      </c>
      <c r="H179" s="3" t="str">
        <f t="shared" si="4"/>
        <v>Data QA applied on Void Moment NS, computed by BMT WinMon.</v>
      </c>
    </row>
    <row r="180" spans="1:8" x14ac:dyDescent="0.25">
      <c r="A180" s="3" t="s">
        <v>6983</v>
      </c>
      <c r="B180" s="3" t="s">
        <v>6988</v>
      </c>
      <c r="C180" s="3" t="s">
        <v>6985</v>
      </c>
      <c r="D180" s="3" t="s">
        <v>1120</v>
      </c>
      <c r="E180" s="3">
        <v>179</v>
      </c>
      <c r="F180" s="3" t="s">
        <v>2269</v>
      </c>
      <c r="G180" s="3" t="s">
        <v>1101</v>
      </c>
      <c r="H180" s="3" t="str">
        <f t="shared" si="4"/>
        <v>Data QA applied on Void FS Moment EW, computed by BMT WinMon.</v>
      </c>
    </row>
    <row r="181" spans="1:8" x14ac:dyDescent="0.25">
      <c r="A181" s="3" t="s">
        <v>6983</v>
      </c>
      <c r="B181" s="3" t="s">
        <v>6988</v>
      </c>
      <c r="C181" s="3" t="s">
        <v>6985</v>
      </c>
      <c r="D181" s="3" t="s">
        <v>1120</v>
      </c>
      <c r="E181" s="3">
        <v>180</v>
      </c>
      <c r="F181" s="3" t="s">
        <v>2270</v>
      </c>
      <c r="G181" s="3" t="s">
        <v>1101</v>
      </c>
      <c r="H181" s="3" t="str">
        <f t="shared" si="4"/>
        <v>Data QA applied on Void FS Moment NS, computed by BMT WinMon.</v>
      </c>
    </row>
    <row r="182" spans="1:8" x14ac:dyDescent="0.25">
      <c r="A182" s="3" t="s">
        <v>6983</v>
      </c>
      <c r="B182" s="3" t="s">
        <v>6988</v>
      </c>
      <c r="C182" s="3" t="s">
        <v>6985</v>
      </c>
      <c r="D182" s="3" t="s">
        <v>1120</v>
      </c>
      <c r="E182" s="3">
        <v>181</v>
      </c>
      <c r="F182" s="3" t="s">
        <v>2271</v>
      </c>
      <c r="G182" s="3" t="s">
        <v>1100</v>
      </c>
      <c r="H182" s="3" t="str">
        <f t="shared" si="4"/>
        <v>Data QA applied on Cons Liquids Wt Hi, computed by BMT WinMon.</v>
      </c>
    </row>
    <row r="183" spans="1:8" x14ac:dyDescent="0.25">
      <c r="A183" s="3" t="s">
        <v>6983</v>
      </c>
      <c r="B183" s="3" t="s">
        <v>6988</v>
      </c>
      <c r="C183" s="3" t="s">
        <v>6985</v>
      </c>
      <c r="D183" s="3" t="s">
        <v>1120</v>
      </c>
      <c r="E183" s="3">
        <v>182</v>
      </c>
      <c r="F183" s="3" t="s">
        <v>2272</v>
      </c>
      <c r="G183" s="3" t="s">
        <v>1100</v>
      </c>
      <c r="H183" s="3" t="str">
        <f t="shared" si="4"/>
        <v>Data QA applied on Cons Liquids Wt Lo, computed by BMT WinMon.</v>
      </c>
    </row>
    <row r="184" spans="1:8" x14ac:dyDescent="0.25">
      <c r="A184" s="3" t="s">
        <v>6983</v>
      </c>
      <c r="B184" s="3" t="s">
        <v>6988</v>
      </c>
      <c r="C184" s="3" t="s">
        <v>6985</v>
      </c>
      <c r="D184" s="3" t="s">
        <v>1120</v>
      </c>
      <c r="E184" s="3">
        <v>183</v>
      </c>
      <c r="F184" s="3" t="s">
        <v>2273</v>
      </c>
      <c r="G184" s="3" t="s">
        <v>1093</v>
      </c>
      <c r="H184" s="3" t="str">
        <f t="shared" si="4"/>
        <v>Data QA applied on Cons Liquids VCG, computed by BMT WinMon.</v>
      </c>
    </row>
    <row r="185" spans="1:8" x14ac:dyDescent="0.25">
      <c r="A185" s="3" t="s">
        <v>6983</v>
      </c>
      <c r="B185" s="3" t="s">
        <v>6988</v>
      </c>
      <c r="C185" s="3" t="s">
        <v>6985</v>
      </c>
      <c r="D185" s="3" t="s">
        <v>1120</v>
      </c>
      <c r="E185" s="3">
        <v>184</v>
      </c>
      <c r="F185" s="3" t="s">
        <v>2274</v>
      </c>
      <c r="G185" s="3" t="s">
        <v>1093</v>
      </c>
      <c r="H185" s="3" t="str">
        <f t="shared" si="4"/>
        <v>Data QA applied on Cons Liquids CG EW, computed by BMT WinMon.</v>
      </c>
    </row>
    <row r="186" spans="1:8" x14ac:dyDescent="0.25">
      <c r="A186" s="3" t="s">
        <v>6983</v>
      </c>
      <c r="B186" s="3" t="s">
        <v>6988</v>
      </c>
      <c r="C186" s="3" t="s">
        <v>6985</v>
      </c>
      <c r="D186" s="3" t="s">
        <v>1120</v>
      </c>
      <c r="E186" s="3">
        <v>185</v>
      </c>
      <c r="F186" s="3" t="s">
        <v>2275</v>
      </c>
      <c r="G186" s="3" t="s">
        <v>1093</v>
      </c>
      <c r="H186" s="3" t="str">
        <f t="shared" si="4"/>
        <v>Data QA applied on Cons Liquids CG NS, computed by BMT WinMon.</v>
      </c>
    </row>
    <row r="187" spans="1:8" x14ac:dyDescent="0.25">
      <c r="A187" s="3" t="s">
        <v>6983</v>
      </c>
      <c r="B187" s="3" t="s">
        <v>6988</v>
      </c>
      <c r="C187" s="3" t="s">
        <v>6985</v>
      </c>
      <c r="D187" s="3" t="s">
        <v>1120</v>
      </c>
      <c r="E187" s="3">
        <v>186</v>
      </c>
      <c r="F187" s="3" t="s">
        <v>2276</v>
      </c>
      <c r="G187" s="3" t="s">
        <v>1101</v>
      </c>
      <c r="H187" s="3" t="str">
        <f t="shared" si="4"/>
        <v>Data QA applied on Cons Liquids Ttl Mt Vert, computed by BMT WinMon.</v>
      </c>
    </row>
    <row r="188" spans="1:8" x14ac:dyDescent="0.25">
      <c r="A188" s="3" t="s">
        <v>6983</v>
      </c>
      <c r="B188" s="3" t="s">
        <v>6988</v>
      </c>
      <c r="C188" s="3" t="s">
        <v>6985</v>
      </c>
      <c r="D188" s="3" t="s">
        <v>1120</v>
      </c>
      <c r="E188" s="3">
        <v>187</v>
      </c>
      <c r="F188" s="3" t="s">
        <v>2277</v>
      </c>
      <c r="G188" s="3" t="s">
        <v>1101</v>
      </c>
      <c r="H188" s="3" t="str">
        <f t="shared" si="4"/>
        <v>Data QA applied on Cons Liquids Mt EW, computed by BMT WinMon.</v>
      </c>
    </row>
    <row r="189" spans="1:8" x14ac:dyDescent="0.25">
      <c r="A189" s="3" t="s">
        <v>6983</v>
      </c>
      <c r="B189" s="3" t="s">
        <v>6988</v>
      </c>
      <c r="C189" s="3" t="s">
        <v>6985</v>
      </c>
      <c r="D189" s="3" t="s">
        <v>1120</v>
      </c>
      <c r="E189" s="3">
        <v>188</v>
      </c>
      <c r="F189" s="3" t="s">
        <v>2278</v>
      </c>
      <c r="G189" s="3" t="s">
        <v>1101</v>
      </c>
      <c r="H189" s="3" t="str">
        <f t="shared" si="4"/>
        <v>Data QA applied on Cons Liquids Mt NS, computed by BMT WinMon.</v>
      </c>
    </row>
    <row r="190" spans="1:8" x14ac:dyDescent="0.25">
      <c r="A190" s="3" t="s">
        <v>6983</v>
      </c>
      <c r="B190" s="3" t="s">
        <v>6988</v>
      </c>
      <c r="C190" s="3" t="s">
        <v>6985</v>
      </c>
      <c r="D190" s="3" t="s">
        <v>1120</v>
      </c>
      <c r="E190" s="3">
        <v>189</v>
      </c>
      <c r="F190" s="3" t="s">
        <v>2279</v>
      </c>
      <c r="G190" s="3" t="s">
        <v>1101</v>
      </c>
      <c r="H190" s="3" t="str">
        <f t="shared" si="4"/>
        <v>Data QA applied on Cons Liquids FS Mt EW, computed by BMT WinMon.</v>
      </c>
    </row>
    <row r="191" spans="1:8" x14ac:dyDescent="0.25">
      <c r="A191" s="3" t="s">
        <v>6983</v>
      </c>
      <c r="B191" s="3" t="s">
        <v>6988</v>
      </c>
      <c r="C191" s="3" t="s">
        <v>6985</v>
      </c>
      <c r="D191" s="3" t="s">
        <v>1120</v>
      </c>
      <c r="E191" s="3">
        <v>190</v>
      </c>
      <c r="F191" s="3" t="s">
        <v>2280</v>
      </c>
      <c r="G191" s="3" t="s">
        <v>1101</v>
      </c>
      <c r="H191" s="3" t="str">
        <f t="shared" si="4"/>
        <v>Data QA applied on Cons Liquids FS Mt NS, computed by BMT WinMon.</v>
      </c>
    </row>
    <row r="192" spans="1:8" x14ac:dyDescent="0.25">
      <c r="A192" s="3" t="s">
        <v>6983</v>
      </c>
      <c r="B192" s="3" t="s">
        <v>6988</v>
      </c>
      <c r="C192" s="3" t="s">
        <v>6985</v>
      </c>
      <c r="D192" s="3" t="s">
        <v>1120</v>
      </c>
      <c r="E192" s="3">
        <v>191</v>
      </c>
      <c r="F192" s="3" t="s">
        <v>2281</v>
      </c>
      <c r="G192" s="3" t="s">
        <v>1100</v>
      </c>
      <c r="H192" s="3" t="str">
        <f t="shared" si="4"/>
        <v>Data QA applied on Drill Cons Wt Hi, computed by BMT WinMon.</v>
      </c>
    </row>
    <row r="193" spans="1:8" x14ac:dyDescent="0.25">
      <c r="A193" s="3" t="s">
        <v>6983</v>
      </c>
      <c r="B193" s="3" t="s">
        <v>6988</v>
      </c>
      <c r="C193" s="3" t="s">
        <v>6985</v>
      </c>
      <c r="D193" s="3" t="s">
        <v>1120</v>
      </c>
      <c r="E193" s="3">
        <v>192</v>
      </c>
      <c r="F193" s="3" t="s">
        <v>2282</v>
      </c>
      <c r="G193" s="3" t="s">
        <v>1100</v>
      </c>
      <c r="H193" s="3" t="str">
        <f t="shared" si="4"/>
        <v>Data QA applied on Drill Cons Wt Lo, computed by BMT WinMon.</v>
      </c>
    </row>
    <row r="194" spans="1:8" x14ac:dyDescent="0.25">
      <c r="A194" s="3" t="s">
        <v>6983</v>
      </c>
      <c r="B194" s="3" t="s">
        <v>6988</v>
      </c>
      <c r="C194" s="3" t="s">
        <v>6985</v>
      </c>
      <c r="D194" s="3" t="s">
        <v>1120</v>
      </c>
      <c r="E194" s="3">
        <v>193</v>
      </c>
      <c r="F194" s="3" t="s">
        <v>2283</v>
      </c>
      <c r="G194" s="3" t="s">
        <v>1093</v>
      </c>
      <c r="H194" s="3" t="str">
        <f t="shared" si="4"/>
        <v>Data QA applied on Drill Cons VCG, computed by BMT WinMon.</v>
      </c>
    </row>
    <row r="195" spans="1:8" x14ac:dyDescent="0.25">
      <c r="A195" s="3" t="s">
        <v>6983</v>
      </c>
      <c r="B195" s="3" t="s">
        <v>6988</v>
      </c>
      <c r="C195" s="3" t="s">
        <v>6985</v>
      </c>
      <c r="D195" s="3" t="s">
        <v>1120</v>
      </c>
      <c r="E195" s="3">
        <v>194</v>
      </c>
      <c r="F195" s="3" t="s">
        <v>2284</v>
      </c>
      <c r="G195" s="3" t="s">
        <v>1093</v>
      </c>
      <c r="H195" s="3" t="str">
        <f t="shared" si="4"/>
        <v>Data QA applied on Drill Cons CG EW, computed by BMT WinMon.</v>
      </c>
    </row>
    <row r="196" spans="1:8" x14ac:dyDescent="0.25">
      <c r="A196" s="3" t="s">
        <v>6983</v>
      </c>
      <c r="B196" s="3" t="s">
        <v>6988</v>
      </c>
      <c r="C196" s="3" t="s">
        <v>6985</v>
      </c>
      <c r="D196" s="3" t="s">
        <v>1120</v>
      </c>
      <c r="E196" s="3">
        <v>195</v>
      </c>
      <c r="F196" s="3" t="s">
        <v>2285</v>
      </c>
      <c r="G196" s="3" t="s">
        <v>1093</v>
      </c>
      <c r="H196" s="3" t="str">
        <f t="shared" si="4"/>
        <v>Data QA applied on Drill Cons CG NS, computed by BMT WinMon.</v>
      </c>
    </row>
    <row r="197" spans="1:8" x14ac:dyDescent="0.25">
      <c r="A197" s="3" t="s">
        <v>6983</v>
      </c>
      <c r="B197" s="3" t="s">
        <v>6988</v>
      </c>
      <c r="C197" s="3" t="s">
        <v>6985</v>
      </c>
      <c r="D197" s="3" t="s">
        <v>1120</v>
      </c>
      <c r="E197" s="3">
        <v>196</v>
      </c>
      <c r="F197" s="3" t="s">
        <v>2286</v>
      </c>
      <c r="G197" s="3" t="s">
        <v>1101</v>
      </c>
      <c r="H197" s="3" t="str">
        <f t="shared" si="4"/>
        <v>Data QA applied on Drill Cons Ttl Mt Vert, computed by BMT WinMon.</v>
      </c>
    </row>
    <row r="198" spans="1:8" x14ac:dyDescent="0.25">
      <c r="A198" s="3" t="s">
        <v>6983</v>
      </c>
      <c r="B198" s="3" t="s">
        <v>6988</v>
      </c>
      <c r="C198" s="3" t="s">
        <v>6985</v>
      </c>
      <c r="D198" s="3" t="s">
        <v>1120</v>
      </c>
      <c r="E198" s="3">
        <v>197</v>
      </c>
      <c r="F198" s="3" t="s">
        <v>2287</v>
      </c>
      <c r="G198" s="3" t="s">
        <v>1101</v>
      </c>
      <c r="H198" s="3" t="str">
        <f t="shared" si="4"/>
        <v>Data QA applied on Drill Cons Moment EW, computed by BMT WinMon.</v>
      </c>
    </row>
    <row r="199" spans="1:8" x14ac:dyDescent="0.25">
      <c r="A199" s="3" t="s">
        <v>6983</v>
      </c>
      <c r="B199" s="3" t="s">
        <v>6988</v>
      </c>
      <c r="C199" s="3" t="s">
        <v>6985</v>
      </c>
      <c r="D199" s="3" t="s">
        <v>1120</v>
      </c>
      <c r="E199" s="3">
        <v>198</v>
      </c>
      <c r="F199" s="3" t="s">
        <v>2288</v>
      </c>
      <c r="G199" s="3" t="s">
        <v>1101</v>
      </c>
      <c r="H199" s="3" t="str">
        <f t="shared" si="4"/>
        <v>Data QA applied on Drill Cons Moment NS, computed by BMT WinMon.</v>
      </c>
    </row>
    <row r="200" spans="1:8" x14ac:dyDescent="0.25">
      <c r="A200" s="3" t="s">
        <v>6983</v>
      </c>
      <c r="B200" s="3" t="s">
        <v>6988</v>
      </c>
      <c r="C200" s="3" t="s">
        <v>6985</v>
      </c>
      <c r="D200" s="3" t="s">
        <v>1120</v>
      </c>
      <c r="E200" s="3">
        <v>199</v>
      </c>
      <c r="F200" s="3" t="s">
        <v>2289</v>
      </c>
      <c r="G200" s="3" t="s">
        <v>1101</v>
      </c>
      <c r="H200" s="3" t="str">
        <f t="shared" si="4"/>
        <v>Data QA applied on Drill Cons FS EW, computed by BMT WinMon.</v>
      </c>
    </row>
    <row r="201" spans="1:8" x14ac:dyDescent="0.25">
      <c r="A201" s="3" t="s">
        <v>6983</v>
      </c>
      <c r="B201" s="3" t="s">
        <v>6988</v>
      </c>
      <c r="C201" s="3" t="s">
        <v>6985</v>
      </c>
      <c r="D201" s="3" t="s">
        <v>1120</v>
      </c>
      <c r="E201" s="3">
        <v>200</v>
      </c>
      <c r="F201" s="3" t="s">
        <v>2290</v>
      </c>
      <c r="G201" s="3" t="s">
        <v>1101</v>
      </c>
      <c r="H201" s="3" t="str">
        <f t="shared" si="4"/>
        <v>Data QA applied on Drill Cons FS NS, computed by BMT WinMon.</v>
      </c>
    </row>
    <row r="202" spans="1:8" x14ac:dyDescent="0.25">
      <c r="A202" s="3" t="s">
        <v>6983</v>
      </c>
      <c r="B202" s="3" t="s">
        <v>6988</v>
      </c>
      <c r="C202" s="3" t="s">
        <v>6985</v>
      </c>
      <c r="D202" s="3" t="s">
        <v>1120</v>
      </c>
      <c r="E202" s="3">
        <v>201</v>
      </c>
      <c r="F202" s="3" t="s">
        <v>2291</v>
      </c>
      <c r="G202" s="3" t="s">
        <v>1100</v>
      </c>
      <c r="H202" s="3" t="str">
        <f t="shared" si="4"/>
        <v>Data QA applied on Cement Wt Hi, computed by BMT WinMon.</v>
      </c>
    </row>
    <row r="203" spans="1:8" x14ac:dyDescent="0.25">
      <c r="A203" s="3" t="s">
        <v>6983</v>
      </c>
      <c r="B203" s="3" t="s">
        <v>6988</v>
      </c>
      <c r="C203" s="3" t="s">
        <v>6985</v>
      </c>
      <c r="D203" s="3" t="s">
        <v>1120</v>
      </c>
      <c r="E203" s="3">
        <v>202</v>
      </c>
      <c r="F203" s="3" t="s">
        <v>2292</v>
      </c>
      <c r="G203" s="3" t="s">
        <v>1100</v>
      </c>
      <c r="H203" s="3" t="str">
        <f t="shared" si="4"/>
        <v>Data QA applied on Cement Wt Lo, computed by BMT WinMon.</v>
      </c>
    </row>
    <row r="204" spans="1:8" x14ac:dyDescent="0.25">
      <c r="A204" s="3" t="s">
        <v>6983</v>
      </c>
      <c r="B204" s="3" t="s">
        <v>6988</v>
      </c>
      <c r="C204" s="3" t="s">
        <v>6985</v>
      </c>
      <c r="D204" s="3" t="s">
        <v>1120</v>
      </c>
      <c r="E204" s="3">
        <v>203</v>
      </c>
      <c r="F204" s="3" t="s">
        <v>2293</v>
      </c>
      <c r="G204" s="3" t="s">
        <v>1093</v>
      </c>
      <c r="H204" s="3" t="str">
        <f t="shared" si="4"/>
        <v>Data QA applied on Cement VCG, computed by BMT WinMon.</v>
      </c>
    </row>
    <row r="205" spans="1:8" x14ac:dyDescent="0.25">
      <c r="A205" s="3" t="s">
        <v>6983</v>
      </c>
      <c r="B205" s="3" t="s">
        <v>6988</v>
      </c>
      <c r="C205" s="3" t="s">
        <v>6985</v>
      </c>
      <c r="D205" s="3" t="s">
        <v>1120</v>
      </c>
      <c r="E205" s="3">
        <v>204</v>
      </c>
      <c r="F205" s="3" t="s">
        <v>2294</v>
      </c>
      <c r="G205" s="3" t="s">
        <v>1093</v>
      </c>
      <c r="H205" s="3" t="str">
        <f t="shared" si="4"/>
        <v>Data QA applied on Cement CG EW, computed by BMT WinMon.</v>
      </c>
    </row>
    <row r="206" spans="1:8" x14ac:dyDescent="0.25">
      <c r="A206" s="3" t="s">
        <v>6983</v>
      </c>
      <c r="B206" s="3" t="s">
        <v>6988</v>
      </c>
      <c r="C206" s="3" t="s">
        <v>6985</v>
      </c>
      <c r="D206" s="3" t="s">
        <v>1120</v>
      </c>
      <c r="E206" s="3">
        <v>205</v>
      </c>
      <c r="F206" s="3" t="s">
        <v>2295</v>
      </c>
      <c r="G206" s="3" t="s">
        <v>1093</v>
      </c>
      <c r="H206" s="3" t="str">
        <f t="shared" si="4"/>
        <v>Data QA applied on Cement CG NS, computed by BMT WinMon.</v>
      </c>
    </row>
    <row r="207" spans="1:8" x14ac:dyDescent="0.25">
      <c r="A207" s="3" t="s">
        <v>6983</v>
      </c>
      <c r="B207" s="3" t="s">
        <v>6988</v>
      </c>
      <c r="C207" s="3" t="s">
        <v>6985</v>
      </c>
      <c r="D207" s="3" t="s">
        <v>1120</v>
      </c>
      <c r="E207" s="3">
        <v>206</v>
      </c>
      <c r="F207" s="3" t="s">
        <v>2296</v>
      </c>
      <c r="G207" s="3" t="s">
        <v>1101</v>
      </c>
      <c r="H207" s="3" t="str">
        <f t="shared" si="4"/>
        <v>Data QA applied on Cement Ttl Moment Vert, computed by BMT WinMon.</v>
      </c>
    </row>
    <row r="208" spans="1:8" x14ac:dyDescent="0.25">
      <c r="A208" s="3" t="s">
        <v>6983</v>
      </c>
      <c r="B208" s="3" t="s">
        <v>6988</v>
      </c>
      <c r="C208" s="3" t="s">
        <v>6985</v>
      </c>
      <c r="D208" s="3" t="s">
        <v>1120</v>
      </c>
      <c r="E208" s="3">
        <v>207</v>
      </c>
      <c r="F208" s="3" t="s">
        <v>2297</v>
      </c>
      <c r="G208" s="3" t="s">
        <v>1101</v>
      </c>
      <c r="H208" s="3" t="str">
        <f t="shared" si="4"/>
        <v>Data QA applied on Cement Moment EW, computed by BMT WinMon.</v>
      </c>
    </row>
    <row r="209" spans="1:8" x14ac:dyDescent="0.25">
      <c r="A209" s="3" t="s">
        <v>6983</v>
      </c>
      <c r="B209" s="3" t="s">
        <v>6988</v>
      </c>
      <c r="C209" s="3" t="s">
        <v>6985</v>
      </c>
      <c r="D209" s="3" t="s">
        <v>1120</v>
      </c>
      <c r="E209" s="3">
        <v>208</v>
      </c>
      <c r="F209" s="3" t="s">
        <v>2298</v>
      </c>
      <c r="G209" s="3" t="s">
        <v>1101</v>
      </c>
      <c r="H209" s="3" t="str">
        <f t="shared" si="4"/>
        <v>Data QA applied on Cement Moment NS, computed by BMT WinMon.</v>
      </c>
    </row>
    <row r="210" spans="1:8" x14ac:dyDescent="0.25">
      <c r="A210" s="3" t="s">
        <v>6983</v>
      </c>
      <c r="B210" s="3" t="s">
        <v>6988</v>
      </c>
      <c r="C210" s="3" t="s">
        <v>6985</v>
      </c>
      <c r="D210" s="3" t="s">
        <v>1120</v>
      </c>
      <c r="E210" s="3">
        <v>209</v>
      </c>
      <c r="F210" s="3" t="s">
        <v>2299</v>
      </c>
      <c r="G210" s="3" t="s">
        <v>1100</v>
      </c>
      <c r="H210" s="3" t="str">
        <f t="shared" ref="H210:H273" si="5">_xlfn.CONCAT("Data QA applied on ",F210, ", computed by BMT WinMon.")</f>
        <v>Data QA applied on Drill Rig Wt Hi, computed by BMT WinMon.</v>
      </c>
    </row>
    <row r="211" spans="1:8" x14ac:dyDescent="0.25">
      <c r="A211" s="3" t="s">
        <v>6983</v>
      </c>
      <c r="B211" s="3" t="s">
        <v>6988</v>
      </c>
      <c r="C211" s="3" t="s">
        <v>6985</v>
      </c>
      <c r="D211" s="3" t="s">
        <v>1120</v>
      </c>
      <c r="E211" s="3">
        <v>210</v>
      </c>
      <c r="F211" s="3" t="s">
        <v>2300</v>
      </c>
      <c r="G211" s="3" t="s">
        <v>1100</v>
      </c>
      <c r="H211" s="3" t="str">
        <f t="shared" si="5"/>
        <v>Data QA applied on Drill Rig Wt Lo, computed by BMT WinMon.</v>
      </c>
    </row>
    <row r="212" spans="1:8" x14ac:dyDescent="0.25">
      <c r="A212" s="3" t="s">
        <v>6983</v>
      </c>
      <c r="B212" s="3" t="s">
        <v>6988</v>
      </c>
      <c r="C212" s="3" t="s">
        <v>6985</v>
      </c>
      <c r="D212" s="3" t="s">
        <v>1120</v>
      </c>
      <c r="E212" s="3">
        <v>211</v>
      </c>
      <c r="F212" s="3" t="s">
        <v>2301</v>
      </c>
      <c r="G212" s="3" t="s">
        <v>1093</v>
      </c>
      <c r="H212" s="3" t="str">
        <f t="shared" si="5"/>
        <v>Data QA applied on Drill Rig VCG, computed by BMT WinMon.</v>
      </c>
    </row>
    <row r="213" spans="1:8" x14ac:dyDescent="0.25">
      <c r="A213" s="3" t="s">
        <v>6983</v>
      </c>
      <c r="B213" s="3" t="s">
        <v>6988</v>
      </c>
      <c r="C213" s="3" t="s">
        <v>6985</v>
      </c>
      <c r="D213" s="3" t="s">
        <v>1120</v>
      </c>
      <c r="E213" s="3">
        <v>212</v>
      </c>
      <c r="F213" s="3" t="s">
        <v>2302</v>
      </c>
      <c r="G213" s="3" t="s">
        <v>1093</v>
      </c>
      <c r="H213" s="3" t="str">
        <f t="shared" si="5"/>
        <v>Data QA applied on Drill Rig CG EW, computed by BMT WinMon.</v>
      </c>
    </row>
    <row r="214" spans="1:8" x14ac:dyDescent="0.25">
      <c r="A214" s="3" t="s">
        <v>6983</v>
      </c>
      <c r="B214" s="3" t="s">
        <v>6988</v>
      </c>
      <c r="C214" s="3" t="s">
        <v>6985</v>
      </c>
      <c r="D214" s="3" t="s">
        <v>1120</v>
      </c>
      <c r="E214" s="3">
        <v>213</v>
      </c>
      <c r="F214" s="3" t="s">
        <v>2303</v>
      </c>
      <c r="G214" s="3" t="s">
        <v>1093</v>
      </c>
      <c r="H214" s="3" t="str">
        <f t="shared" si="5"/>
        <v>Data QA applied on Drill Rig CG NS, computed by BMT WinMon.</v>
      </c>
    </row>
    <row r="215" spans="1:8" x14ac:dyDescent="0.25">
      <c r="A215" s="3" t="s">
        <v>6983</v>
      </c>
      <c r="B215" s="3" t="s">
        <v>6988</v>
      </c>
      <c r="C215" s="3" t="s">
        <v>6985</v>
      </c>
      <c r="D215" s="3" t="s">
        <v>1120</v>
      </c>
      <c r="E215" s="3">
        <v>214</v>
      </c>
      <c r="F215" s="3" t="s">
        <v>2304</v>
      </c>
      <c r="G215" s="3" t="s">
        <v>1101</v>
      </c>
      <c r="H215" s="3" t="str">
        <f t="shared" si="5"/>
        <v>Data QA applied on Drill Rig Ttl Mt Vert, computed by BMT WinMon.</v>
      </c>
    </row>
    <row r="216" spans="1:8" x14ac:dyDescent="0.25">
      <c r="A216" s="3" t="s">
        <v>6983</v>
      </c>
      <c r="B216" s="3" t="s">
        <v>6988</v>
      </c>
      <c r="C216" s="3" t="s">
        <v>6985</v>
      </c>
      <c r="D216" s="3" t="s">
        <v>1120</v>
      </c>
      <c r="E216" s="3">
        <v>215</v>
      </c>
      <c r="F216" s="3" t="s">
        <v>2305</v>
      </c>
      <c r="G216" s="3" t="s">
        <v>1101</v>
      </c>
      <c r="H216" s="3" t="str">
        <f t="shared" si="5"/>
        <v>Data QA applied on Drill Rig Moment EW, computed by BMT WinMon.</v>
      </c>
    </row>
    <row r="217" spans="1:8" x14ac:dyDescent="0.25">
      <c r="A217" s="3" t="s">
        <v>6983</v>
      </c>
      <c r="B217" s="3" t="s">
        <v>6988</v>
      </c>
      <c r="C217" s="3" t="s">
        <v>6985</v>
      </c>
      <c r="D217" s="3" t="s">
        <v>1120</v>
      </c>
      <c r="E217" s="3">
        <v>216</v>
      </c>
      <c r="F217" s="3" t="s">
        <v>2306</v>
      </c>
      <c r="G217" s="3" t="s">
        <v>1101</v>
      </c>
      <c r="H217" s="3" t="str">
        <f t="shared" si="5"/>
        <v>Data QA applied on Drill Rig Moment NS, computed by BMT WinMon.</v>
      </c>
    </row>
    <row r="218" spans="1:8" x14ac:dyDescent="0.25">
      <c r="A218" s="3" t="s">
        <v>6983</v>
      </c>
      <c r="B218" s="3" t="s">
        <v>6988</v>
      </c>
      <c r="C218" s="3" t="s">
        <v>6985</v>
      </c>
      <c r="D218" s="3" t="s">
        <v>1120</v>
      </c>
      <c r="E218" s="3">
        <v>217</v>
      </c>
      <c r="F218" s="3" t="s">
        <v>2307</v>
      </c>
      <c r="G218" s="3" t="s">
        <v>1100</v>
      </c>
      <c r="H218" s="3" t="str">
        <f t="shared" si="5"/>
        <v>Data QA applied on Platform W Wt Hi, computed by BMT WinMon.</v>
      </c>
    </row>
    <row r="219" spans="1:8" x14ac:dyDescent="0.25">
      <c r="A219" s="3" t="s">
        <v>6983</v>
      </c>
      <c r="B219" s="3" t="s">
        <v>6988</v>
      </c>
      <c r="C219" s="3" t="s">
        <v>6985</v>
      </c>
      <c r="D219" s="3" t="s">
        <v>1120</v>
      </c>
      <c r="E219" s="3">
        <v>218</v>
      </c>
      <c r="F219" s="3" t="s">
        <v>2308</v>
      </c>
      <c r="G219" s="3" t="s">
        <v>1100</v>
      </c>
      <c r="H219" s="3" t="str">
        <f t="shared" si="5"/>
        <v>Data QA applied on Platform W Wt Lo, computed by BMT WinMon.</v>
      </c>
    </row>
    <row r="220" spans="1:8" x14ac:dyDescent="0.25">
      <c r="A220" s="3" t="s">
        <v>6983</v>
      </c>
      <c r="B220" s="3" t="s">
        <v>6988</v>
      </c>
      <c r="C220" s="3" t="s">
        <v>6985</v>
      </c>
      <c r="D220" s="3" t="s">
        <v>1120</v>
      </c>
      <c r="E220" s="3">
        <v>219</v>
      </c>
      <c r="F220" s="3" t="s">
        <v>2309</v>
      </c>
      <c r="G220" s="3" t="s">
        <v>1093</v>
      </c>
      <c r="H220" s="3" t="str">
        <f t="shared" si="5"/>
        <v>Data QA applied on Platform W VCG, computed by BMT WinMon.</v>
      </c>
    </row>
    <row r="221" spans="1:8" x14ac:dyDescent="0.25">
      <c r="A221" s="3" t="s">
        <v>6983</v>
      </c>
      <c r="B221" s="3" t="s">
        <v>6988</v>
      </c>
      <c r="C221" s="3" t="s">
        <v>6985</v>
      </c>
      <c r="D221" s="3" t="s">
        <v>1120</v>
      </c>
      <c r="E221" s="3">
        <v>220</v>
      </c>
      <c r="F221" s="3" t="s">
        <v>2310</v>
      </c>
      <c r="G221" s="3" t="s">
        <v>1093</v>
      </c>
      <c r="H221" s="3" t="str">
        <f t="shared" si="5"/>
        <v>Data QA applied on Platform W CG EW, computed by BMT WinMon.</v>
      </c>
    </row>
    <row r="222" spans="1:8" x14ac:dyDescent="0.25">
      <c r="A222" s="3" t="s">
        <v>6983</v>
      </c>
      <c r="B222" s="3" t="s">
        <v>6988</v>
      </c>
      <c r="C222" s="3" t="s">
        <v>6985</v>
      </c>
      <c r="D222" s="3" t="s">
        <v>1120</v>
      </c>
      <c r="E222" s="3">
        <v>221</v>
      </c>
      <c r="F222" s="3" t="s">
        <v>2311</v>
      </c>
      <c r="G222" s="3" t="s">
        <v>1093</v>
      </c>
      <c r="H222" s="3" t="str">
        <f t="shared" si="5"/>
        <v>Data QA applied on Platform W CG NS, computed by BMT WinMon.</v>
      </c>
    </row>
    <row r="223" spans="1:8" x14ac:dyDescent="0.25">
      <c r="A223" s="3" t="s">
        <v>6983</v>
      </c>
      <c r="B223" s="3" t="s">
        <v>6988</v>
      </c>
      <c r="C223" s="3" t="s">
        <v>6985</v>
      </c>
      <c r="D223" s="3" t="s">
        <v>1120</v>
      </c>
      <c r="E223" s="3">
        <v>222</v>
      </c>
      <c r="F223" s="3" t="s">
        <v>2312</v>
      </c>
      <c r="G223" s="3" t="s">
        <v>1101</v>
      </c>
      <c r="H223" s="3" t="str">
        <f t="shared" si="5"/>
        <v>Data QA applied on Platform W Ttl Mt Vert, computed by BMT WinMon.</v>
      </c>
    </row>
    <row r="224" spans="1:8" x14ac:dyDescent="0.25">
      <c r="A224" s="3" t="s">
        <v>6983</v>
      </c>
      <c r="B224" s="3" t="s">
        <v>6988</v>
      </c>
      <c r="C224" s="3" t="s">
        <v>6985</v>
      </c>
      <c r="D224" s="3" t="s">
        <v>1120</v>
      </c>
      <c r="E224" s="3">
        <v>223</v>
      </c>
      <c r="F224" s="3" t="s">
        <v>2313</v>
      </c>
      <c r="G224" s="3" t="s">
        <v>1101</v>
      </c>
      <c r="H224" s="3" t="str">
        <f t="shared" si="5"/>
        <v>Data QA applied on Platform W Moment EW, computed by BMT WinMon.</v>
      </c>
    </row>
    <row r="225" spans="1:8" x14ac:dyDescent="0.25">
      <c r="A225" s="3" t="s">
        <v>6983</v>
      </c>
      <c r="B225" s="3" t="s">
        <v>6988</v>
      </c>
      <c r="C225" s="3" t="s">
        <v>6985</v>
      </c>
      <c r="D225" s="3" t="s">
        <v>1120</v>
      </c>
      <c r="E225" s="3">
        <v>224</v>
      </c>
      <c r="F225" s="3" t="s">
        <v>2314</v>
      </c>
      <c r="G225" s="3" t="s">
        <v>1101</v>
      </c>
      <c r="H225" s="3" t="str">
        <f t="shared" si="5"/>
        <v>Data QA applied on Platform W Moment NS, computed by BMT WinMon.</v>
      </c>
    </row>
    <row r="226" spans="1:8" x14ac:dyDescent="0.25">
      <c r="A226" s="3" t="s">
        <v>6983</v>
      </c>
      <c r="B226" s="3" t="s">
        <v>6988</v>
      </c>
      <c r="C226" s="3" t="s">
        <v>6985</v>
      </c>
      <c r="D226" s="3" t="s">
        <v>1120</v>
      </c>
      <c r="E226" s="3">
        <v>225</v>
      </c>
      <c r="F226" s="3" t="s">
        <v>2315</v>
      </c>
      <c r="G226" s="3" t="s">
        <v>2464</v>
      </c>
      <c r="H226" s="3" t="str">
        <f t="shared" si="5"/>
        <v>Data QA applied on SCRs Wt Hi, computed by BMT WinMon.</v>
      </c>
    </row>
    <row r="227" spans="1:8" x14ac:dyDescent="0.25">
      <c r="A227" s="3" t="s">
        <v>6983</v>
      </c>
      <c r="B227" s="3" t="s">
        <v>6988</v>
      </c>
      <c r="C227" s="3" t="s">
        <v>6985</v>
      </c>
      <c r="D227" s="3" t="s">
        <v>1120</v>
      </c>
      <c r="E227" s="3">
        <v>226</v>
      </c>
      <c r="F227" s="3" t="s">
        <v>2316</v>
      </c>
      <c r="G227" s="3" t="s">
        <v>2464</v>
      </c>
      <c r="H227" s="3" t="str">
        <f t="shared" si="5"/>
        <v>Data QA applied on SCRs Wt Lo, computed by BMT WinMon.</v>
      </c>
    </row>
    <row r="228" spans="1:8" x14ac:dyDescent="0.25">
      <c r="A228" s="3" t="s">
        <v>6983</v>
      </c>
      <c r="B228" s="3" t="s">
        <v>6988</v>
      </c>
      <c r="C228" s="3" t="s">
        <v>6985</v>
      </c>
      <c r="D228" s="3" t="s">
        <v>1120</v>
      </c>
      <c r="E228" s="3">
        <v>227</v>
      </c>
      <c r="F228" s="3" t="s">
        <v>2317</v>
      </c>
      <c r="G228" s="3" t="s">
        <v>1093</v>
      </c>
      <c r="H228" s="3" t="str">
        <f t="shared" si="5"/>
        <v>Data QA applied on SCRs VCG, computed by BMT WinMon.</v>
      </c>
    </row>
    <row r="229" spans="1:8" x14ac:dyDescent="0.25">
      <c r="A229" s="3" t="s">
        <v>6983</v>
      </c>
      <c r="B229" s="3" t="s">
        <v>6988</v>
      </c>
      <c r="C229" s="3" t="s">
        <v>6985</v>
      </c>
      <c r="D229" s="3" t="s">
        <v>1120</v>
      </c>
      <c r="E229" s="3">
        <v>228</v>
      </c>
      <c r="F229" s="3" t="s">
        <v>2318</v>
      </c>
      <c r="G229" s="3" t="s">
        <v>1093</v>
      </c>
      <c r="H229" s="3" t="str">
        <f t="shared" si="5"/>
        <v>Data QA applied on SCRs CG EW, computed by BMT WinMon.</v>
      </c>
    </row>
    <row r="230" spans="1:8" x14ac:dyDescent="0.25">
      <c r="A230" s="3" t="s">
        <v>6983</v>
      </c>
      <c r="B230" s="3" t="s">
        <v>6988</v>
      </c>
      <c r="C230" s="3" t="s">
        <v>6985</v>
      </c>
      <c r="D230" s="3" t="s">
        <v>1120</v>
      </c>
      <c r="E230" s="3">
        <v>229</v>
      </c>
      <c r="F230" s="3" t="s">
        <v>2319</v>
      </c>
      <c r="G230" s="3" t="s">
        <v>1093</v>
      </c>
      <c r="H230" s="3" t="str">
        <f t="shared" si="5"/>
        <v>Data QA applied on SCRs CG NS, computed by BMT WinMon.</v>
      </c>
    </row>
    <row r="231" spans="1:8" x14ac:dyDescent="0.25">
      <c r="A231" s="3" t="s">
        <v>6983</v>
      </c>
      <c r="B231" s="3" t="s">
        <v>6988</v>
      </c>
      <c r="C231" s="3" t="s">
        <v>6985</v>
      </c>
      <c r="D231" s="3" t="s">
        <v>1120</v>
      </c>
      <c r="E231" s="3">
        <v>230</v>
      </c>
      <c r="F231" s="3" t="s">
        <v>2320</v>
      </c>
      <c r="G231" s="3" t="s">
        <v>1101</v>
      </c>
      <c r="H231" s="3" t="str">
        <f t="shared" si="5"/>
        <v>Data QA applied on SCRs Ttl Moment Vert, computed by BMT WinMon.</v>
      </c>
    </row>
    <row r="232" spans="1:8" x14ac:dyDescent="0.25">
      <c r="A232" s="3" t="s">
        <v>6983</v>
      </c>
      <c r="B232" s="3" t="s">
        <v>6988</v>
      </c>
      <c r="C232" s="3" t="s">
        <v>6985</v>
      </c>
      <c r="D232" s="3" t="s">
        <v>1120</v>
      </c>
      <c r="E232" s="3">
        <v>231</v>
      </c>
      <c r="F232" s="3" t="s">
        <v>2321</v>
      </c>
      <c r="G232" s="3" t="s">
        <v>1101</v>
      </c>
      <c r="H232" s="3" t="str">
        <f t="shared" si="5"/>
        <v>Data QA applied on SCRs Moment EW, computed by BMT WinMon.</v>
      </c>
    </row>
    <row r="233" spans="1:8" x14ac:dyDescent="0.25">
      <c r="A233" s="3" t="s">
        <v>6983</v>
      </c>
      <c r="B233" s="3" t="s">
        <v>6988</v>
      </c>
      <c r="C233" s="3" t="s">
        <v>6985</v>
      </c>
      <c r="D233" s="3" t="s">
        <v>1120</v>
      </c>
      <c r="E233" s="3">
        <v>232</v>
      </c>
      <c r="F233" s="3" t="s">
        <v>2322</v>
      </c>
      <c r="G233" s="3" t="s">
        <v>1101</v>
      </c>
      <c r="H233" s="3" t="str">
        <f t="shared" si="5"/>
        <v>Data QA applied on SCRs Moment NS, computed by BMT WinMon.</v>
      </c>
    </row>
    <row r="234" spans="1:8" x14ac:dyDescent="0.25">
      <c r="A234" s="3" t="s">
        <v>6983</v>
      </c>
      <c r="B234" s="3" t="s">
        <v>6988</v>
      </c>
      <c r="C234" s="3" t="s">
        <v>6985</v>
      </c>
      <c r="D234" s="3" t="s">
        <v>1120</v>
      </c>
      <c r="E234" s="3">
        <v>233</v>
      </c>
      <c r="F234" s="3" t="s">
        <v>2323</v>
      </c>
      <c r="G234" s="3" t="s">
        <v>1100</v>
      </c>
      <c r="H234" s="3" t="str">
        <f t="shared" si="5"/>
        <v>Data QA applied on Tendons Wt Hi, computed by BMT WinMon.</v>
      </c>
    </row>
    <row r="235" spans="1:8" x14ac:dyDescent="0.25">
      <c r="A235" s="3" t="s">
        <v>6983</v>
      </c>
      <c r="B235" s="3" t="s">
        <v>6988</v>
      </c>
      <c r="C235" s="3" t="s">
        <v>6985</v>
      </c>
      <c r="D235" s="3" t="s">
        <v>1120</v>
      </c>
      <c r="E235" s="3">
        <v>234</v>
      </c>
      <c r="F235" s="3" t="s">
        <v>2324</v>
      </c>
      <c r="G235" s="3" t="s">
        <v>1100</v>
      </c>
      <c r="H235" s="3" t="str">
        <f t="shared" si="5"/>
        <v>Data QA applied on Tendons Wt Lo, computed by BMT WinMon.</v>
      </c>
    </row>
    <row r="236" spans="1:8" x14ac:dyDescent="0.25">
      <c r="A236" s="3" t="s">
        <v>6983</v>
      </c>
      <c r="B236" s="3" t="s">
        <v>6988</v>
      </c>
      <c r="C236" s="3" t="s">
        <v>6985</v>
      </c>
      <c r="D236" s="3" t="s">
        <v>1120</v>
      </c>
      <c r="E236" s="3">
        <v>235</v>
      </c>
      <c r="F236" s="3" t="s">
        <v>2325</v>
      </c>
      <c r="G236" s="3" t="s">
        <v>1093</v>
      </c>
      <c r="H236" s="3" t="str">
        <f t="shared" si="5"/>
        <v>Data QA applied on Tendons VCG, computed by BMT WinMon.</v>
      </c>
    </row>
    <row r="237" spans="1:8" x14ac:dyDescent="0.25">
      <c r="A237" s="3" t="s">
        <v>6983</v>
      </c>
      <c r="B237" s="3" t="s">
        <v>6988</v>
      </c>
      <c r="C237" s="3" t="s">
        <v>6985</v>
      </c>
      <c r="D237" s="3" t="s">
        <v>1120</v>
      </c>
      <c r="E237" s="3">
        <v>236</v>
      </c>
      <c r="F237" s="3" t="s">
        <v>2326</v>
      </c>
      <c r="G237" s="3" t="s">
        <v>1093</v>
      </c>
      <c r="H237" s="3" t="str">
        <f t="shared" si="5"/>
        <v>Data QA applied on Tendons CG EW, computed by BMT WinMon.</v>
      </c>
    </row>
    <row r="238" spans="1:8" x14ac:dyDescent="0.25">
      <c r="A238" s="3" t="s">
        <v>6983</v>
      </c>
      <c r="B238" s="3" t="s">
        <v>6988</v>
      </c>
      <c r="C238" s="3" t="s">
        <v>6985</v>
      </c>
      <c r="D238" s="3" t="s">
        <v>1120</v>
      </c>
      <c r="E238" s="3">
        <v>237</v>
      </c>
      <c r="F238" s="3" t="s">
        <v>2327</v>
      </c>
      <c r="G238" s="3" t="s">
        <v>1093</v>
      </c>
      <c r="H238" s="3" t="str">
        <f t="shared" si="5"/>
        <v>Data QA applied on Tendons CG NS, computed by BMT WinMon.</v>
      </c>
    </row>
    <row r="239" spans="1:8" x14ac:dyDescent="0.25">
      <c r="A239" s="3" t="s">
        <v>6983</v>
      </c>
      <c r="B239" s="3" t="s">
        <v>6988</v>
      </c>
      <c r="C239" s="3" t="s">
        <v>6985</v>
      </c>
      <c r="D239" s="3" t="s">
        <v>1120</v>
      </c>
      <c r="E239" s="3">
        <v>238</v>
      </c>
      <c r="F239" s="3" t="s">
        <v>2328</v>
      </c>
      <c r="G239" s="3" t="s">
        <v>1101</v>
      </c>
      <c r="H239" s="3" t="str">
        <f t="shared" si="5"/>
        <v>Data QA applied on Tendons Ttl Moment Vert, computed by BMT WinMon.</v>
      </c>
    </row>
    <row r="240" spans="1:8" x14ac:dyDescent="0.25">
      <c r="A240" s="3" t="s">
        <v>6983</v>
      </c>
      <c r="B240" s="3" t="s">
        <v>6988</v>
      </c>
      <c r="C240" s="3" t="s">
        <v>6985</v>
      </c>
      <c r="D240" s="3" t="s">
        <v>1120</v>
      </c>
      <c r="E240" s="3">
        <v>239</v>
      </c>
      <c r="F240" s="3" t="s">
        <v>2329</v>
      </c>
      <c r="G240" s="3" t="s">
        <v>1101</v>
      </c>
      <c r="H240" s="3" t="str">
        <f t="shared" si="5"/>
        <v>Data QA applied on Tendons Moment EW, computed by BMT WinMon.</v>
      </c>
    </row>
    <row r="241" spans="1:8" x14ac:dyDescent="0.25">
      <c r="A241" s="3" t="s">
        <v>6983</v>
      </c>
      <c r="B241" s="3" t="s">
        <v>6988</v>
      </c>
      <c r="C241" s="3" t="s">
        <v>6985</v>
      </c>
      <c r="D241" s="3" t="s">
        <v>1120</v>
      </c>
      <c r="E241" s="3">
        <v>240</v>
      </c>
      <c r="F241" s="3" t="s">
        <v>2330</v>
      </c>
      <c r="G241" s="3" t="s">
        <v>1101</v>
      </c>
      <c r="H241" s="3" t="str">
        <f t="shared" si="5"/>
        <v>Data QA applied on Tendons Moment NS, computed by BMT WinMon.</v>
      </c>
    </row>
    <row r="242" spans="1:8" x14ac:dyDescent="0.25">
      <c r="A242" s="3" t="s">
        <v>6983</v>
      </c>
      <c r="B242" s="3" t="s">
        <v>6988</v>
      </c>
      <c r="C242" s="3" t="s">
        <v>6985</v>
      </c>
      <c r="D242" s="3" t="s">
        <v>1120</v>
      </c>
      <c r="E242" s="3">
        <v>241</v>
      </c>
      <c r="F242" s="3" t="s">
        <v>2331</v>
      </c>
      <c r="G242" s="3" t="s">
        <v>1100</v>
      </c>
      <c r="H242" s="3" t="str">
        <f t="shared" si="5"/>
        <v>Data QA applied on Risers Wt Hi, computed by BMT WinMon.</v>
      </c>
    </row>
    <row r="243" spans="1:8" x14ac:dyDescent="0.25">
      <c r="A243" s="3" t="s">
        <v>6983</v>
      </c>
      <c r="B243" s="3" t="s">
        <v>6988</v>
      </c>
      <c r="C243" s="3" t="s">
        <v>6985</v>
      </c>
      <c r="D243" s="3" t="s">
        <v>1120</v>
      </c>
      <c r="E243" s="3">
        <v>242</v>
      </c>
      <c r="F243" s="3" t="s">
        <v>2332</v>
      </c>
      <c r="G243" s="3" t="s">
        <v>1100</v>
      </c>
      <c r="H243" s="3" t="str">
        <f t="shared" si="5"/>
        <v>Data QA applied on Risers Wt Lo, computed by BMT WinMon.</v>
      </c>
    </row>
    <row r="244" spans="1:8" x14ac:dyDescent="0.25">
      <c r="A244" s="3" t="s">
        <v>6983</v>
      </c>
      <c r="B244" s="3" t="s">
        <v>6988</v>
      </c>
      <c r="C244" s="3" t="s">
        <v>6985</v>
      </c>
      <c r="D244" s="3" t="s">
        <v>1120</v>
      </c>
      <c r="E244" s="3">
        <v>243</v>
      </c>
      <c r="F244" s="3" t="s">
        <v>2333</v>
      </c>
      <c r="G244" s="3" t="s">
        <v>1093</v>
      </c>
      <c r="H244" s="3" t="str">
        <f t="shared" si="5"/>
        <v>Data QA applied on Risers VCG, computed by BMT WinMon.</v>
      </c>
    </row>
    <row r="245" spans="1:8" x14ac:dyDescent="0.25">
      <c r="A245" s="3" t="s">
        <v>6983</v>
      </c>
      <c r="B245" s="3" t="s">
        <v>6988</v>
      </c>
      <c r="C245" s="3" t="s">
        <v>6985</v>
      </c>
      <c r="D245" s="3" t="s">
        <v>1120</v>
      </c>
      <c r="E245" s="3">
        <v>244</v>
      </c>
      <c r="F245" s="3" t="s">
        <v>2334</v>
      </c>
      <c r="G245" s="3" t="s">
        <v>1093</v>
      </c>
      <c r="H245" s="3" t="str">
        <f t="shared" si="5"/>
        <v>Data QA applied on Risers CG EW, computed by BMT WinMon.</v>
      </c>
    </row>
    <row r="246" spans="1:8" x14ac:dyDescent="0.25">
      <c r="A246" s="3" t="s">
        <v>6983</v>
      </c>
      <c r="B246" s="3" t="s">
        <v>6988</v>
      </c>
      <c r="C246" s="3" t="s">
        <v>6985</v>
      </c>
      <c r="D246" s="3" t="s">
        <v>1120</v>
      </c>
      <c r="E246" s="3">
        <v>245</v>
      </c>
      <c r="F246" s="3" t="s">
        <v>2335</v>
      </c>
      <c r="G246" s="3" t="s">
        <v>1093</v>
      </c>
      <c r="H246" s="3" t="str">
        <f t="shared" si="5"/>
        <v>Data QA applied on Risers CG NS, computed by BMT WinMon.</v>
      </c>
    </row>
    <row r="247" spans="1:8" x14ac:dyDescent="0.25">
      <c r="A247" s="3" t="s">
        <v>6983</v>
      </c>
      <c r="B247" s="3" t="s">
        <v>6988</v>
      </c>
      <c r="C247" s="3" t="s">
        <v>6985</v>
      </c>
      <c r="D247" s="3" t="s">
        <v>1120</v>
      </c>
      <c r="E247" s="3">
        <v>246</v>
      </c>
      <c r="F247" s="3" t="s">
        <v>2336</v>
      </c>
      <c r="G247" s="3" t="s">
        <v>1101</v>
      </c>
      <c r="H247" s="3" t="str">
        <f t="shared" si="5"/>
        <v>Data QA applied on Risers Ttl Moment Vert, computed by BMT WinMon.</v>
      </c>
    </row>
    <row r="248" spans="1:8" x14ac:dyDescent="0.25">
      <c r="A248" s="3" t="s">
        <v>6983</v>
      </c>
      <c r="B248" s="3" t="s">
        <v>6988</v>
      </c>
      <c r="C248" s="3" t="s">
        <v>6985</v>
      </c>
      <c r="D248" s="3" t="s">
        <v>1120</v>
      </c>
      <c r="E248" s="3">
        <v>247</v>
      </c>
      <c r="F248" s="3" t="s">
        <v>2337</v>
      </c>
      <c r="G248" s="3" t="s">
        <v>1101</v>
      </c>
      <c r="H248" s="3" t="str">
        <f t="shared" si="5"/>
        <v>Data QA applied on Risers Moment EW, computed by BMT WinMon.</v>
      </c>
    </row>
    <row r="249" spans="1:8" x14ac:dyDescent="0.25">
      <c r="A249" s="3" t="s">
        <v>6983</v>
      </c>
      <c r="B249" s="3" t="s">
        <v>6988</v>
      </c>
      <c r="C249" s="3" t="s">
        <v>6985</v>
      </c>
      <c r="D249" s="3" t="s">
        <v>1120</v>
      </c>
      <c r="E249" s="3">
        <v>248</v>
      </c>
      <c r="F249" s="3" t="s">
        <v>2338</v>
      </c>
      <c r="G249" s="3" t="s">
        <v>1101</v>
      </c>
      <c r="H249" s="3" t="str">
        <f t="shared" si="5"/>
        <v>Data QA applied on Risers Moment NS, computed by BMT WinMon.</v>
      </c>
    </row>
    <row r="250" spans="1:8" x14ac:dyDescent="0.25">
      <c r="A250" s="3" t="s">
        <v>6983</v>
      </c>
      <c r="B250" s="3" t="s">
        <v>6988</v>
      </c>
      <c r="C250" s="3" t="s">
        <v>6985</v>
      </c>
      <c r="D250" s="3" t="s">
        <v>1120</v>
      </c>
      <c r="E250" s="3">
        <v>249</v>
      </c>
      <c r="F250" s="3" t="s">
        <v>2339</v>
      </c>
      <c r="G250" s="3" t="s">
        <v>1100</v>
      </c>
      <c r="H250" s="3" t="str">
        <f t="shared" si="5"/>
        <v>Data QA applied on Total Wt Hi, computed by BMT WinMon.</v>
      </c>
    </row>
    <row r="251" spans="1:8" x14ac:dyDescent="0.25">
      <c r="A251" s="3" t="s">
        <v>6983</v>
      </c>
      <c r="B251" s="3" t="s">
        <v>6988</v>
      </c>
      <c r="C251" s="3" t="s">
        <v>6985</v>
      </c>
      <c r="D251" s="3" t="s">
        <v>1120</v>
      </c>
      <c r="E251" s="3">
        <v>250</v>
      </c>
      <c r="F251" s="3" t="s">
        <v>2340</v>
      </c>
      <c r="G251" s="3" t="s">
        <v>1100</v>
      </c>
      <c r="H251" s="3" t="str">
        <f t="shared" si="5"/>
        <v>Data QA applied on Total Wt Lo, computed by BMT WinMon.</v>
      </c>
    </row>
    <row r="252" spans="1:8" x14ac:dyDescent="0.25">
      <c r="A252" s="3" t="s">
        <v>6983</v>
      </c>
      <c r="B252" s="3" t="s">
        <v>6988</v>
      </c>
      <c r="C252" s="3" t="s">
        <v>6985</v>
      </c>
      <c r="D252" s="3" t="s">
        <v>1120</v>
      </c>
      <c r="E252" s="3">
        <v>251</v>
      </c>
      <c r="F252" s="3" t="s">
        <v>2341</v>
      </c>
      <c r="G252" s="3" t="s">
        <v>1093</v>
      </c>
      <c r="H252" s="3" t="str">
        <f t="shared" si="5"/>
        <v>Data QA applied on Total Wt VCG, computed by BMT WinMon.</v>
      </c>
    </row>
    <row r="253" spans="1:8" x14ac:dyDescent="0.25">
      <c r="A253" s="3" t="s">
        <v>6983</v>
      </c>
      <c r="B253" s="3" t="s">
        <v>6988</v>
      </c>
      <c r="C253" s="3" t="s">
        <v>6985</v>
      </c>
      <c r="D253" s="3" t="s">
        <v>1120</v>
      </c>
      <c r="E253" s="3">
        <v>252</v>
      </c>
      <c r="F253" s="3" t="s">
        <v>2342</v>
      </c>
      <c r="G253" s="3" t="s">
        <v>1093</v>
      </c>
      <c r="H253" s="3" t="str">
        <f t="shared" si="5"/>
        <v>Data QA applied on Total Wt CG EW, computed by BMT WinMon.</v>
      </c>
    </row>
    <row r="254" spans="1:8" x14ac:dyDescent="0.25">
      <c r="A254" s="3" t="s">
        <v>6983</v>
      </c>
      <c r="B254" s="3" t="s">
        <v>6988</v>
      </c>
      <c r="C254" s="3" t="s">
        <v>6985</v>
      </c>
      <c r="D254" s="3" t="s">
        <v>1120</v>
      </c>
      <c r="E254" s="3">
        <v>253</v>
      </c>
      <c r="F254" s="3" t="s">
        <v>2343</v>
      </c>
      <c r="G254" s="3" t="s">
        <v>1093</v>
      </c>
      <c r="H254" s="3" t="str">
        <f t="shared" si="5"/>
        <v>Data QA applied on Total Wt CG NS, computed by BMT WinMon.</v>
      </c>
    </row>
    <row r="255" spans="1:8" x14ac:dyDescent="0.25">
      <c r="A255" s="3" t="s">
        <v>6983</v>
      </c>
      <c r="B255" s="3" t="s">
        <v>6988</v>
      </c>
      <c r="C255" s="3" t="s">
        <v>6985</v>
      </c>
      <c r="D255" s="3" t="s">
        <v>1120</v>
      </c>
      <c r="E255" s="3">
        <v>254</v>
      </c>
      <c r="F255" s="3" t="s">
        <v>2344</v>
      </c>
      <c r="G255" s="3" t="s">
        <v>1101</v>
      </c>
      <c r="H255" s="3" t="str">
        <f t="shared" si="5"/>
        <v>Data QA applied on Total Wt FS Moment EW, computed by BMT WinMon.</v>
      </c>
    </row>
    <row r="256" spans="1:8" x14ac:dyDescent="0.25">
      <c r="A256" s="3" t="s">
        <v>6983</v>
      </c>
      <c r="B256" s="3" t="s">
        <v>6988</v>
      </c>
      <c r="C256" s="3" t="s">
        <v>6985</v>
      </c>
      <c r="D256" s="3" t="s">
        <v>1120</v>
      </c>
      <c r="E256" s="3">
        <v>255</v>
      </c>
      <c r="F256" s="3" t="s">
        <v>2345</v>
      </c>
      <c r="G256" s="3" t="s">
        <v>1101</v>
      </c>
      <c r="H256" s="3" t="str">
        <f t="shared" si="5"/>
        <v>Data QA applied on Total Wt FS Moment NS, computed by BMT WinMon.</v>
      </c>
    </row>
    <row r="257" spans="1:8" x14ac:dyDescent="0.25">
      <c r="A257" s="3" t="s">
        <v>6983</v>
      </c>
      <c r="B257" s="3" t="s">
        <v>6988</v>
      </c>
      <c r="C257" s="3" t="s">
        <v>6985</v>
      </c>
      <c r="D257" s="3" t="s">
        <v>1120</v>
      </c>
      <c r="E257" s="3">
        <v>256</v>
      </c>
      <c r="F257" s="3" t="s">
        <v>2346</v>
      </c>
      <c r="G257" s="3" t="s">
        <v>1100</v>
      </c>
      <c r="H257" s="3" t="str">
        <f t="shared" si="5"/>
        <v>Data QA applied on Columns Wt Hi, computed by BMT WinMon.</v>
      </c>
    </row>
    <row r="258" spans="1:8" x14ac:dyDescent="0.25">
      <c r="A258" s="3" t="s">
        <v>6983</v>
      </c>
      <c r="B258" s="3" t="s">
        <v>6988</v>
      </c>
      <c r="C258" s="3" t="s">
        <v>6985</v>
      </c>
      <c r="D258" s="3" t="s">
        <v>1120</v>
      </c>
      <c r="E258" s="3">
        <v>257</v>
      </c>
      <c r="F258" s="3" t="s">
        <v>2347</v>
      </c>
      <c r="G258" s="3" t="s">
        <v>1100</v>
      </c>
      <c r="H258" s="3" t="str">
        <f t="shared" si="5"/>
        <v>Data QA applied on Columns Wt Lo, computed by BMT WinMon.</v>
      </c>
    </row>
    <row r="259" spans="1:8" x14ac:dyDescent="0.25">
      <c r="A259" s="3" t="s">
        <v>6983</v>
      </c>
      <c r="B259" s="3" t="s">
        <v>6988</v>
      </c>
      <c r="C259" s="3" t="s">
        <v>6985</v>
      </c>
      <c r="D259" s="3" t="s">
        <v>1120</v>
      </c>
      <c r="E259" s="3">
        <v>258</v>
      </c>
      <c r="F259" s="3" t="s">
        <v>2348</v>
      </c>
      <c r="G259" s="3" t="s">
        <v>1093</v>
      </c>
      <c r="H259" s="3" t="str">
        <f t="shared" si="5"/>
        <v>Data QA applied on Columns VCG, computed by BMT WinMon.</v>
      </c>
    </row>
    <row r="260" spans="1:8" x14ac:dyDescent="0.25">
      <c r="A260" s="3" t="s">
        <v>6983</v>
      </c>
      <c r="B260" s="3" t="s">
        <v>6988</v>
      </c>
      <c r="C260" s="3" t="s">
        <v>6985</v>
      </c>
      <c r="D260" s="3" t="s">
        <v>1120</v>
      </c>
      <c r="E260" s="3">
        <v>259</v>
      </c>
      <c r="F260" s="3" t="s">
        <v>2349</v>
      </c>
      <c r="G260" s="3" t="s">
        <v>1093</v>
      </c>
      <c r="H260" s="3" t="str">
        <f t="shared" si="5"/>
        <v>Data QA applied on Columns CG EW, computed by BMT WinMon.</v>
      </c>
    </row>
    <row r="261" spans="1:8" x14ac:dyDescent="0.25">
      <c r="A261" s="3" t="s">
        <v>6983</v>
      </c>
      <c r="B261" s="3" t="s">
        <v>6988</v>
      </c>
      <c r="C261" s="3" t="s">
        <v>6985</v>
      </c>
      <c r="D261" s="3" t="s">
        <v>1120</v>
      </c>
      <c r="E261" s="3">
        <v>260</v>
      </c>
      <c r="F261" s="3" t="s">
        <v>2350</v>
      </c>
      <c r="G261" s="3" t="s">
        <v>1093</v>
      </c>
      <c r="H261" s="3" t="str">
        <f t="shared" si="5"/>
        <v>Data QA applied on Columns CG NS, computed by BMT WinMon.</v>
      </c>
    </row>
    <row r="262" spans="1:8" x14ac:dyDescent="0.25">
      <c r="A262" s="3" t="s">
        <v>6983</v>
      </c>
      <c r="B262" s="3" t="s">
        <v>6988</v>
      </c>
      <c r="C262" s="3" t="s">
        <v>6985</v>
      </c>
      <c r="D262" s="3" t="s">
        <v>1120</v>
      </c>
      <c r="E262" s="3">
        <v>261</v>
      </c>
      <c r="F262" s="3" t="s">
        <v>2351</v>
      </c>
      <c r="G262" s="3" t="s">
        <v>1101</v>
      </c>
      <c r="H262" s="3" t="str">
        <f t="shared" si="5"/>
        <v>Data QA applied on Columns Ttl Moment Vert, computed by BMT WinMon.</v>
      </c>
    </row>
    <row r="263" spans="1:8" x14ac:dyDescent="0.25">
      <c r="A263" s="3" t="s">
        <v>6983</v>
      </c>
      <c r="B263" s="3" t="s">
        <v>6988</v>
      </c>
      <c r="C263" s="3" t="s">
        <v>6985</v>
      </c>
      <c r="D263" s="3" t="s">
        <v>1120</v>
      </c>
      <c r="E263" s="3">
        <v>262</v>
      </c>
      <c r="F263" s="3" t="s">
        <v>2352</v>
      </c>
      <c r="G263" s="3" t="s">
        <v>1101</v>
      </c>
      <c r="H263" s="3" t="str">
        <f t="shared" si="5"/>
        <v>Data QA applied on Columns Moment EW, computed by BMT WinMon.</v>
      </c>
    </row>
    <row r="264" spans="1:8" x14ac:dyDescent="0.25">
      <c r="A264" s="3" t="s">
        <v>6983</v>
      </c>
      <c r="B264" s="3" t="s">
        <v>6988</v>
      </c>
      <c r="C264" s="3" t="s">
        <v>6985</v>
      </c>
      <c r="D264" s="3" t="s">
        <v>1120</v>
      </c>
      <c r="E264" s="3">
        <v>263</v>
      </c>
      <c r="F264" s="3" t="s">
        <v>2353</v>
      </c>
      <c r="G264" s="3" t="s">
        <v>1101</v>
      </c>
      <c r="H264" s="3" t="str">
        <f t="shared" si="5"/>
        <v>Data QA applied on Columns Moment NS, computed by BMT WinMon.</v>
      </c>
    </row>
    <row r="265" spans="1:8" x14ac:dyDescent="0.25">
      <c r="A265" s="3" t="s">
        <v>6983</v>
      </c>
      <c r="B265" s="3" t="s">
        <v>6988</v>
      </c>
      <c r="C265" s="3" t="s">
        <v>6985</v>
      </c>
      <c r="D265" s="3" t="s">
        <v>1120</v>
      </c>
      <c r="E265" s="3">
        <v>264</v>
      </c>
      <c r="F265" s="3" t="s">
        <v>2354</v>
      </c>
      <c r="G265" s="3" t="s">
        <v>1100</v>
      </c>
      <c r="H265" s="3" t="str">
        <f t="shared" si="5"/>
        <v>Data QA applied on Deck1 Wt Hi, computed by BMT WinMon.</v>
      </c>
    </row>
    <row r="266" spans="1:8" x14ac:dyDescent="0.25">
      <c r="A266" s="3" t="s">
        <v>6983</v>
      </c>
      <c r="B266" s="3" t="s">
        <v>6988</v>
      </c>
      <c r="C266" s="3" t="s">
        <v>6985</v>
      </c>
      <c r="D266" s="3" t="s">
        <v>1120</v>
      </c>
      <c r="E266" s="3">
        <v>265</v>
      </c>
      <c r="F266" s="3" t="s">
        <v>2355</v>
      </c>
      <c r="G266" s="3" t="s">
        <v>1100</v>
      </c>
      <c r="H266" s="3" t="str">
        <f t="shared" si="5"/>
        <v>Data QA applied on Deck1 Wt Lo, computed by BMT WinMon.</v>
      </c>
    </row>
    <row r="267" spans="1:8" x14ac:dyDescent="0.25">
      <c r="A267" s="3" t="s">
        <v>6983</v>
      </c>
      <c r="B267" s="3" t="s">
        <v>6988</v>
      </c>
      <c r="C267" s="3" t="s">
        <v>6985</v>
      </c>
      <c r="D267" s="3" t="s">
        <v>1120</v>
      </c>
      <c r="E267" s="3">
        <v>266</v>
      </c>
      <c r="F267" s="3" t="s">
        <v>2356</v>
      </c>
      <c r="G267" s="3" t="s">
        <v>1093</v>
      </c>
      <c r="H267" s="3" t="str">
        <f t="shared" si="5"/>
        <v>Data QA applied on Deck1 VCG, computed by BMT WinMon.</v>
      </c>
    </row>
    <row r="268" spans="1:8" x14ac:dyDescent="0.25">
      <c r="A268" s="3" t="s">
        <v>6983</v>
      </c>
      <c r="B268" s="3" t="s">
        <v>6988</v>
      </c>
      <c r="C268" s="3" t="s">
        <v>6985</v>
      </c>
      <c r="D268" s="3" t="s">
        <v>1120</v>
      </c>
      <c r="E268" s="3">
        <v>267</v>
      </c>
      <c r="F268" s="3" t="s">
        <v>2357</v>
      </c>
      <c r="G268" s="3" t="s">
        <v>1093</v>
      </c>
      <c r="H268" s="3" t="str">
        <f t="shared" si="5"/>
        <v>Data QA applied on Deck1 CG EW, computed by BMT WinMon.</v>
      </c>
    </row>
    <row r="269" spans="1:8" x14ac:dyDescent="0.25">
      <c r="A269" s="3" t="s">
        <v>6983</v>
      </c>
      <c r="B269" s="3" t="s">
        <v>6988</v>
      </c>
      <c r="C269" s="3" t="s">
        <v>6985</v>
      </c>
      <c r="D269" s="3" t="s">
        <v>1120</v>
      </c>
      <c r="E269" s="3">
        <v>268</v>
      </c>
      <c r="F269" s="3" t="s">
        <v>2358</v>
      </c>
      <c r="G269" s="3" t="s">
        <v>1093</v>
      </c>
      <c r="H269" s="3" t="str">
        <f t="shared" si="5"/>
        <v>Data QA applied on Deck1 CG NS, computed by BMT WinMon.</v>
      </c>
    </row>
    <row r="270" spans="1:8" x14ac:dyDescent="0.25">
      <c r="A270" s="3" t="s">
        <v>6983</v>
      </c>
      <c r="B270" s="3" t="s">
        <v>6988</v>
      </c>
      <c r="C270" s="3" t="s">
        <v>6985</v>
      </c>
      <c r="D270" s="3" t="s">
        <v>1120</v>
      </c>
      <c r="E270" s="3">
        <v>269</v>
      </c>
      <c r="F270" s="3" t="s">
        <v>2359</v>
      </c>
      <c r="G270" s="3" t="s">
        <v>1101</v>
      </c>
      <c r="H270" s="3" t="str">
        <f t="shared" si="5"/>
        <v>Data QA applied on Deck1 Ttl Moment Vert, computed by BMT WinMon.</v>
      </c>
    </row>
    <row r="271" spans="1:8" x14ac:dyDescent="0.25">
      <c r="A271" s="3" t="s">
        <v>6983</v>
      </c>
      <c r="B271" s="3" t="s">
        <v>6988</v>
      </c>
      <c r="C271" s="3" t="s">
        <v>6985</v>
      </c>
      <c r="D271" s="3" t="s">
        <v>1120</v>
      </c>
      <c r="E271" s="3">
        <v>270</v>
      </c>
      <c r="F271" s="3" t="s">
        <v>2360</v>
      </c>
      <c r="G271" s="3" t="s">
        <v>1101</v>
      </c>
      <c r="H271" s="3" t="str">
        <f t="shared" si="5"/>
        <v>Data QA applied on Deck1 Moment EW, computed by BMT WinMon.</v>
      </c>
    </row>
    <row r="272" spans="1:8" x14ac:dyDescent="0.25">
      <c r="A272" s="3" t="s">
        <v>6983</v>
      </c>
      <c r="B272" s="3" t="s">
        <v>6988</v>
      </c>
      <c r="C272" s="3" t="s">
        <v>6985</v>
      </c>
      <c r="D272" s="3" t="s">
        <v>1120</v>
      </c>
      <c r="E272" s="3">
        <v>271</v>
      </c>
      <c r="F272" s="3" t="s">
        <v>2361</v>
      </c>
      <c r="G272" s="3" t="s">
        <v>1101</v>
      </c>
      <c r="H272" s="3" t="str">
        <f t="shared" si="5"/>
        <v>Data QA applied on Deck1 Moment NS, computed by BMT WinMon.</v>
      </c>
    </row>
    <row r="273" spans="1:8" x14ac:dyDescent="0.25">
      <c r="A273" s="3" t="s">
        <v>6983</v>
      </c>
      <c r="B273" s="3" t="s">
        <v>6988</v>
      </c>
      <c r="C273" s="3" t="s">
        <v>6985</v>
      </c>
      <c r="D273" s="3" t="s">
        <v>1120</v>
      </c>
      <c r="E273" s="3">
        <v>272</v>
      </c>
      <c r="F273" s="3" t="s">
        <v>2362</v>
      </c>
      <c r="G273" s="3" t="s">
        <v>1100</v>
      </c>
      <c r="H273" s="3" t="str">
        <f t="shared" si="5"/>
        <v>Data QA applied on Deck2 Wt Hi, computed by BMT WinMon.</v>
      </c>
    </row>
    <row r="274" spans="1:8" x14ac:dyDescent="0.25">
      <c r="A274" s="3" t="s">
        <v>6983</v>
      </c>
      <c r="B274" s="3" t="s">
        <v>6988</v>
      </c>
      <c r="C274" s="3" t="s">
        <v>6985</v>
      </c>
      <c r="D274" s="3" t="s">
        <v>1120</v>
      </c>
      <c r="E274" s="3">
        <v>273</v>
      </c>
      <c r="F274" s="3" t="s">
        <v>2363</v>
      </c>
      <c r="G274" s="3" t="s">
        <v>1100</v>
      </c>
      <c r="H274" s="3" t="str">
        <f t="shared" ref="H274:H310" si="6">_xlfn.CONCAT("Data QA applied on ",F274, ", computed by BMT WinMon.")</f>
        <v>Data QA applied on Deck2 Wt Lo, computed by BMT WinMon.</v>
      </c>
    </row>
    <row r="275" spans="1:8" x14ac:dyDescent="0.25">
      <c r="A275" s="3" t="s">
        <v>6983</v>
      </c>
      <c r="B275" s="3" t="s">
        <v>6988</v>
      </c>
      <c r="C275" s="3" t="s">
        <v>6985</v>
      </c>
      <c r="D275" s="3" t="s">
        <v>1120</v>
      </c>
      <c r="E275" s="3">
        <v>274</v>
      </c>
      <c r="F275" s="3" t="s">
        <v>2364</v>
      </c>
      <c r="G275" s="3" t="s">
        <v>1093</v>
      </c>
      <c r="H275" s="3" t="str">
        <f t="shared" si="6"/>
        <v>Data QA applied on Deck2 VCG, computed by BMT WinMon.</v>
      </c>
    </row>
    <row r="276" spans="1:8" x14ac:dyDescent="0.25">
      <c r="A276" s="3" t="s">
        <v>6983</v>
      </c>
      <c r="B276" s="3" t="s">
        <v>6988</v>
      </c>
      <c r="C276" s="3" t="s">
        <v>6985</v>
      </c>
      <c r="D276" s="3" t="s">
        <v>1120</v>
      </c>
      <c r="E276" s="3">
        <v>275</v>
      </c>
      <c r="F276" s="3" t="s">
        <v>2365</v>
      </c>
      <c r="G276" s="3" t="s">
        <v>1093</v>
      </c>
      <c r="H276" s="3" t="str">
        <f t="shared" si="6"/>
        <v>Data QA applied on Deck2 CG EW, computed by BMT WinMon.</v>
      </c>
    </row>
    <row r="277" spans="1:8" x14ac:dyDescent="0.25">
      <c r="A277" s="3" t="s">
        <v>6983</v>
      </c>
      <c r="B277" s="3" t="s">
        <v>6988</v>
      </c>
      <c r="C277" s="3" t="s">
        <v>6985</v>
      </c>
      <c r="D277" s="3" t="s">
        <v>1120</v>
      </c>
      <c r="E277" s="3">
        <v>276</v>
      </c>
      <c r="F277" s="3" t="s">
        <v>2366</v>
      </c>
      <c r="G277" s="3" t="s">
        <v>1093</v>
      </c>
      <c r="H277" s="3" t="str">
        <f t="shared" si="6"/>
        <v>Data QA applied on Deck2 CG NS, computed by BMT WinMon.</v>
      </c>
    </row>
    <row r="278" spans="1:8" x14ac:dyDescent="0.25">
      <c r="A278" s="3" t="s">
        <v>6983</v>
      </c>
      <c r="B278" s="3" t="s">
        <v>6988</v>
      </c>
      <c r="C278" s="3" t="s">
        <v>6985</v>
      </c>
      <c r="D278" s="3" t="s">
        <v>1120</v>
      </c>
      <c r="E278" s="3">
        <v>277</v>
      </c>
      <c r="F278" s="3" t="s">
        <v>2367</v>
      </c>
      <c r="G278" s="3" t="s">
        <v>1101</v>
      </c>
      <c r="H278" s="3" t="str">
        <f t="shared" si="6"/>
        <v>Data QA applied on Deck2 Ttl Moment Vert, computed by BMT WinMon.</v>
      </c>
    </row>
    <row r="279" spans="1:8" x14ac:dyDescent="0.25">
      <c r="A279" s="3" t="s">
        <v>6983</v>
      </c>
      <c r="B279" s="3" t="s">
        <v>6988</v>
      </c>
      <c r="C279" s="3" t="s">
        <v>6985</v>
      </c>
      <c r="D279" s="3" t="s">
        <v>1120</v>
      </c>
      <c r="E279" s="3">
        <v>278</v>
      </c>
      <c r="F279" s="3" t="s">
        <v>2368</v>
      </c>
      <c r="G279" s="3" t="s">
        <v>1101</v>
      </c>
      <c r="H279" s="3" t="str">
        <f t="shared" si="6"/>
        <v>Data QA applied on Deck2 Moment EW, computed by BMT WinMon.</v>
      </c>
    </row>
    <row r="280" spans="1:8" x14ac:dyDescent="0.25">
      <c r="A280" s="3" t="s">
        <v>6983</v>
      </c>
      <c r="B280" s="3" t="s">
        <v>6988</v>
      </c>
      <c r="C280" s="3" t="s">
        <v>6985</v>
      </c>
      <c r="D280" s="3" t="s">
        <v>1120</v>
      </c>
      <c r="E280" s="3">
        <v>279</v>
      </c>
      <c r="F280" s="3" t="s">
        <v>2369</v>
      </c>
      <c r="G280" s="3" t="s">
        <v>1101</v>
      </c>
      <c r="H280" s="3" t="str">
        <f t="shared" si="6"/>
        <v>Data QA applied on Deck2 Moment NS, computed by BMT WinMon.</v>
      </c>
    </row>
    <row r="281" spans="1:8" x14ac:dyDescent="0.25">
      <c r="A281" s="3" t="s">
        <v>6983</v>
      </c>
      <c r="B281" s="3" t="s">
        <v>6988</v>
      </c>
      <c r="C281" s="3" t="s">
        <v>6985</v>
      </c>
      <c r="D281" s="3" t="s">
        <v>1120</v>
      </c>
      <c r="E281" s="3">
        <v>280</v>
      </c>
      <c r="F281" s="3" t="s">
        <v>2370</v>
      </c>
      <c r="G281" s="3" t="s">
        <v>1100</v>
      </c>
      <c r="H281" s="3" t="str">
        <f t="shared" si="6"/>
        <v>Data QA applied on Deck3 Wt Hi, computed by BMT WinMon.</v>
      </c>
    </row>
    <row r="282" spans="1:8" x14ac:dyDescent="0.25">
      <c r="A282" s="3" t="s">
        <v>6983</v>
      </c>
      <c r="B282" s="3" t="s">
        <v>6988</v>
      </c>
      <c r="C282" s="3" t="s">
        <v>6985</v>
      </c>
      <c r="D282" s="3" t="s">
        <v>1120</v>
      </c>
      <c r="E282" s="3">
        <v>281</v>
      </c>
      <c r="F282" s="3" t="s">
        <v>2371</v>
      </c>
      <c r="G282" s="3" t="s">
        <v>1100</v>
      </c>
      <c r="H282" s="3" t="str">
        <f t="shared" si="6"/>
        <v>Data QA applied on Deck3 Wt Lo, computed by BMT WinMon.</v>
      </c>
    </row>
    <row r="283" spans="1:8" x14ac:dyDescent="0.25">
      <c r="A283" s="3" t="s">
        <v>6983</v>
      </c>
      <c r="B283" s="3" t="s">
        <v>6988</v>
      </c>
      <c r="C283" s="3" t="s">
        <v>6985</v>
      </c>
      <c r="D283" s="3" t="s">
        <v>1120</v>
      </c>
      <c r="E283" s="3">
        <v>282</v>
      </c>
      <c r="F283" s="3" t="s">
        <v>2372</v>
      </c>
      <c r="G283" s="3" t="s">
        <v>1093</v>
      </c>
      <c r="H283" s="3" t="str">
        <f t="shared" si="6"/>
        <v>Data QA applied on Deck3 VCG, computed by BMT WinMon.</v>
      </c>
    </row>
    <row r="284" spans="1:8" x14ac:dyDescent="0.25">
      <c r="A284" s="3" t="s">
        <v>6983</v>
      </c>
      <c r="B284" s="3" t="s">
        <v>6988</v>
      </c>
      <c r="C284" s="3" t="s">
        <v>6985</v>
      </c>
      <c r="D284" s="3" t="s">
        <v>1120</v>
      </c>
      <c r="E284" s="3">
        <v>283</v>
      </c>
      <c r="F284" s="3" t="s">
        <v>2373</v>
      </c>
      <c r="G284" s="3" t="s">
        <v>1093</v>
      </c>
      <c r="H284" s="3" t="str">
        <f t="shared" si="6"/>
        <v>Data QA applied on Deck3 CG EW, computed by BMT WinMon.</v>
      </c>
    </row>
    <row r="285" spans="1:8" x14ac:dyDescent="0.25">
      <c r="A285" s="3" t="s">
        <v>6983</v>
      </c>
      <c r="B285" s="3" t="s">
        <v>6988</v>
      </c>
      <c r="C285" s="3" t="s">
        <v>6985</v>
      </c>
      <c r="D285" s="3" t="s">
        <v>1120</v>
      </c>
      <c r="E285" s="3">
        <v>284</v>
      </c>
      <c r="F285" s="3" t="s">
        <v>2374</v>
      </c>
      <c r="G285" s="3" t="s">
        <v>1093</v>
      </c>
      <c r="H285" s="3" t="str">
        <f t="shared" si="6"/>
        <v>Data QA applied on Deck3 CG NS, computed by BMT WinMon.</v>
      </c>
    </row>
    <row r="286" spans="1:8" x14ac:dyDescent="0.25">
      <c r="A286" s="3" t="s">
        <v>6983</v>
      </c>
      <c r="B286" s="3" t="s">
        <v>6988</v>
      </c>
      <c r="C286" s="3" t="s">
        <v>6985</v>
      </c>
      <c r="D286" s="3" t="s">
        <v>1120</v>
      </c>
      <c r="E286" s="3">
        <v>285</v>
      </c>
      <c r="F286" s="3" t="s">
        <v>2375</v>
      </c>
      <c r="G286" s="3" t="s">
        <v>1101</v>
      </c>
      <c r="H286" s="3" t="str">
        <f t="shared" si="6"/>
        <v>Data QA applied on Deck3 Ttl Moment Vert, computed by BMT WinMon.</v>
      </c>
    </row>
    <row r="287" spans="1:8" x14ac:dyDescent="0.25">
      <c r="A287" s="3" t="s">
        <v>6983</v>
      </c>
      <c r="B287" s="3" t="s">
        <v>6988</v>
      </c>
      <c r="C287" s="3" t="s">
        <v>6985</v>
      </c>
      <c r="D287" s="3" t="s">
        <v>1120</v>
      </c>
      <c r="E287" s="3">
        <v>286</v>
      </c>
      <c r="F287" s="3" t="s">
        <v>2376</v>
      </c>
      <c r="G287" s="3" t="s">
        <v>1101</v>
      </c>
      <c r="H287" s="3" t="str">
        <f t="shared" si="6"/>
        <v>Data QA applied on Deck3 Moment EW, computed by BMT WinMon.</v>
      </c>
    </row>
    <row r="288" spans="1:8" x14ac:dyDescent="0.25">
      <c r="A288" s="3" t="s">
        <v>6983</v>
      </c>
      <c r="B288" s="3" t="s">
        <v>6988</v>
      </c>
      <c r="C288" s="3" t="s">
        <v>6985</v>
      </c>
      <c r="D288" s="3" t="s">
        <v>1120</v>
      </c>
      <c r="E288" s="3">
        <v>287</v>
      </c>
      <c r="F288" s="3" t="s">
        <v>2377</v>
      </c>
      <c r="G288" s="3" t="s">
        <v>1101</v>
      </c>
      <c r="H288" s="3" t="str">
        <f t="shared" si="6"/>
        <v>Data QA applied on Deck3 Moment NS, computed by BMT WinMon.</v>
      </c>
    </row>
    <row r="289" spans="1:8" x14ac:dyDescent="0.25">
      <c r="A289" s="3" t="s">
        <v>6983</v>
      </c>
      <c r="B289" s="3" t="s">
        <v>6988</v>
      </c>
      <c r="C289" s="3" t="s">
        <v>6985</v>
      </c>
      <c r="D289" s="3" t="s">
        <v>1120</v>
      </c>
      <c r="E289" s="3">
        <v>288</v>
      </c>
      <c r="F289" s="3" t="s">
        <v>2378</v>
      </c>
      <c r="G289" s="3" t="s">
        <v>1100</v>
      </c>
      <c r="H289" s="3" t="str">
        <f t="shared" si="6"/>
        <v>Data QA applied on Deck4 Wt Hi, computed by BMT WinMon.</v>
      </c>
    </row>
    <row r="290" spans="1:8" x14ac:dyDescent="0.25">
      <c r="A290" s="3" t="s">
        <v>6983</v>
      </c>
      <c r="B290" s="3" t="s">
        <v>6988</v>
      </c>
      <c r="C290" s="3" t="s">
        <v>6985</v>
      </c>
      <c r="D290" s="3" t="s">
        <v>1120</v>
      </c>
      <c r="E290" s="3">
        <v>289</v>
      </c>
      <c r="F290" s="3" t="s">
        <v>2379</v>
      </c>
      <c r="G290" s="3" t="s">
        <v>1100</v>
      </c>
      <c r="H290" s="3" t="str">
        <f t="shared" si="6"/>
        <v>Data QA applied on Deck4 Wt Lo, computed by BMT WinMon.</v>
      </c>
    </row>
    <row r="291" spans="1:8" x14ac:dyDescent="0.25">
      <c r="A291" s="3" t="s">
        <v>6983</v>
      </c>
      <c r="B291" s="3" t="s">
        <v>6988</v>
      </c>
      <c r="C291" s="3" t="s">
        <v>6985</v>
      </c>
      <c r="D291" s="3" t="s">
        <v>1120</v>
      </c>
      <c r="E291" s="3">
        <v>290</v>
      </c>
      <c r="F291" s="3" t="s">
        <v>2380</v>
      </c>
      <c r="G291" s="3" t="s">
        <v>1093</v>
      </c>
      <c r="H291" s="3" t="str">
        <f t="shared" si="6"/>
        <v>Data QA applied on Deck4 VCG, computed by BMT WinMon.</v>
      </c>
    </row>
    <row r="292" spans="1:8" x14ac:dyDescent="0.25">
      <c r="A292" s="3" t="s">
        <v>6983</v>
      </c>
      <c r="B292" s="3" t="s">
        <v>6988</v>
      </c>
      <c r="C292" s="3" t="s">
        <v>6985</v>
      </c>
      <c r="D292" s="3" t="s">
        <v>1120</v>
      </c>
      <c r="E292" s="3">
        <v>291</v>
      </c>
      <c r="F292" s="3" t="s">
        <v>2381</v>
      </c>
      <c r="G292" s="3" t="s">
        <v>1093</v>
      </c>
      <c r="H292" s="3" t="str">
        <f t="shared" si="6"/>
        <v>Data QA applied on Deck4 CG EW, computed by BMT WinMon.</v>
      </c>
    </row>
    <row r="293" spans="1:8" x14ac:dyDescent="0.25">
      <c r="A293" s="3" t="s">
        <v>6983</v>
      </c>
      <c r="B293" s="3" t="s">
        <v>6988</v>
      </c>
      <c r="C293" s="3" t="s">
        <v>6985</v>
      </c>
      <c r="D293" s="3" t="s">
        <v>1120</v>
      </c>
      <c r="E293" s="3">
        <v>292</v>
      </c>
      <c r="F293" s="3" t="s">
        <v>2382</v>
      </c>
      <c r="G293" s="3" t="s">
        <v>1093</v>
      </c>
      <c r="H293" s="3" t="str">
        <f t="shared" si="6"/>
        <v>Data QA applied on Deck4 CG NS, computed by BMT WinMon.</v>
      </c>
    </row>
    <row r="294" spans="1:8" x14ac:dyDescent="0.25">
      <c r="A294" s="3" t="s">
        <v>6983</v>
      </c>
      <c r="B294" s="3" t="s">
        <v>6988</v>
      </c>
      <c r="C294" s="3" t="s">
        <v>6985</v>
      </c>
      <c r="D294" s="3" t="s">
        <v>1120</v>
      </c>
      <c r="E294" s="3">
        <v>293</v>
      </c>
      <c r="F294" s="3" t="s">
        <v>2383</v>
      </c>
      <c r="G294" s="3" t="s">
        <v>1101</v>
      </c>
      <c r="H294" s="3" t="str">
        <f t="shared" si="6"/>
        <v>Data QA applied on Deck4 Ttl Moment Vert, computed by BMT WinMon.</v>
      </c>
    </row>
    <row r="295" spans="1:8" x14ac:dyDescent="0.25">
      <c r="A295" s="3" t="s">
        <v>6983</v>
      </c>
      <c r="B295" s="3" t="s">
        <v>6988</v>
      </c>
      <c r="C295" s="3" t="s">
        <v>6985</v>
      </c>
      <c r="D295" s="3" t="s">
        <v>1120</v>
      </c>
      <c r="E295" s="3">
        <v>294</v>
      </c>
      <c r="F295" s="3" t="s">
        <v>2384</v>
      </c>
      <c r="G295" s="3" t="s">
        <v>1101</v>
      </c>
      <c r="H295" s="3" t="str">
        <f t="shared" si="6"/>
        <v>Data QA applied on Deck4 Moment EW, computed by BMT WinMon.</v>
      </c>
    </row>
    <row r="296" spans="1:8" x14ac:dyDescent="0.25">
      <c r="A296" s="3" t="s">
        <v>6983</v>
      </c>
      <c r="B296" s="3" t="s">
        <v>6988</v>
      </c>
      <c r="C296" s="3" t="s">
        <v>6985</v>
      </c>
      <c r="D296" s="3" t="s">
        <v>1120</v>
      </c>
      <c r="E296" s="3">
        <v>295</v>
      </c>
      <c r="F296" s="3" t="s">
        <v>2385</v>
      </c>
      <c r="G296" s="3" t="s">
        <v>1101</v>
      </c>
      <c r="H296" s="3" t="str">
        <f t="shared" si="6"/>
        <v>Data QA applied on Deck4 Moment NS, computed by BMT WinMon.</v>
      </c>
    </row>
    <row r="297" spans="1:8" x14ac:dyDescent="0.25">
      <c r="A297" s="3" t="s">
        <v>6983</v>
      </c>
      <c r="B297" s="3" t="s">
        <v>6988</v>
      </c>
      <c r="C297" s="3" t="s">
        <v>6985</v>
      </c>
      <c r="D297" s="3" t="s">
        <v>1120</v>
      </c>
      <c r="E297" s="3">
        <v>296</v>
      </c>
      <c r="F297" s="3" t="s">
        <v>2386</v>
      </c>
      <c r="G297" s="3" t="s">
        <v>1100</v>
      </c>
      <c r="H297" s="3" t="str">
        <f t="shared" si="6"/>
        <v>Data QA applied on Deck5 Wt Hi, computed by BMT WinMon.</v>
      </c>
    </row>
    <row r="298" spans="1:8" x14ac:dyDescent="0.25">
      <c r="A298" s="3" t="s">
        <v>6983</v>
      </c>
      <c r="B298" s="3" t="s">
        <v>6988</v>
      </c>
      <c r="C298" s="3" t="s">
        <v>6985</v>
      </c>
      <c r="D298" s="3" t="s">
        <v>1120</v>
      </c>
      <c r="E298" s="3">
        <v>297</v>
      </c>
      <c r="F298" s="3" t="s">
        <v>2387</v>
      </c>
      <c r="G298" s="3" t="s">
        <v>1100</v>
      </c>
      <c r="H298" s="3" t="str">
        <f t="shared" si="6"/>
        <v>Data QA applied on Deck5 Wt Lo, computed by BMT WinMon.</v>
      </c>
    </row>
    <row r="299" spans="1:8" x14ac:dyDescent="0.25">
      <c r="A299" s="3" t="s">
        <v>6983</v>
      </c>
      <c r="B299" s="3" t="s">
        <v>6988</v>
      </c>
      <c r="C299" s="3" t="s">
        <v>6985</v>
      </c>
      <c r="D299" s="3" t="s">
        <v>1120</v>
      </c>
      <c r="E299" s="3">
        <v>298</v>
      </c>
      <c r="F299" s="3" t="s">
        <v>2388</v>
      </c>
      <c r="G299" s="3" t="s">
        <v>1093</v>
      </c>
      <c r="H299" s="3" t="str">
        <f t="shared" si="6"/>
        <v>Data QA applied on Deck5 VCG, computed by BMT WinMon.</v>
      </c>
    </row>
    <row r="300" spans="1:8" x14ac:dyDescent="0.25">
      <c r="A300" s="3" t="s">
        <v>6983</v>
      </c>
      <c r="B300" s="3" t="s">
        <v>6988</v>
      </c>
      <c r="C300" s="3" t="s">
        <v>6985</v>
      </c>
      <c r="D300" s="3" t="s">
        <v>1120</v>
      </c>
      <c r="E300" s="3">
        <v>299</v>
      </c>
      <c r="F300" s="3" t="s">
        <v>2389</v>
      </c>
      <c r="G300" s="3" t="s">
        <v>1093</v>
      </c>
      <c r="H300" s="3" t="str">
        <f t="shared" si="6"/>
        <v>Data QA applied on Deck5 CG EW, computed by BMT WinMon.</v>
      </c>
    </row>
    <row r="301" spans="1:8" x14ac:dyDescent="0.25">
      <c r="A301" s="3" t="s">
        <v>6983</v>
      </c>
      <c r="B301" s="3" t="s">
        <v>6988</v>
      </c>
      <c r="C301" s="3" t="s">
        <v>6985</v>
      </c>
      <c r="D301" s="3" t="s">
        <v>1120</v>
      </c>
      <c r="E301" s="3">
        <v>300</v>
      </c>
      <c r="F301" s="3" t="s">
        <v>2390</v>
      </c>
      <c r="G301" s="3" t="s">
        <v>1093</v>
      </c>
      <c r="H301" s="3" t="str">
        <f t="shared" si="6"/>
        <v>Data QA applied on Deck5 CG NS, computed by BMT WinMon.</v>
      </c>
    </row>
    <row r="302" spans="1:8" x14ac:dyDescent="0.25">
      <c r="A302" s="3" t="s">
        <v>6983</v>
      </c>
      <c r="B302" s="3" t="s">
        <v>6988</v>
      </c>
      <c r="C302" s="3" t="s">
        <v>6985</v>
      </c>
      <c r="D302" s="3" t="s">
        <v>1120</v>
      </c>
      <c r="E302" s="3">
        <v>301</v>
      </c>
      <c r="F302" s="3" t="s">
        <v>2391</v>
      </c>
      <c r="G302" s="3" t="s">
        <v>1101</v>
      </c>
      <c r="H302" s="3" t="str">
        <f t="shared" si="6"/>
        <v>Data QA applied on Deck5 Ttl Moment Vert, computed by BMT WinMon.</v>
      </c>
    </row>
    <row r="303" spans="1:8" x14ac:dyDescent="0.25">
      <c r="A303" s="3" t="s">
        <v>6983</v>
      </c>
      <c r="B303" s="3" t="s">
        <v>6988</v>
      </c>
      <c r="C303" s="3" t="s">
        <v>6985</v>
      </c>
      <c r="D303" s="3" t="s">
        <v>1120</v>
      </c>
      <c r="E303" s="3">
        <v>302</v>
      </c>
      <c r="F303" s="3" t="s">
        <v>2392</v>
      </c>
      <c r="G303" s="3" t="s">
        <v>1101</v>
      </c>
      <c r="H303" s="3" t="str">
        <f t="shared" si="6"/>
        <v>Data QA applied on Deck5 Moment EW, computed by BMT WinMon.</v>
      </c>
    </row>
    <row r="304" spans="1:8" x14ac:dyDescent="0.25">
      <c r="A304" s="3" t="s">
        <v>6983</v>
      </c>
      <c r="B304" s="3" t="s">
        <v>6988</v>
      </c>
      <c r="C304" s="3" t="s">
        <v>6985</v>
      </c>
      <c r="D304" s="3" t="s">
        <v>1120</v>
      </c>
      <c r="E304" s="3">
        <v>303</v>
      </c>
      <c r="F304" s="3" t="s">
        <v>2393</v>
      </c>
      <c r="G304" s="3" t="s">
        <v>1101</v>
      </c>
      <c r="H304" s="3" t="str">
        <f t="shared" si="6"/>
        <v>Data QA applied on Deck5 Moment NS, computed by BMT WinMon.</v>
      </c>
    </row>
    <row r="305" spans="1:8" x14ac:dyDescent="0.25">
      <c r="A305" s="3" t="s">
        <v>6983</v>
      </c>
      <c r="B305" s="3" t="s">
        <v>6988</v>
      </c>
      <c r="C305" s="3" t="s">
        <v>6985</v>
      </c>
      <c r="D305" s="3" t="s">
        <v>1120</v>
      </c>
      <c r="E305" s="3">
        <v>304</v>
      </c>
      <c r="F305" s="3" t="s">
        <v>2394</v>
      </c>
      <c r="G305" s="3" t="s">
        <v>1093</v>
      </c>
      <c r="H305" s="3" t="str">
        <f t="shared" si="6"/>
        <v>Data QA applied on Lightship VCG, computed by BMT WinMon.</v>
      </c>
    </row>
    <row r="306" spans="1:8" x14ac:dyDescent="0.25">
      <c r="A306" s="3" t="s">
        <v>6983</v>
      </c>
      <c r="B306" s="3" t="s">
        <v>6988</v>
      </c>
      <c r="C306" s="3" t="s">
        <v>6985</v>
      </c>
      <c r="D306" s="3" t="s">
        <v>1120</v>
      </c>
      <c r="E306" s="3">
        <v>305</v>
      </c>
      <c r="F306" s="3" t="s">
        <v>2395</v>
      </c>
      <c r="G306" s="3" t="s">
        <v>1093</v>
      </c>
      <c r="H306" s="3" t="str">
        <f t="shared" si="6"/>
        <v>Data QA applied on Lightship CG EW, computed by BMT WinMon.</v>
      </c>
    </row>
    <row r="307" spans="1:8" x14ac:dyDescent="0.25">
      <c r="A307" s="3" t="s">
        <v>6983</v>
      </c>
      <c r="B307" s="3" t="s">
        <v>6988</v>
      </c>
      <c r="C307" s="3" t="s">
        <v>6985</v>
      </c>
      <c r="D307" s="3" t="s">
        <v>1120</v>
      </c>
      <c r="E307" s="3">
        <v>306</v>
      </c>
      <c r="F307" s="3" t="s">
        <v>2396</v>
      </c>
      <c r="G307" s="3" t="s">
        <v>1093</v>
      </c>
      <c r="H307" s="3" t="str">
        <f t="shared" si="6"/>
        <v>Data QA applied on Lightship CG NS, computed by BMT WinMon.</v>
      </c>
    </row>
    <row r="308" spans="1:8" x14ac:dyDescent="0.25">
      <c r="A308" s="3" t="s">
        <v>6983</v>
      </c>
      <c r="B308" s="3" t="s">
        <v>6988</v>
      </c>
      <c r="C308" s="3" t="s">
        <v>6985</v>
      </c>
      <c r="D308" s="3" t="s">
        <v>1120</v>
      </c>
      <c r="E308" s="3">
        <v>307</v>
      </c>
      <c r="F308" s="3" t="s">
        <v>2397</v>
      </c>
      <c r="G308" s="3" t="s">
        <v>1101</v>
      </c>
      <c r="H308" s="3" t="str">
        <f t="shared" si="6"/>
        <v>Data QA applied on Lightship Moment Vert, computed by BMT WinMon.</v>
      </c>
    </row>
    <row r="309" spans="1:8" x14ac:dyDescent="0.25">
      <c r="A309" s="3" t="s">
        <v>6983</v>
      </c>
      <c r="B309" s="3" t="s">
        <v>6988</v>
      </c>
      <c r="C309" s="3" t="s">
        <v>6985</v>
      </c>
      <c r="D309" s="3" t="s">
        <v>1120</v>
      </c>
      <c r="E309" s="3">
        <v>308</v>
      </c>
      <c r="F309" s="3" t="s">
        <v>2398</v>
      </c>
      <c r="G309" s="3" t="s">
        <v>1101</v>
      </c>
      <c r="H309" s="3" t="str">
        <f t="shared" si="6"/>
        <v>Data QA applied on Lightship Moment EW, computed by BMT WinMon.</v>
      </c>
    </row>
    <row r="310" spans="1:8" x14ac:dyDescent="0.25">
      <c r="A310" s="3" t="s">
        <v>6983</v>
      </c>
      <c r="B310" s="3" t="s">
        <v>6988</v>
      </c>
      <c r="C310" s="3" t="s">
        <v>6985</v>
      </c>
      <c r="D310" s="3" t="s">
        <v>1120</v>
      </c>
      <c r="E310" s="3">
        <v>309</v>
      </c>
      <c r="F310" s="3" t="s">
        <v>2399</v>
      </c>
      <c r="G310" s="3" t="s">
        <v>1101</v>
      </c>
      <c r="H310" s="3" t="str">
        <f t="shared" si="6"/>
        <v>Data QA applied on Lightship Moment NS, computed by BMT WinMon.</v>
      </c>
    </row>
    <row r="311" spans="1:8" x14ac:dyDescent="0.25">
      <c r="A311" s="3" t="s">
        <v>6983</v>
      </c>
      <c r="B311" s="3" t="s">
        <v>6988</v>
      </c>
      <c r="C311" s="3" t="s">
        <v>6985</v>
      </c>
      <c r="D311" s="3" t="s">
        <v>740</v>
      </c>
      <c r="E311" s="3">
        <v>310</v>
      </c>
      <c r="F311" s="3" t="s">
        <v>87</v>
      </c>
      <c r="G311" s="3" t="s">
        <v>1093</v>
      </c>
      <c r="H311" s="3" t="s">
        <v>6816</v>
      </c>
    </row>
    <row r="312" spans="1:8" x14ac:dyDescent="0.25">
      <c r="A312" s="3" t="s">
        <v>6983</v>
      </c>
      <c r="B312" s="3" t="s">
        <v>6988</v>
      </c>
      <c r="C312" s="3" t="s">
        <v>6985</v>
      </c>
      <c r="D312" s="3" t="s">
        <v>744</v>
      </c>
      <c r="E312" s="3">
        <v>311</v>
      </c>
      <c r="F312" s="3" t="s">
        <v>88</v>
      </c>
      <c r="G312" s="3" t="s">
        <v>1093</v>
      </c>
      <c r="H312" s="3" t="s">
        <v>6820</v>
      </c>
    </row>
    <row r="313" spans="1:8" x14ac:dyDescent="0.25">
      <c r="A313" s="3" t="s">
        <v>6983</v>
      </c>
      <c r="B313" s="3" t="s">
        <v>6988</v>
      </c>
      <c r="C313" s="3" t="s">
        <v>6985</v>
      </c>
      <c r="D313" s="3" t="s">
        <v>748</v>
      </c>
      <c r="E313" s="3">
        <v>312</v>
      </c>
      <c r="F313" s="3" t="s">
        <v>89</v>
      </c>
      <c r="G313" s="3" t="s">
        <v>1093</v>
      </c>
      <c r="H313" s="3" t="s">
        <v>6821</v>
      </c>
    </row>
    <row r="314" spans="1:8" x14ac:dyDescent="0.25">
      <c r="A314" s="3" t="s">
        <v>6983</v>
      </c>
      <c r="B314" s="3" t="s">
        <v>6988</v>
      </c>
      <c r="C314" s="3" t="s">
        <v>6985</v>
      </c>
      <c r="D314" s="3" t="s">
        <v>752</v>
      </c>
      <c r="E314" s="3">
        <v>313</v>
      </c>
      <c r="F314" s="3" t="s">
        <v>90</v>
      </c>
      <c r="G314" s="3" t="s">
        <v>1093</v>
      </c>
      <c r="H314" s="3" t="s">
        <v>6822</v>
      </c>
    </row>
    <row r="315" spans="1:8" x14ac:dyDescent="0.25">
      <c r="A315" s="3" t="s">
        <v>6983</v>
      </c>
      <c r="B315" s="3" t="s">
        <v>6988</v>
      </c>
      <c r="C315" s="3" t="s">
        <v>6985</v>
      </c>
      <c r="D315" s="3" t="s">
        <v>2108</v>
      </c>
      <c r="E315" s="3">
        <v>314</v>
      </c>
      <c r="F315" s="3" t="s">
        <v>608</v>
      </c>
      <c r="G315" s="3" t="s">
        <v>1093</v>
      </c>
      <c r="H315" s="3" t="s">
        <v>40</v>
      </c>
    </row>
    <row r="316" spans="1:8" x14ac:dyDescent="0.25">
      <c r="A316" s="3" t="s">
        <v>6983</v>
      </c>
      <c r="B316" s="3" t="s">
        <v>6988</v>
      </c>
      <c r="C316" s="3" t="s">
        <v>6985</v>
      </c>
      <c r="D316" s="3" t="s">
        <v>2108</v>
      </c>
      <c r="E316" s="3">
        <v>315</v>
      </c>
      <c r="F316" s="3" t="s">
        <v>609</v>
      </c>
      <c r="G316" s="3" t="s">
        <v>1093</v>
      </c>
      <c r="H316" s="3" t="s">
        <v>41</v>
      </c>
    </row>
    <row r="317" spans="1:8" x14ac:dyDescent="0.25">
      <c r="A317" s="3" t="s">
        <v>6983</v>
      </c>
      <c r="B317" s="3" t="s">
        <v>6988</v>
      </c>
      <c r="C317" s="3" t="s">
        <v>6985</v>
      </c>
      <c r="D317" s="3" t="s">
        <v>2108</v>
      </c>
      <c r="E317" s="3">
        <v>316</v>
      </c>
      <c r="F317" s="3" t="s">
        <v>610</v>
      </c>
      <c r="G317" s="3" t="s">
        <v>17</v>
      </c>
      <c r="H317" s="4" t="s">
        <v>6614</v>
      </c>
    </row>
    <row r="318" spans="1:8" x14ac:dyDescent="0.25">
      <c r="A318" s="3" t="s">
        <v>6983</v>
      </c>
      <c r="B318" s="3" t="s">
        <v>6988</v>
      </c>
      <c r="C318" s="3" t="s">
        <v>6985</v>
      </c>
      <c r="D318" s="3" t="s">
        <v>2108</v>
      </c>
      <c r="E318" s="3">
        <v>317</v>
      </c>
      <c r="F318" s="3" t="s">
        <v>611</v>
      </c>
      <c r="G318" s="3" t="s">
        <v>4</v>
      </c>
      <c r="H318" s="3" t="s">
        <v>7008</v>
      </c>
    </row>
    <row r="319" spans="1:8" x14ac:dyDescent="0.25">
      <c r="A319" s="3" t="s">
        <v>6983</v>
      </c>
      <c r="B319" s="3" t="s">
        <v>6988</v>
      </c>
      <c r="C319" s="3" t="s">
        <v>6985</v>
      </c>
      <c r="D319" s="3" t="s">
        <v>2108</v>
      </c>
      <c r="E319" s="3">
        <v>318</v>
      </c>
      <c r="F319" s="3" t="s">
        <v>612</v>
      </c>
      <c r="G319" s="3" t="s">
        <v>4</v>
      </c>
      <c r="H319" s="3" t="s">
        <v>7009</v>
      </c>
    </row>
    <row r="320" spans="1:8" x14ac:dyDescent="0.25">
      <c r="A320" s="3" t="s">
        <v>6983</v>
      </c>
      <c r="B320" s="3" t="s">
        <v>6988</v>
      </c>
      <c r="C320" s="3" t="s">
        <v>6985</v>
      </c>
      <c r="D320" s="3" t="s">
        <v>2108</v>
      </c>
      <c r="E320" s="3">
        <v>319</v>
      </c>
      <c r="F320" s="3" t="s">
        <v>613</v>
      </c>
      <c r="G320" s="3" t="s">
        <v>19</v>
      </c>
      <c r="H320" s="3" t="s">
        <v>39</v>
      </c>
    </row>
    <row r="321" spans="1:8" x14ac:dyDescent="0.25">
      <c r="A321" s="3" t="s">
        <v>6983</v>
      </c>
      <c r="B321" s="3" t="s">
        <v>6988</v>
      </c>
      <c r="C321" s="3" t="s">
        <v>6985</v>
      </c>
      <c r="D321" s="3" t="s">
        <v>2108</v>
      </c>
      <c r="E321" s="3">
        <v>320</v>
      </c>
      <c r="F321" s="3" t="s">
        <v>614</v>
      </c>
      <c r="G321" s="3" t="s">
        <v>17</v>
      </c>
      <c r="H321" s="3" t="s">
        <v>43</v>
      </c>
    </row>
    <row r="322" spans="1:8" x14ac:dyDescent="0.25">
      <c r="A322" s="3" t="s">
        <v>6983</v>
      </c>
      <c r="B322" s="3" t="s">
        <v>6988</v>
      </c>
      <c r="C322" s="3" t="s">
        <v>6985</v>
      </c>
      <c r="D322" s="3" t="s">
        <v>2108</v>
      </c>
      <c r="E322" s="3">
        <v>321</v>
      </c>
      <c r="F322" s="3" t="s">
        <v>615</v>
      </c>
      <c r="G322" s="3" t="s">
        <v>4</v>
      </c>
      <c r="H322" s="3" t="s">
        <v>7010</v>
      </c>
    </row>
    <row r="323" spans="1:8" x14ac:dyDescent="0.25">
      <c r="A323" s="3" t="s">
        <v>6983</v>
      </c>
      <c r="B323" s="3" t="s">
        <v>6988</v>
      </c>
      <c r="C323" s="3" t="s">
        <v>6985</v>
      </c>
      <c r="D323" s="3" t="s">
        <v>2108</v>
      </c>
      <c r="E323" s="3">
        <v>322</v>
      </c>
      <c r="F323" s="3" t="s">
        <v>616</v>
      </c>
      <c r="G323" s="3" t="s">
        <v>17</v>
      </c>
      <c r="H323" s="3" t="s">
        <v>6942</v>
      </c>
    </row>
    <row r="324" spans="1:8" x14ac:dyDescent="0.25">
      <c r="A324" s="3" t="s">
        <v>6983</v>
      </c>
      <c r="B324" s="3" t="s">
        <v>6988</v>
      </c>
      <c r="C324" s="3" t="s">
        <v>6985</v>
      </c>
      <c r="D324" s="3" t="s">
        <v>2108</v>
      </c>
      <c r="E324" s="3">
        <v>323</v>
      </c>
      <c r="F324" s="3" t="s">
        <v>617</v>
      </c>
      <c r="G324" s="3" t="s">
        <v>17</v>
      </c>
      <c r="H324" s="3" t="s">
        <v>6942</v>
      </c>
    </row>
    <row r="325" spans="1:8" x14ac:dyDescent="0.25">
      <c r="A325" s="3" t="s">
        <v>6983</v>
      </c>
      <c r="B325" s="3" t="s">
        <v>6988</v>
      </c>
      <c r="C325" s="3" t="s">
        <v>6985</v>
      </c>
      <c r="D325" s="3" t="s">
        <v>2108</v>
      </c>
      <c r="E325" s="3">
        <v>324</v>
      </c>
      <c r="F325" s="3" t="s">
        <v>618</v>
      </c>
      <c r="G325" s="3" t="s">
        <v>13</v>
      </c>
      <c r="H325" s="3" t="s">
        <v>1140</v>
      </c>
    </row>
    <row r="326" spans="1:8" x14ac:dyDescent="0.25">
      <c r="A326" s="3" t="s">
        <v>6983</v>
      </c>
      <c r="B326" s="3" t="s">
        <v>6988</v>
      </c>
      <c r="C326" s="3" t="s">
        <v>6985</v>
      </c>
      <c r="D326" s="3" t="s">
        <v>2108</v>
      </c>
      <c r="E326" s="3">
        <v>325</v>
      </c>
      <c r="F326" s="3" t="s">
        <v>619</v>
      </c>
      <c r="G326" s="3" t="s">
        <v>4</v>
      </c>
      <c r="H326" s="3" t="s">
        <v>7011</v>
      </c>
    </row>
    <row r="327" spans="1:8" x14ac:dyDescent="0.25">
      <c r="A327" s="3" t="s">
        <v>6983</v>
      </c>
      <c r="B327" s="3" t="s">
        <v>6988</v>
      </c>
      <c r="C327" s="3" t="s">
        <v>6985</v>
      </c>
      <c r="D327" s="3" t="s">
        <v>2108</v>
      </c>
      <c r="E327" s="3">
        <v>326</v>
      </c>
      <c r="F327" s="3" t="s">
        <v>620</v>
      </c>
      <c r="G327" s="3" t="s">
        <v>17</v>
      </c>
      <c r="H327" s="3" t="s">
        <v>6943</v>
      </c>
    </row>
    <row r="328" spans="1:8" x14ac:dyDescent="0.25">
      <c r="A328" s="3" t="s">
        <v>6983</v>
      </c>
      <c r="B328" s="3" t="s">
        <v>6988</v>
      </c>
      <c r="C328" s="3" t="s">
        <v>6985</v>
      </c>
      <c r="D328" s="3" t="s">
        <v>2108</v>
      </c>
      <c r="E328" s="3">
        <v>327</v>
      </c>
      <c r="F328" s="3" t="s">
        <v>621</v>
      </c>
      <c r="G328" s="3" t="s">
        <v>17</v>
      </c>
      <c r="H328" s="3" t="s">
        <v>6943</v>
      </c>
    </row>
    <row r="329" spans="1:8" x14ac:dyDescent="0.25">
      <c r="A329" s="3" t="s">
        <v>6983</v>
      </c>
      <c r="B329" s="3" t="s">
        <v>6988</v>
      </c>
      <c r="C329" s="3" t="s">
        <v>6985</v>
      </c>
      <c r="D329" s="3" t="s">
        <v>6322</v>
      </c>
      <c r="E329" s="3">
        <v>328</v>
      </c>
      <c r="F329" s="3" t="s">
        <v>622</v>
      </c>
      <c r="G329" s="3" t="s">
        <v>13</v>
      </c>
      <c r="H329" s="3" t="s">
        <v>1145</v>
      </c>
    </row>
    <row r="330" spans="1:8" x14ac:dyDescent="0.25">
      <c r="A330" s="3" t="s">
        <v>6983</v>
      </c>
      <c r="B330" s="3" t="s">
        <v>6988</v>
      </c>
      <c r="C330" s="3" t="s">
        <v>6985</v>
      </c>
      <c r="D330" s="3" t="s">
        <v>6322</v>
      </c>
      <c r="E330" s="3">
        <v>329</v>
      </c>
      <c r="F330" s="3" t="s">
        <v>623</v>
      </c>
      <c r="G330" s="3" t="s">
        <v>13</v>
      </c>
      <c r="H330" s="3" t="s">
        <v>1146</v>
      </c>
    </row>
    <row r="331" spans="1:8" x14ac:dyDescent="0.25">
      <c r="A331" s="3" t="s">
        <v>6983</v>
      </c>
      <c r="B331" s="3" t="s">
        <v>6988</v>
      </c>
      <c r="C331" s="3" t="s">
        <v>6985</v>
      </c>
      <c r="D331" s="3" t="s">
        <v>6322</v>
      </c>
      <c r="E331" s="3">
        <v>330</v>
      </c>
      <c r="F331" s="3" t="s">
        <v>624</v>
      </c>
      <c r="G331" s="3" t="s">
        <v>9</v>
      </c>
      <c r="H331" s="3" t="s">
        <v>7012</v>
      </c>
    </row>
    <row r="332" spans="1:8" x14ac:dyDescent="0.25">
      <c r="A332" s="3" t="s">
        <v>6983</v>
      </c>
      <c r="B332" s="3" t="s">
        <v>6988</v>
      </c>
      <c r="C332" s="3" t="s">
        <v>6985</v>
      </c>
      <c r="D332" s="3" t="s">
        <v>6322</v>
      </c>
      <c r="E332" s="3">
        <v>331</v>
      </c>
      <c r="F332" s="3" t="s">
        <v>625</v>
      </c>
      <c r="G332" s="3" t="s">
        <v>1093</v>
      </c>
      <c r="H332" s="3" t="s">
        <v>1147</v>
      </c>
    </row>
    <row r="333" spans="1:8" x14ac:dyDescent="0.25">
      <c r="A333" s="3" t="s">
        <v>6983</v>
      </c>
      <c r="B333" s="3" t="s">
        <v>6988</v>
      </c>
      <c r="C333" s="3" t="s">
        <v>6985</v>
      </c>
      <c r="D333" s="3" t="s">
        <v>6322</v>
      </c>
      <c r="E333" s="3">
        <v>332</v>
      </c>
      <c r="F333" s="3" t="s">
        <v>626</v>
      </c>
      <c r="G333" s="3" t="s">
        <v>13</v>
      </c>
      <c r="H333" s="3" t="s">
        <v>1148</v>
      </c>
    </row>
    <row r="334" spans="1:8" x14ac:dyDescent="0.25">
      <c r="A334" s="3" t="s">
        <v>6983</v>
      </c>
      <c r="B334" s="3" t="s">
        <v>6988</v>
      </c>
      <c r="C334" s="3" t="s">
        <v>6985</v>
      </c>
      <c r="D334" s="3" t="s">
        <v>6322</v>
      </c>
      <c r="E334" s="3">
        <v>333</v>
      </c>
      <c r="F334" s="3" t="s">
        <v>627</v>
      </c>
      <c r="G334" s="3" t="s">
        <v>13</v>
      </c>
      <c r="H334" s="3" t="s">
        <v>1149</v>
      </c>
    </row>
    <row r="335" spans="1:8" x14ac:dyDescent="0.25">
      <c r="A335" s="3" t="s">
        <v>6983</v>
      </c>
      <c r="B335" s="3" t="s">
        <v>6988</v>
      </c>
      <c r="C335" s="3" t="s">
        <v>6985</v>
      </c>
      <c r="D335" s="3" t="s">
        <v>6322</v>
      </c>
      <c r="E335" s="3">
        <v>334</v>
      </c>
      <c r="F335" s="3" t="s">
        <v>628</v>
      </c>
      <c r="G335" s="3" t="s">
        <v>9</v>
      </c>
      <c r="H335" s="3" t="s">
        <v>7013</v>
      </c>
    </row>
    <row r="336" spans="1:8" x14ac:dyDescent="0.25">
      <c r="A336" s="3" t="s">
        <v>6983</v>
      </c>
      <c r="B336" s="3" t="s">
        <v>6988</v>
      </c>
      <c r="C336" s="3" t="s">
        <v>6985</v>
      </c>
      <c r="D336" s="3" t="s">
        <v>6322</v>
      </c>
      <c r="E336" s="3">
        <v>335</v>
      </c>
      <c r="F336" s="3" t="s">
        <v>629</v>
      </c>
      <c r="G336" s="3" t="s">
        <v>1093</v>
      </c>
      <c r="H336" s="3" t="s">
        <v>1150</v>
      </c>
    </row>
    <row r="337" spans="1:8" x14ac:dyDescent="0.25">
      <c r="A337" s="3" t="s">
        <v>6983</v>
      </c>
      <c r="B337" s="3" t="s">
        <v>6988</v>
      </c>
      <c r="C337" s="3" t="s">
        <v>6985</v>
      </c>
      <c r="D337" s="3" t="s">
        <v>6322</v>
      </c>
      <c r="E337" s="3">
        <v>336</v>
      </c>
      <c r="F337" s="3" t="s">
        <v>630</v>
      </c>
      <c r="G337" s="3" t="s">
        <v>13</v>
      </c>
      <c r="H337" s="3" t="s">
        <v>1151</v>
      </c>
    </row>
    <row r="338" spans="1:8" x14ac:dyDescent="0.25">
      <c r="A338" s="3" t="s">
        <v>6983</v>
      </c>
      <c r="B338" s="3" t="s">
        <v>6988</v>
      </c>
      <c r="C338" s="3" t="s">
        <v>6985</v>
      </c>
      <c r="D338" s="3" t="s">
        <v>6322</v>
      </c>
      <c r="E338" s="3">
        <v>337</v>
      </c>
      <c r="F338" s="3" t="s">
        <v>631</v>
      </c>
      <c r="G338" s="3" t="s">
        <v>13</v>
      </c>
      <c r="H338" s="3" t="s">
        <v>1152</v>
      </c>
    </row>
    <row r="339" spans="1:8" x14ac:dyDescent="0.25">
      <c r="A339" s="3" t="s">
        <v>6983</v>
      </c>
      <c r="B339" s="3" t="s">
        <v>6988</v>
      </c>
      <c r="C339" s="3" t="s">
        <v>6985</v>
      </c>
      <c r="D339" s="3" t="s">
        <v>6322</v>
      </c>
      <c r="E339" s="3">
        <v>338</v>
      </c>
      <c r="F339" s="3" t="s">
        <v>632</v>
      </c>
      <c r="G339" s="3" t="s">
        <v>9</v>
      </c>
      <c r="H339" s="3" t="s">
        <v>7014</v>
      </c>
    </row>
    <row r="340" spans="1:8" x14ac:dyDescent="0.25">
      <c r="A340" s="3" t="s">
        <v>6983</v>
      </c>
      <c r="B340" s="3" t="s">
        <v>6988</v>
      </c>
      <c r="C340" s="3" t="s">
        <v>6985</v>
      </c>
      <c r="D340" s="3" t="s">
        <v>6322</v>
      </c>
      <c r="E340" s="3">
        <v>339</v>
      </c>
      <c r="F340" s="3" t="s">
        <v>633</v>
      </c>
      <c r="G340" s="3" t="s">
        <v>1093</v>
      </c>
      <c r="H340" s="3" t="s">
        <v>1153</v>
      </c>
    </row>
    <row r="341" spans="1:8" x14ac:dyDescent="0.25">
      <c r="A341" s="3" t="s">
        <v>6983</v>
      </c>
      <c r="B341" s="3" t="s">
        <v>6988</v>
      </c>
      <c r="C341" s="3" t="s">
        <v>6985</v>
      </c>
      <c r="D341" s="3" t="s">
        <v>6322</v>
      </c>
      <c r="E341" s="3">
        <v>340</v>
      </c>
      <c r="F341" s="3" t="s">
        <v>634</v>
      </c>
      <c r="G341" s="3" t="s">
        <v>13</v>
      </c>
      <c r="H341" s="3" t="s">
        <v>1154</v>
      </c>
    </row>
    <row r="342" spans="1:8" x14ac:dyDescent="0.25">
      <c r="A342" s="3" t="s">
        <v>6983</v>
      </c>
      <c r="B342" s="3" t="s">
        <v>6988</v>
      </c>
      <c r="C342" s="3" t="s">
        <v>6985</v>
      </c>
      <c r="D342" s="3" t="s">
        <v>6322</v>
      </c>
      <c r="E342" s="3">
        <v>341</v>
      </c>
      <c r="F342" s="3" t="s">
        <v>635</v>
      </c>
      <c r="G342" s="3" t="s">
        <v>13</v>
      </c>
      <c r="H342" s="3" t="s">
        <v>1155</v>
      </c>
    </row>
    <row r="343" spans="1:8" x14ac:dyDescent="0.25">
      <c r="A343" s="3" t="s">
        <v>6983</v>
      </c>
      <c r="B343" s="3" t="s">
        <v>6988</v>
      </c>
      <c r="C343" s="3" t="s">
        <v>6985</v>
      </c>
      <c r="D343" s="3" t="s">
        <v>6322</v>
      </c>
      <c r="E343" s="3">
        <v>342</v>
      </c>
      <c r="F343" s="3" t="s">
        <v>636</v>
      </c>
      <c r="G343" s="3" t="s">
        <v>9</v>
      </c>
      <c r="H343" s="3" t="s">
        <v>7015</v>
      </c>
    </row>
    <row r="344" spans="1:8" x14ac:dyDescent="0.25">
      <c r="A344" s="3" t="s">
        <v>6983</v>
      </c>
      <c r="B344" s="3" t="s">
        <v>6988</v>
      </c>
      <c r="C344" s="3" t="s">
        <v>6985</v>
      </c>
      <c r="D344" s="3" t="s">
        <v>6322</v>
      </c>
      <c r="E344" s="3">
        <v>343</v>
      </c>
      <c r="F344" s="3" t="s">
        <v>637</v>
      </c>
      <c r="G344" s="3" t="s">
        <v>1093</v>
      </c>
      <c r="H344" s="3" t="s">
        <v>1156</v>
      </c>
    </row>
    <row r="345" spans="1:8" x14ac:dyDescent="0.25">
      <c r="A345" s="3" t="s">
        <v>6983</v>
      </c>
      <c r="B345" s="3" t="s">
        <v>6988</v>
      </c>
      <c r="C345" s="3" t="s">
        <v>6985</v>
      </c>
      <c r="D345" s="3" t="s">
        <v>6322</v>
      </c>
      <c r="E345" s="3">
        <v>344</v>
      </c>
      <c r="F345" s="3" t="s">
        <v>638</v>
      </c>
      <c r="G345" s="3" t="s">
        <v>13</v>
      </c>
      <c r="H345" s="3" t="s">
        <v>1157</v>
      </c>
    </row>
    <row r="346" spans="1:8" x14ac:dyDescent="0.25">
      <c r="A346" s="3" t="s">
        <v>6983</v>
      </c>
      <c r="B346" s="3" t="s">
        <v>6988</v>
      </c>
      <c r="C346" s="3" t="s">
        <v>6985</v>
      </c>
      <c r="D346" s="3" t="s">
        <v>6322</v>
      </c>
      <c r="E346" s="3">
        <v>345</v>
      </c>
      <c r="F346" s="3" t="s">
        <v>639</v>
      </c>
      <c r="G346" s="3" t="s">
        <v>13</v>
      </c>
      <c r="H346" s="3" t="s">
        <v>1158</v>
      </c>
    </row>
    <row r="347" spans="1:8" x14ac:dyDescent="0.25">
      <c r="A347" s="3" t="s">
        <v>6983</v>
      </c>
      <c r="B347" s="3" t="s">
        <v>6988</v>
      </c>
      <c r="C347" s="3" t="s">
        <v>6985</v>
      </c>
      <c r="D347" s="3" t="s">
        <v>6322</v>
      </c>
      <c r="E347" s="3">
        <v>346</v>
      </c>
      <c r="F347" s="3" t="s">
        <v>640</v>
      </c>
      <c r="G347" s="3" t="s">
        <v>9</v>
      </c>
      <c r="H347" s="3" t="s">
        <v>7016</v>
      </c>
    </row>
    <row r="348" spans="1:8" x14ac:dyDescent="0.25">
      <c r="A348" s="3" t="s">
        <v>6983</v>
      </c>
      <c r="B348" s="3" t="s">
        <v>6988</v>
      </c>
      <c r="C348" s="3" t="s">
        <v>6985</v>
      </c>
      <c r="D348" s="3" t="s">
        <v>6322</v>
      </c>
      <c r="E348" s="3">
        <v>347</v>
      </c>
      <c r="F348" s="3" t="s">
        <v>641</v>
      </c>
      <c r="G348" s="3" t="s">
        <v>1093</v>
      </c>
      <c r="H348" s="3" t="s">
        <v>1159</v>
      </c>
    </row>
    <row r="349" spans="1:8" x14ac:dyDescent="0.25">
      <c r="A349" s="3" t="s">
        <v>6983</v>
      </c>
      <c r="B349" s="3" t="s">
        <v>6988</v>
      </c>
      <c r="C349" s="3" t="s">
        <v>6985</v>
      </c>
      <c r="D349" s="3" t="s">
        <v>6322</v>
      </c>
      <c r="E349" s="3">
        <v>348</v>
      </c>
      <c r="F349" s="3" t="s">
        <v>642</v>
      </c>
      <c r="G349" s="3" t="s">
        <v>13</v>
      </c>
      <c r="H349" s="3" t="s">
        <v>1160</v>
      </c>
    </row>
    <row r="350" spans="1:8" x14ac:dyDescent="0.25">
      <c r="A350" s="3" t="s">
        <v>6983</v>
      </c>
      <c r="B350" s="3" t="s">
        <v>6988</v>
      </c>
      <c r="C350" s="3" t="s">
        <v>6985</v>
      </c>
      <c r="D350" s="3" t="s">
        <v>6322</v>
      </c>
      <c r="E350" s="3">
        <v>349</v>
      </c>
      <c r="F350" s="3" t="s">
        <v>643</v>
      </c>
      <c r="G350" s="3" t="s">
        <v>13</v>
      </c>
      <c r="H350" s="3" t="s">
        <v>1161</v>
      </c>
    </row>
    <row r="351" spans="1:8" x14ac:dyDescent="0.25">
      <c r="A351" s="3" t="s">
        <v>6983</v>
      </c>
      <c r="B351" s="3" t="s">
        <v>6988</v>
      </c>
      <c r="C351" s="3" t="s">
        <v>6985</v>
      </c>
      <c r="D351" s="3" t="s">
        <v>6322</v>
      </c>
      <c r="E351" s="3">
        <v>350</v>
      </c>
      <c r="F351" s="3" t="s">
        <v>644</v>
      </c>
      <c r="G351" s="3" t="s">
        <v>9</v>
      </c>
      <c r="H351" s="3" t="s">
        <v>7017</v>
      </c>
    </row>
    <row r="352" spans="1:8" x14ac:dyDescent="0.25">
      <c r="A352" s="3" t="s">
        <v>6983</v>
      </c>
      <c r="B352" s="3" t="s">
        <v>6988</v>
      </c>
      <c r="C352" s="3" t="s">
        <v>6985</v>
      </c>
      <c r="D352" s="3" t="s">
        <v>6322</v>
      </c>
      <c r="E352" s="3">
        <v>351</v>
      </c>
      <c r="F352" s="3" t="s">
        <v>645</v>
      </c>
      <c r="G352" s="3" t="s">
        <v>1093</v>
      </c>
      <c r="H352" s="3" t="s">
        <v>1162</v>
      </c>
    </row>
    <row r="353" spans="1:8" x14ac:dyDescent="0.25">
      <c r="A353" s="3" t="s">
        <v>6983</v>
      </c>
      <c r="B353" s="3" t="s">
        <v>6988</v>
      </c>
      <c r="C353" s="3" t="s">
        <v>6985</v>
      </c>
      <c r="D353" s="3" t="s">
        <v>6322</v>
      </c>
      <c r="E353" s="3">
        <v>352</v>
      </c>
      <c r="F353" s="3" t="s">
        <v>646</v>
      </c>
      <c r="G353" s="3" t="s">
        <v>13</v>
      </c>
      <c r="H353" s="3" t="s">
        <v>1163</v>
      </c>
    </row>
    <row r="354" spans="1:8" x14ac:dyDescent="0.25">
      <c r="A354" s="3" t="s">
        <v>6983</v>
      </c>
      <c r="B354" s="3" t="s">
        <v>6988</v>
      </c>
      <c r="C354" s="3" t="s">
        <v>6985</v>
      </c>
      <c r="D354" s="3" t="s">
        <v>6322</v>
      </c>
      <c r="E354" s="3">
        <v>353</v>
      </c>
      <c r="F354" s="3" t="s">
        <v>647</v>
      </c>
      <c r="G354" s="3" t="s">
        <v>13</v>
      </c>
      <c r="H354" s="3" t="s">
        <v>1164</v>
      </c>
    </row>
    <row r="355" spans="1:8" x14ac:dyDescent="0.25">
      <c r="A355" s="3" t="s">
        <v>6983</v>
      </c>
      <c r="B355" s="3" t="s">
        <v>6988</v>
      </c>
      <c r="C355" s="3" t="s">
        <v>6985</v>
      </c>
      <c r="D355" s="3" t="s">
        <v>6322</v>
      </c>
      <c r="E355" s="3">
        <v>354</v>
      </c>
      <c r="F355" s="3" t="s">
        <v>648</v>
      </c>
      <c r="G355" s="3" t="s">
        <v>9</v>
      </c>
      <c r="H355" s="3" t="s">
        <v>7018</v>
      </c>
    </row>
    <row r="356" spans="1:8" x14ac:dyDescent="0.25">
      <c r="A356" s="3" t="s">
        <v>6983</v>
      </c>
      <c r="B356" s="3" t="s">
        <v>6988</v>
      </c>
      <c r="C356" s="3" t="s">
        <v>6985</v>
      </c>
      <c r="D356" s="3" t="s">
        <v>6322</v>
      </c>
      <c r="E356" s="3">
        <v>355</v>
      </c>
      <c r="F356" s="3" t="s">
        <v>649</v>
      </c>
      <c r="G356" s="3" t="s">
        <v>1093</v>
      </c>
      <c r="H356" s="3" t="s">
        <v>1165</v>
      </c>
    </row>
    <row r="357" spans="1:8" x14ac:dyDescent="0.25">
      <c r="A357" s="3" t="s">
        <v>6983</v>
      </c>
      <c r="B357" s="3" t="s">
        <v>6988</v>
      </c>
      <c r="C357" s="3" t="s">
        <v>6985</v>
      </c>
      <c r="D357" s="3" t="s">
        <v>6322</v>
      </c>
      <c r="E357" s="3">
        <v>356</v>
      </c>
      <c r="F357" s="3" t="s">
        <v>650</v>
      </c>
      <c r="G357" s="3" t="s">
        <v>13</v>
      </c>
      <c r="H357" s="3" t="s">
        <v>1166</v>
      </c>
    </row>
    <row r="358" spans="1:8" x14ac:dyDescent="0.25">
      <c r="A358" s="3" t="s">
        <v>6983</v>
      </c>
      <c r="B358" s="3" t="s">
        <v>6988</v>
      </c>
      <c r="C358" s="3" t="s">
        <v>6985</v>
      </c>
      <c r="D358" s="3" t="s">
        <v>6322</v>
      </c>
      <c r="E358" s="3">
        <v>357</v>
      </c>
      <c r="F358" s="3" t="s">
        <v>651</v>
      </c>
      <c r="G358" s="3" t="s">
        <v>13</v>
      </c>
      <c r="H358" s="3" t="s">
        <v>1167</v>
      </c>
    </row>
    <row r="359" spans="1:8" x14ac:dyDescent="0.25">
      <c r="A359" s="3" t="s">
        <v>6983</v>
      </c>
      <c r="B359" s="3" t="s">
        <v>6988</v>
      </c>
      <c r="C359" s="3" t="s">
        <v>6985</v>
      </c>
      <c r="D359" s="3" t="s">
        <v>6322</v>
      </c>
      <c r="E359" s="3">
        <v>358</v>
      </c>
      <c r="F359" s="3" t="s">
        <v>652</v>
      </c>
      <c r="G359" s="3" t="s">
        <v>9</v>
      </c>
      <c r="H359" s="3" t="s">
        <v>7019</v>
      </c>
    </row>
    <row r="360" spans="1:8" x14ac:dyDescent="0.25">
      <c r="A360" s="3" t="s">
        <v>6983</v>
      </c>
      <c r="B360" s="3" t="s">
        <v>6988</v>
      </c>
      <c r="C360" s="3" t="s">
        <v>6985</v>
      </c>
      <c r="D360" s="3" t="s">
        <v>6322</v>
      </c>
      <c r="E360" s="3">
        <v>359</v>
      </c>
      <c r="F360" s="3" t="s">
        <v>653</v>
      </c>
      <c r="G360" s="3" t="s">
        <v>1093</v>
      </c>
      <c r="H360" s="3" t="s">
        <v>1168</v>
      </c>
    </row>
    <row r="361" spans="1:8" x14ac:dyDescent="0.25">
      <c r="A361" s="3" t="s">
        <v>6983</v>
      </c>
      <c r="B361" s="3" t="s">
        <v>6988</v>
      </c>
      <c r="C361" s="3" t="s">
        <v>6985</v>
      </c>
      <c r="D361" s="3" t="s">
        <v>6322</v>
      </c>
      <c r="E361" s="3">
        <v>360</v>
      </c>
      <c r="F361" s="3" t="s">
        <v>654</v>
      </c>
      <c r="G361" s="3" t="s">
        <v>13</v>
      </c>
      <c r="H361" s="3" t="s">
        <v>1169</v>
      </c>
    </row>
    <row r="362" spans="1:8" x14ac:dyDescent="0.25">
      <c r="A362" s="3" t="s">
        <v>6983</v>
      </c>
      <c r="B362" s="3" t="s">
        <v>6988</v>
      </c>
      <c r="C362" s="3" t="s">
        <v>6985</v>
      </c>
      <c r="D362" s="3" t="s">
        <v>6322</v>
      </c>
      <c r="E362" s="3">
        <v>361</v>
      </c>
      <c r="F362" s="3" t="s">
        <v>655</v>
      </c>
      <c r="G362" s="3" t="s">
        <v>13</v>
      </c>
      <c r="H362" s="3" t="s">
        <v>1170</v>
      </c>
    </row>
    <row r="363" spans="1:8" x14ac:dyDescent="0.25">
      <c r="A363" s="3" t="s">
        <v>6983</v>
      </c>
      <c r="B363" s="3" t="s">
        <v>6988</v>
      </c>
      <c r="C363" s="3" t="s">
        <v>6985</v>
      </c>
      <c r="D363" s="3" t="s">
        <v>6322</v>
      </c>
      <c r="E363" s="3">
        <v>362</v>
      </c>
      <c r="F363" s="3" t="s">
        <v>656</v>
      </c>
      <c r="G363" s="3" t="s">
        <v>9</v>
      </c>
      <c r="H363" s="3" t="s">
        <v>7020</v>
      </c>
    </row>
    <row r="364" spans="1:8" x14ac:dyDescent="0.25">
      <c r="A364" s="3" t="s">
        <v>6983</v>
      </c>
      <c r="B364" s="3" t="s">
        <v>6988</v>
      </c>
      <c r="C364" s="3" t="s">
        <v>6985</v>
      </c>
      <c r="D364" s="3" t="s">
        <v>6322</v>
      </c>
      <c r="E364" s="3">
        <v>363</v>
      </c>
      <c r="F364" s="3" t="s">
        <v>657</v>
      </c>
      <c r="G364" s="3" t="s">
        <v>1093</v>
      </c>
      <c r="H364" s="3" t="s">
        <v>1171</v>
      </c>
    </row>
    <row r="365" spans="1:8" x14ac:dyDescent="0.25">
      <c r="A365" s="3" t="s">
        <v>6983</v>
      </c>
      <c r="B365" s="3" t="s">
        <v>6988</v>
      </c>
      <c r="C365" s="3" t="s">
        <v>6985</v>
      </c>
      <c r="D365" s="3" t="s">
        <v>6322</v>
      </c>
      <c r="E365" s="3">
        <v>364</v>
      </c>
      <c r="F365" s="3" t="s">
        <v>658</v>
      </c>
      <c r="G365" s="3" t="s">
        <v>13</v>
      </c>
      <c r="H365" s="3" t="s">
        <v>1172</v>
      </c>
    </row>
    <row r="366" spans="1:8" x14ac:dyDescent="0.25">
      <c r="A366" s="3" t="s">
        <v>6983</v>
      </c>
      <c r="B366" s="3" t="s">
        <v>6988</v>
      </c>
      <c r="C366" s="3" t="s">
        <v>6985</v>
      </c>
      <c r="D366" s="3" t="s">
        <v>6322</v>
      </c>
      <c r="E366" s="3">
        <v>365</v>
      </c>
      <c r="F366" s="3" t="s">
        <v>659</v>
      </c>
      <c r="G366" s="3" t="s">
        <v>13</v>
      </c>
      <c r="H366" s="3" t="s">
        <v>1173</v>
      </c>
    </row>
    <row r="367" spans="1:8" x14ac:dyDescent="0.25">
      <c r="A367" s="3" t="s">
        <v>6983</v>
      </c>
      <c r="B367" s="3" t="s">
        <v>6988</v>
      </c>
      <c r="C367" s="3" t="s">
        <v>6985</v>
      </c>
      <c r="D367" s="3" t="s">
        <v>6322</v>
      </c>
      <c r="E367" s="3">
        <v>366</v>
      </c>
      <c r="F367" s="3" t="s">
        <v>660</v>
      </c>
      <c r="G367" s="3" t="s">
        <v>9</v>
      </c>
      <c r="H367" s="3" t="s">
        <v>7021</v>
      </c>
    </row>
    <row r="368" spans="1:8" x14ac:dyDescent="0.25">
      <c r="A368" s="3" t="s">
        <v>6983</v>
      </c>
      <c r="B368" s="3" t="s">
        <v>6988</v>
      </c>
      <c r="C368" s="3" t="s">
        <v>6985</v>
      </c>
      <c r="D368" s="3" t="s">
        <v>6322</v>
      </c>
      <c r="E368" s="3">
        <v>367</v>
      </c>
      <c r="F368" s="3" t="s">
        <v>661</v>
      </c>
      <c r="G368" s="3" t="s">
        <v>1093</v>
      </c>
      <c r="H368" s="3" t="s">
        <v>1174</v>
      </c>
    </row>
    <row r="369" spans="1:8" x14ac:dyDescent="0.25">
      <c r="A369" s="3" t="s">
        <v>6983</v>
      </c>
      <c r="B369" s="3" t="s">
        <v>6988</v>
      </c>
      <c r="C369" s="3" t="s">
        <v>6985</v>
      </c>
      <c r="D369" s="3" t="s">
        <v>6322</v>
      </c>
      <c r="E369" s="3">
        <v>368</v>
      </c>
      <c r="F369" s="3" t="s">
        <v>662</v>
      </c>
      <c r="G369" s="3" t="s">
        <v>13</v>
      </c>
      <c r="H369" s="3" t="s">
        <v>1175</v>
      </c>
    </row>
    <row r="370" spans="1:8" x14ac:dyDescent="0.25">
      <c r="A370" s="3" t="s">
        <v>6983</v>
      </c>
      <c r="B370" s="3" t="s">
        <v>6988</v>
      </c>
      <c r="C370" s="3" t="s">
        <v>6985</v>
      </c>
      <c r="D370" s="3" t="s">
        <v>6322</v>
      </c>
      <c r="E370" s="3">
        <v>369</v>
      </c>
      <c r="F370" s="3" t="s">
        <v>663</v>
      </c>
      <c r="G370" s="3" t="s">
        <v>13</v>
      </c>
      <c r="H370" s="3" t="s">
        <v>1176</v>
      </c>
    </row>
    <row r="371" spans="1:8" x14ac:dyDescent="0.25">
      <c r="A371" s="3" t="s">
        <v>6983</v>
      </c>
      <c r="B371" s="3" t="s">
        <v>6988</v>
      </c>
      <c r="C371" s="3" t="s">
        <v>6985</v>
      </c>
      <c r="D371" s="3" t="s">
        <v>6322</v>
      </c>
      <c r="E371" s="3">
        <v>370</v>
      </c>
      <c r="F371" s="3" t="s">
        <v>664</v>
      </c>
      <c r="G371" s="3" t="s">
        <v>9</v>
      </c>
      <c r="H371" s="3" t="s">
        <v>7022</v>
      </c>
    </row>
    <row r="372" spans="1:8" x14ac:dyDescent="0.25">
      <c r="A372" s="3" t="s">
        <v>6983</v>
      </c>
      <c r="B372" s="3" t="s">
        <v>6988</v>
      </c>
      <c r="C372" s="3" t="s">
        <v>6985</v>
      </c>
      <c r="D372" s="3" t="s">
        <v>6322</v>
      </c>
      <c r="E372" s="3">
        <v>371</v>
      </c>
      <c r="F372" s="3" t="s">
        <v>665</v>
      </c>
      <c r="G372" s="3" t="s">
        <v>1093</v>
      </c>
      <c r="H372" s="3" t="s">
        <v>1177</v>
      </c>
    </row>
    <row r="373" spans="1:8" x14ac:dyDescent="0.25">
      <c r="A373" s="3" t="s">
        <v>6983</v>
      </c>
      <c r="B373" s="3" t="s">
        <v>6988</v>
      </c>
      <c r="C373" s="3" t="s">
        <v>6985</v>
      </c>
      <c r="D373" s="3" t="s">
        <v>6322</v>
      </c>
      <c r="E373" s="3">
        <v>372</v>
      </c>
      <c r="F373" s="3" t="s">
        <v>666</v>
      </c>
      <c r="G373" s="3" t="s">
        <v>1104</v>
      </c>
      <c r="H373" s="3" t="s">
        <v>1262</v>
      </c>
    </row>
    <row r="374" spans="1:8" x14ac:dyDescent="0.25">
      <c r="A374" s="3" t="s">
        <v>6983</v>
      </c>
      <c r="B374" s="3" t="s">
        <v>6988</v>
      </c>
      <c r="C374" s="3" t="s">
        <v>6985</v>
      </c>
      <c r="D374" s="3" t="s">
        <v>6322</v>
      </c>
      <c r="E374" s="3">
        <v>373</v>
      </c>
      <c r="F374" s="3" t="s">
        <v>667</v>
      </c>
      <c r="G374" s="3" t="s">
        <v>1104</v>
      </c>
      <c r="H374" s="3" t="s">
        <v>1263</v>
      </c>
    </row>
    <row r="375" spans="1:8" x14ac:dyDescent="0.25">
      <c r="A375" s="3" t="s">
        <v>6983</v>
      </c>
      <c r="B375" s="3" t="s">
        <v>6988</v>
      </c>
      <c r="C375" s="3" t="s">
        <v>6985</v>
      </c>
      <c r="D375" s="3" t="s">
        <v>6322</v>
      </c>
      <c r="E375" s="3">
        <v>374</v>
      </c>
      <c r="F375" s="3" t="s">
        <v>668</v>
      </c>
      <c r="G375" s="3" t="s">
        <v>1105</v>
      </c>
      <c r="H375" s="3" t="s">
        <v>1264</v>
      </c>
    </row>
    <row r="376" spans="1:8" x14ac:dyDescent="0.25">
      <c r="A376" s="3" t="s">
        <v>6983</v>
      </c>
      <c r="B376" s="3" t="s">
        <v>6988</v>
      </c>
      <c r="C376" s="3" t="s">
        <v>6985</v>
      </c>
      <c r="D376" s="3" t="s">
        <v>6322</v>
      </c>
      <c r="E376" s="3">
        <v>375</v>
      </c>
      <c r="F376" s="3" t="s">
        <v>669</v>
      </c>
      <c r="G376" s="3" t="s">
        <v>1105</v>
      </c>
      <c r="H376" s="3" t="s">
        <v>1265</v>
      </c>
    </row>
    <row r="377" spans="1:8" x14ac:dyDescent="0.25">
      <c r="A377" s="3" t="s">
        <v>6983</v>
      </c>
      <c r="B377" s="3" t="s">
        <v>6988</v>
      </c>
      <c r="C377" s="3" t="s">
        <v>6985</v>
      </c>
      <c r="D377" s="3" t="s">
        <v>6322</v>
      </c>
      <c r="E377" s="3">
        <v>376</v>
      </c>
      <c r="F377" s="3" t="s">
        <v>670</v>
      </c>
      <c r="G377" s="3" t="s">
        <v>16</v>
      </c>
      <c r="H377" s="3" t="s">
        <v>1261</v>
      </c>
    </row>
    <row r="378" spans="1:8" x14ac:dyDescent="0.25">
      <c r="A378" s="3" t="s">
        <v>6983</v>
      </c>
      <c r="B378" s="3" t="s">
        <v>6988</v>
      </c>
      <c r="C378" s="3" t="s">
        <v>6985</v>
      </c>
      <c r="D378" s="3" t="s">
        <v>6322</v>
      </c>
      <c r="E378" s="3">
        <v>377</v>
      </c>
      <c r="F378" s="3" t="s">
        <v>671</v>
      </c>
      <c r="G378" s="3" t="s">
        <v>1095</v>
      </c>
      <c r="H378" s="3" t="s">
        <v>6622</v>
      </c>
    </row>
    <row r="379" spans="1:8" x14ac:dyDescent="0.25">
      <c r="A379" s="3" t="s">
        <v>6983</v>
      </c>
      <c r="B379" s="3" t="s">
        <v>6988</v>
      </c>
      <c r="C379" s="3" t="s">
        <v>6985</v>
      </c>
      <c r="D379" s="3" t="s">
        <v>6322</v>
      </c>
      <c r="E379" s="3">
        <v>378</v>
      </c>
      <c r="F379" s="3" t="s">
        <v>672</v>
      </c>
      <c r="G379" s="3" t="s">
        <v>2100</v>
      </c>
      <c r="H379" s="3" t="s">
        <v>6621</v>
      </c>
    </row>
    <row r="380" spans="1:8" x14ac:dyDescent="0.25">
      <c r="A380" s="3" t="s">
        <v>6983</v>
      </c>
      <c r="B380" s="3" t="s">
        <v>6988</v>
      </c>
      <c r="C380" s="3" t="s">
        <v>6985</v>
      </c>
      <c r="D380" s="3" t="s">
        <v>6322</v>
      </c>
      <c r="E380" s="3">
        <v>379</v>
      </c>
      <c r="F380" s="3" t="s">
        <v>673</v>
      </c>
      <c r="G380" s="3" t="s">
        <v>1095</v>
      </c>
      <c r="H380" s="3" t="s">
        <v>1266</v>
      </c>
    </row>
    <row r="381" spans="1:8" x14ac:dyDescent="0.25">
      <c r="A381" s="3" t="s">
        <v>6983</v>
      </c>
      <c r="B381" s="3" t="s">
        <v>6988</v>
      </c>
      <c r="C381" s="3" t="s">
        <v>6985</v>
      </c>
      <c r="D381" s="3" t="s">
        <v>6322</v>
      </c>
      <c r="E381" s="3">
        <v>380</v>
      </c>
      <c r="F381" s="3" t="s">
        <v>674</v>
      </c>
      <c r="G381" s="3" t="s">
        <v>1095</v>
      </c>
      <c r="H381" s="3" t="s">
        <v>1267</v>
      </c>
    </row>
    <row r="382" spans="1:8" x14ac:dyDescent="0.25">
      <c r="A382" s="3" t="s">
        <v>6983</v>
      </c>
      <c r="B382" s="3" t="s">
        <v>6988</v>
      </c>
      <c r="C382" s="3" t="s">
        <v>6985</v>
      </c>
      <c r="D382" s="3" t="s">
        <v>6322</v>
      </c>
      <c r="E382" s="3">
        <v>381</v>
      </c>
      <c r="F382" s="3" t="s">
        <v>675</v>
      </c>
      <c r="G382" s="3" t="s">
        <v>20</v>
      </c>
      <c r="H382" s="3" t="s">
        <v>1260</v>
      </c>
    </row>
    <row r="383" spans="1:8" x14ac:dyDescent="0.25">
      <c r="A383" s="3" t="s">
        <v>6983</v>
      </c>
      <c r="B383" s="3" t="s">
        <v>6988</v>
      </c>
      <c r="C383" s="3" t="s">
        <v>6985</v>
      </c>
      <c r="D383" s="3" t="s">
        <v>6322</v>
      </c>
      <c r="E383" s="3">
        <v>382</v>
      </c>
      <c r="F383" s="3" t="s">
        <v>676</v>
      </c>
      <c r="G383" s="3" t="s">
        <v>4</v>
      </c>
      <c r="H383" s="3" t="s">
        <v>6623</v>
      </c>
    </row>
    <row r="384" spans="1:8" x14ac:dyDescent="0.25">
      <c r="A384" s="3" t="s">
        <v>6983</v>
      </c>
      <c r="B384" s="3" t="s">
        <v>6988</v>
      </c>
      <c r="C384" s="3" t="s">
        <v>6985</v>
      </c>
      <c r="D384" s="3" t="s">
        <v>6322</v>
      </c>
      <c r="E384" s="3">
        <v>383</v>
      </c>
      <c r="F384" s="3" t="s">
        <v>677</v>
      </c>
      <c r="G384" s="3" t="s">
        <v>4</v>
      </c>
      <c r="H384" s="3" t="s">
        <v>6624</v>
      </c>
    </row>
    <row r="385" spans="1:9" x14ac:dyDescent="0.25">
      <c r="A385" s="3" t="s">
        <v>6983</v>
      </c>
      <c r="B385" s="3" t="s">
        <v>6988</v>
      </c>
      <c r="C385" s="3" t="s">
        <v>6985</v>
      </c>
      <c r="D385" s="3" t="s">
        <v>6322</v>
      </c>
      <c r="E385" s="3">
        <v>384</v>
      </c>
      <c r="F385" s="3" t="s">
        <v>678</v>
      </c>
      <c r="G385" s="3" t="s">
        <v>4</v>
      </c>
    </row>
    <row r="386" spans="1:9" x14ac:dyDescent="0.25">
      <c r="A386" s="3" t="s">
        <v>6983</v>
      </c>
      <c r="B386" s="3" t="s">
        <v>6988</v>
      </c>
      <c r="C386" s="3" t="s">
        <v>6985</v>
      </c>
      <c r="D386" s="3" t="s">
        <v>6322</v>
      </c>
      <c r="E386" s="3">
        <v>385</v>
      </c>
      <c r="F386" s="3" t="s">
        <v>679</v>
      </c>
      <c r="G386" s="3" t="s">
        <v>1106</v>
      </c>
    </row>
    <row r="387" spans="1:9" x14ac:dyDescent="0.25">
      <c r="A387" s="3" t="s">
        <v>6983</v>
      </c>
      <c r="B387" s="3" t="s">
        <v>6988</v>
      </c>
      <c r="C387" s="3" t="s">
        <v>6985</v>
      </c>
      <c r="D387" s="3" t="s">
        <v>6322</v>
      </c>
      <c r="E387" s="3">
        <v>386</v>
      </c>
      <c r="F387" s="3" t="s">
        <v>680</v>
      </c>
      <c r="G387" s="3" t="s">
        <v>16</v>
      </c>
      <c r="H387" s="3" t="s">
        <v>6946</v>
      </c>
    </row>
    <row r="388" spans="1:9" x14ac:dyDescent="0.25">
      <c r="A388" s="3" t="s">
        <v>6983</v>
      </c>
      <c r="B388" s="3" t="s">
        <v>6988</v>
      </c>
      <c r="C388" s="3" t="s">
        <v>6985</v>
      </c>
      <c r="D388" s="3" t="s">
        <v>6322</v>
      </c>
      <c r="E388" s="3">
        <v>387</v>
      </c>
      <c r="F388" s="3" t="s">
        <v>681</v>
      </c>
      <c r="G388" s="3" t="s">
        <v>16</v>
      </c>
      <c r="H388" s="3" t="s">
        <v>6947</v>
      </c>
    </row>
    <row r="389" spans="1:9" x14ac:dyDescent="0.25">
      <c r="A389" s="3" t="s">
        <v>6983</v>
      </c>
      <c r="B389" s="3" t="s">
        <v>6988</v>
      </c>
      <c r="C389" s="3" t="s">
        <v>6985</v>
      </c>
      <c r="D389" s="3" t="s">
        <v>6322</v>
      </c>
      <c r="E389" s="3">
        <v>388</v>
      </c>
      <c r="F389" s="3" t="s">
        <v>682</v>
      </c>
      <c r="G389" s="3" t="s">
        <v>1093</v>
      </c>
      <c r="H389" s="3" t="s">
        <v>6973</v>
      </c>
    </row>
    <row r="390" spans="1:9" x14ac:dyDescent="0.25">
      <c r="A390" s="3" t="s">
        <v>6983</v>
      </c>
      <c r="B390" s="3" t="s">
        <v>6988</v>
      </c>
      <c r="C390" s="3" t="s">
        <v>6985</v>
      </c>
      <c r="D390" s="3" t="s">
        <v>6322</v>
      </c>
      <c r="E390" s="3">
        <v>389</v>
      </c>
      <c r="F390" s="3" t="s">
        <v>683</v>
      </c>
      <c r="G390" s="3" t="s">
        <v>17</v>
      </c>
      <c r="H390" s="3" t="s">
        <v>6972</v>
      </c>
    </row>
    <row r="391" spans="1:9" x14ac:dyDescent="0.25">
      <c r="A391" s="3" t="s">
        <v>6983</v>
      </c>
      <c r="B391" s="3" t="s">
        <v>6988</v>
      </c>
      <c r="C391" s="3" t="s">
        <v>6985</v>
      </c>
      <c r="D391" s="3" t="s">
        <v>6322</v>
      </c>
      <c r="E391" s="3">
        <v>390</v>
      </c>
      <c r="F391" s="3" t="s">
        <v>684</v>
      </c>
      <c r="G391" s="3" t="s">
        <v>17</v>
      </c>
      <c r="H391" s="3" t="s">
        <v>6972</v>
      </c>
    </row>
    <row r="392" spans="1:9" x14ac:dyDescent="0.25">
      <c r="A392" s="3" t="s">
        <v>6983</v>
      </c>
      <c r="B392" s="3" t="s">
        <v>6988</v>
      </c>
      <c r="C392" s="3" t="s">
        <v>6985</v>
      </c>
      <c r="D392" s="3" t="s">
        <v>6322</v>
      </c>
      <c r="E392" s="3">
        <v>391</v>
      </c>
      <c r="F392" s="3" t="s">
        <v>685</v>
      </c>
      <c r="G392" s="3" t="s">
        <v>31</v>
      </c>
      <c r="H392" s="3" t="s">
        <v>6968</v>
      </c>
    </row>
    <row r="393" spans="1:9" x14ac:dyDescent="0.25">
      <c r="A393" s="3" t="s">
        <v>6983</v>
      </c>
      <c r="B393" s="3" t="s">
        <v>6988</v>
      </c>
      <c r="C393" s="3" t="s">
        <v>6985</v>
      </c>
      <c r="D393" s="3" t="s">
        <v>1138</v>
      </c>
      <c r="E393" s="3">
        <v>392</v>
      </c>
      <c r="F393" s="3" t="s">
        <v>228</v>
      </c>
      <c r="G393" s="3" t="s">
        <v>1095</v>
      </c>
      <c r="H393" s="3" t="s">
        <v>6976</v>
      </c>
    </row>
    <row r="394" spans="1:9" x14ac:dyDescent="0.25">
      <c r="A394" s="3" t="s">
        <v>6983</v>
      </c>
      <c r="B394" s="3" t="s">
        <v>6988</v>
      </c>
      <c r="C394" s="3" t="s">
        <v>6985</v>
      </c>
      <c r="D394" s="3" t="s">
        <v>1138</v>
      </c>
      <c r="E394" s="3">
        <v>393</v>
      </c>
      <c r="F394" s="3" t="s">
        <v>229</v>
      </c>
      <c r="G394" s="3" t="s">
        <v>13</v>
      </c>
      <c r="H394" s="4" t="s">
        <v>6974</v>
      </c>
    </row>
    <row r="395" spans="1:9" x14ac:dyDescent="0.25">
      <c r="A395" s="3" t="s">
        <v>6983</v>
      </c>
      <c r="B395" s="3" t="s">
        <v>6988</v>
      </c>
      <c r="C395" s="3" t="s">
        <v>6985</v>
      </c>
      <c r="D395" s="3" t="s">
        <v>1138</v>
      </c>
      <c r="E395" s="3">
        <v>394</v>
      </c>
      <c r="F395" s="3" t="s">
        <v>230</v>
      </c>
      <c r="G395" s="3" t="s">
        <v>9</v>
      </c>
      <c r="H395" s="4" t="s">
        <v>6975</v>
      </c>
    </row>
    <row r="396" spans="1:9" x14ac:dyDescent="0.25">
      <c r="A396" s="3" t="s">
        <v>6983</v>
      </c>
      <c r="B396" s="3" t="s">
        <v>6988</v>
      </c>
      <c r="C396" s="3" t="s">
        <v>6985</v>
      </c>
      <c r="D396" s="3" t="s">
        <v>6322</v>
      </c>
      <c r="E396" s="3">
        <v>395</v>
      </c>
      <c r="F396" s="3" t="s">
        <v>1962</v>
      </c>
      <c r="G396" s="3" t="s">
        <v>1096</v>
      </c>
      <c r="H396" s="3" t="s">
        <v>6621</v>
      </c>
    </row>
    <row r="397" spans="1:9" x14ac:dyDescent="0.25">
      <c r="A397" s="3" t="s">
        <v>6983</v>
      </c>
      <c r="B397" s="3" t="s">
        <v>6988</v>
      </c>
      <c r="C397" s="3" t="s">
        <v>6985</v>
      </c>
      <c r="D397" s="3" t="s">
        <v>2121</v>
      </c>
      <c r="E397" s="3">
        <v>396</v>
      </c>
      <c r="F397" s="3" t="s">
        <v>1963</v>
      </c>
      <c r="G397" s="3" t="s">
        <v>4</v>
      </c>
      <c r="H397" s="4" t="s">
        <v>2129</v>
      </c>
      <c r="I397" s="3" t="s">
        <v>1179</v>
      </c>
    </row>
    <row r="398" spans="1:9" x14ac:dyDescent="0.25">
      <c r="A398" s="3" t="s">
        <v>6983</v>
      </c>
      <c r="B398" s="3" t="s">
        <v>6988</v>
      </c>
      <c r="C398" s="3" t="s">
        <v>6985</v>
      </c>
      <c r="D398" s="3" t="s">
        <v>2121</v>
      </c>
      <c r="E398" s="3">
        <v>397</v>
      </c>
      <c r="F398" s="3" t="s">
        <v>1964</v>
      </c>
      <c r="G398" s="3" t="s">
        <v>4</v>
      </c>
      <c r="H398" s="4" t="s">
        <v>2130</v>
      </c>
      <c r="I398" s="3" t="s">
        <v>1179</v>
      </c>
    </row>
    <row r="399" spans="1:9" x14ac:dyDescent="0.25">
      <c r="A399" s="3" t="s">
        <v>6983</v>
      </c>
      <c r="B399" s="3" t="s">
        <v>6988</v>
      </c>
      <c r="C399" s="3" t="s">
        <v>6985</v>
      </c>
      <c r="D399" s="3" t="s">
        <v>2121</v>
      </c>
      <c r="E399" s="3">
        <v>398</v>
      </c>
      <c r="F399" s="3" t="s">
        <v>1965</v>
      </c>
      <c r="G399" s="3" t="s">
        <v>1093</v>
      </c>
      <c r="H399" s="4" t="s">
        <v>6618</v>
      </c>
      <c r="I399" s="3" t="s">
        <v>1179</v>
      </c>
    </row>
    <row r="400" spans="1:9" x14ac:dyDescent="0.25">
      <c r="A400" s="3" t="s">
        <v>6983</v>
      </c>
      <c r="B400" s="3" t="s">
        <v>6988</v>
      </c>
      <c r="C400" s="3" t="s">
        <v>6985</v>
      </c>
      <c r="D400" s="3" t="s">
        <v>2121</v>
      </c>
      <c r="E400" s="3">
        <v>399</v>
      </c>
      <c r="F400" s="3" t="s">
        <v>1966</v>
      </c>
      <c r="G400" s="3" t="s">
        <v>1093</v>
      </c>
      <c r="H400" s="4" t="s">
        <v>2131</v>
      </c>
      <c r="I400" s="3" t="s">
        <v>1179</v>
      </c>
    </row>
    <row r="401" spans="1:9" x14ac:dyDescent="0.25">
      <c r="A401" s="3" t="s">
        <v>6983</v>
      </c>
      <c r="B401" s="3" t="s">
        <v>6988</v>
      </c>
      <c r="C401" s="3" t="s">
        <v>6985</v>
      </c>
      <c r="D401" s="3" t="s">
        <v>2121</v>
      </c>
      <c r="E401" s="3">
        <v>400</v>
      </c>
      <c r="F401" s="3" t="s">
        <v>1967</v>
      </c>
      <c r="G401" s="3" t="s">
        <v>1093</v>
      </c>
      <c r="H401" s="4" t="s">
        <v>2132</v>
      </c>
      <c r="I401" s="3" t="s">
        <v>1179</v>
      </c>
    </row>
    <row r="402" spans="1:9" x14ac:dyDescent="0.25">
      <c r="A402" s="3" t="s">
        <v>6983</v>
      </c>
      <c r="B402" s="3" t="s">
        <v>6988</v>
      </c>
      <c r="C402" s="3" t="s">
        <v>6985</v>
      </c>
      <c r="D402" s="3" t="s">
        <v>2121</v>
      </c>
      <c r="E402" s="3">
        <v>401</v>
      </c>
      <c r="F402" s="3" t="s">
        <v>1968</v>
      </c>
      <c r="G402" s="3" t="s">
        <v>1093</v>
      </c>
      <c r="H402" s="4" t="s">
        <v>2133</v>
      </c>
      <c r="I402" s="3" t="s">
        <v>1179</v>
      </c>
    </row>
    <row r="403" spans="1:9" x14ac:dyDescent="0.25">
      <c r="A403" s="3" t="s">
        <v>6983</v>
      </c>
      <c r="B403" s="3" t="s">
        <v>6988</v>
      </c>
      <c r="C403" s="3" t="s">
        <v>6985</v>
      </c>
      <c r="D403" s="3" t="s">
        <v>2121</v>
      </c>
      <c r="E403" s="3">
        <v>402</v>
      </c>
      <c r="F403" s="3" t="s">
        <v>1969</v>
      </c>
      <c r="G403" s="3" t="s">
        <v>1093</v>
      </c>
      <c r="H403" s="4" t="s">
        <v>2134</v>
      </c>
      <c r="I403" s="3" t="s">
        <v>1179</v>
      </c>
    </row>
    <row r="404" spans="1:9" x14ac:dyDescent="0.25">
      <c r="A404" s="3" t="s">
        <v>6983</v>
      </c>
      <c r="B404" s="3" t="s">
        <v>6988</v>
      </c>
      <c r="C404" s="3" t="s">
        <v>6985</v>
      </c>
      <c r="D404" s="3" t="s">
        <v>2121</v>
      </c>
      <c r="E404" s="3">
        <v>403</v>
      </c>
      <c r="F404" s="3" t="s">
        <v>1970</v>
      </c>
      <c r="G404" s="3" t="s">
        <v>1093</v>
      </c>
      <c r="H404" s="4" t="s">
        <v>2144</v>
      </c>
      <c r="I404" s="3" t="s">
        <v>1179</v>
      </c>
    </row>
    <row r="405" spans="1:9" x14ac:dyDescent="0.25">
      <c r="A405" s="3" t="s">
        <v>6983</v>
      </c>
      <c r="B405" s="3" t="s">
        <v>6988</v>
      </c>
      <c r="C405" s="3" t="s">
        <v>6985</v>
      </c>
      <c r="D405" s="3" t="s">
        <v>2121</v>
      </c>
      <c r="E405" s="3">
        <v>404</v>
      </c>
      <c r="F405" s="3" t="s">
        <v>1971</v>
      </c>
      <c r="G405" s="3" t="s">
        <v>1093</v>
      </c>
      <c r="H405" s="4" t="s">
        <v>2136</v>
      </c>
      <c r="I405" s="3" t="s">
        <v>1179</v>
      </c>
    </row>
    <row r="406" spans="1:9" x14ac:dyDescent="0.25">
      <c r="A406" s="3" t="s">
        <v>6983</v>
      </c>
      <c r="B406" s="3" t="s">
        <v>6988</v>
      </c>
      <c r="C406" s="3" t="s">
        <v>6985</v>
      </c>
      <c r="D406" s="3" t="s">
        <v>2121</v>
      </c>
      <c r="E406" s="3">
        <v>405</v>
      </c>
      <c r="F406" s="3" t="s">
        <v>1972</v>
      </c>
      <c r="G406" s="3" t="s">
        <v>9</v>
      </c>
      <c r="H406" s="4" t="s">
        <v>2137</v>
      </c>
      <c r="I406" s="3" t="s">
        <v>1179</v>
      </c>
    </row>
    <row r="407" spans="1:9" x14ac:dyDescent="0.25">
      <c r="A407" s="3" t="s">
        <v>6983</v>
      </c>
      <c r="B407" s="3" t="s">
        <v>6988</v>
      </c>
      <c r="C407" s="3" t="s">
        <v>6985</v>
      </c>
      <c r="D407" s="3" t="s">
        <v>2121</v>
      </c>
      <c r="E407" s="3">
        <v>406</v>
      </c>
      <c r="F407" s="3" t="s">
        <v>1973</v>
      </c>
      <c r="G407" s="3" t="s">
        <v>1093</v>
      </c>
      <c r="H407" s="4" t="s">
        <v>2138</v>
      </c>
      <c r="I407" s="3" t="s">
        <v>1179</v>
      </c>
    </row>
    <row r="408" spans="1:9" x14ac:dyDescent="0.25">
      <c r="A408" s="3" t="s">
        <v>6983</v>
      </c>
      <c r="B408" s="3" t="s">
        <v>6988</v>
      </c>
      <c r="C408" s="3" t="s">
        <v>6985</v>
      </c>
      <c r="D408" s="3" t="s">
        <v>2121</v>
      </c>
      <c r="E408" s="3">
        <v>407</v>
      </c>
      <c r="F408" s="3" t="s">
        <v>1974</v>
      </c>
      <c r="G408" s="3" t="s">
        <v>1093</v>
      </c>
      <c r="H408" s="4" t="s">
        <v>2139</v>
      </c>
      <c r="I408" s="3" t="s">
        <v>1179</v>
      </c>
    </row>
    <row r="409" spans="1:9" x14ac:dyDescent="0.25">
      <c r="A409" s="3" t="s">
        <v>6983</v>
      </c>
      <c r="B409" s="3" t="s">
        <v>6988</v>
      </c>
      <c r="C409" s="3" t="s">
        <v>6985</v>
      </c>
      <c r="D409" s="3" t="s">
        <v>2121</v>
      </c>
      <c r="E409" s="3">
        <v>408</v>
      </c>
      <c r="F409" s="3" t="s">
        <v>1975</v>
      </c>
      <c r="G409" s="3" t="s">
        <v>19</v>
      </c>
      <c r="H409" s="4" t="s">
        <v>1190</v>
      </c>
      <c r="I409" s="3" t="s">
        <v>1179</v>
      </c>
    </row>
    <row r="410" spans="1:9" x14ac:dyDescent="0.25">
      <c r="A410" s="3" t="s">
        <v>6983</v>
      </c>
      <c r="B410" s="3" t="s">
        <v>6988</v>
      </c>
      <c r="C410" s="3" t="s">
        <v>6985</v>
      </c>
      <c r="D410" s="3" t="s">
        <v>2121</v>
      </c>
      <c r="E410" s="3">
        <v>409</v>
      </c>
      <c r="F410" s="3" t="s">
        <v>1976</v>
      </c>
      <c r="G410" s="3" t="s">
        <v>1093</v>
      </c>
      <c r="H410" s="4" t="s">
        <v>6616</v>
      </c>
      <c r="I410" s="3" t="s">
        <v>1179</v>
      </c>
    </row>
    <row r="411" spans="1:9" x14ac:dyDescent="0.25">
      <c r="A411" s="3" t="s">
        <v>6983</v>
      </c>
      <c r="B411" s="3" t="s">
        <v>6988</v>
      </c>
      <c r="C411" s="3" t="s">
        <v>6985</v>
      </c>
      <c r="D411" s="3" t="s">
        <v>2121</v>
      </c>
      <c r="E411" s="3">
        <v>410</v>
      </c>
      <c r="F411" s="3" t="s">
        <v>1977</v>
      </c>
      <c r="G411" s="3" t="s">
        <v>9</v>
      </c>
      <c r="H411" s="4" t="s">
        <v>6617</v>
      </c>
      <c r="I411" s="3" t="s">
        <v>1179</v>
      </c>
    </row>
    <row r="412" spans="1:9" x14ac:dyDescent="0.25">
      <c r="A412" s="3" t="s">
        <v>6983</v>
      </c>
      <c r="B412" s="3" t="s">
        <v>6988</v>
      </c>
      <c r="C412" s="3" t="s">
        <v>6985</v>
      </c>
      <c r="D412" s="3" t="s">
        <v>2127</v>
      </c>
      <c r="E412" s="3">
        <v>411</v>
      </c>
      <c r="F412" s="3" t="s">
        <v>1978</v>
      </c>
      <c r="G412" s="3" t="s">
        <v>13</v>
      </c>
      <c r="H412" s="4" t="s">
        <v>2146</v>
      </c>
    </row>
    <row r="413" spans="1:9" x14ac:dyDescent="0.25">
      <c r="A413" s="3" t="s">
        <v>6983</v>
      </c>
      <c r="B413" s="3" t="s">
        <v>6988</v>
      </c>
      <c r="C413" s="3" t="s">
        <v>6985</v>
      </c>
      <c r="D413" s="3" t="s">
        <v>2127</v>
      </c>
      <c r="E413" s="3">
        <v>412</v>
      </c>
      <c r="F413" s="3" t="s">
        <v>1979</v>
      </c>
      <c r="G413" s="3" t="s">
        <v>9</v>
      </c>
      <c r="H413" s="4" t="s">
        <v>2147</v>
      </c>
    </row>
    <row r="414" spans="1:9" x14ac:dyDescent="0.25">
      <c r="A414" s="3" t="s">
        <v>6983</v>
      </c>
      <c r="B414" s="3" t="s">
        <v>6988</v>
      </c>
      <c r="C414" s="3" t="s">
        <v>6985</v>
      </c>
      <c r="D414" s="3" t="s">
        <v>2127</v>
      </c>
      <c r="E414" s="3">
        <v>413</v>
      </c>
      <c r="F414" s="3" t="s">
        <v>1980</v>
      </c>
      <c r="G414" s="3" t="s">
        <v>13</v>
      </c>
      <c r="H414" s="4" t="s">
        <v>6718</v>
      </c>
    </row>
    <row r="415" spans="1:9" x14ac:dyDescent="0.25">
      <c r="A415" s="3" t="s">
        <v>6983</v>
      </c>
      <c r="B415" s="3" t="s">
        <v>6988</v>
      </c>
      <c r="C415" s="3" t="s">
        <v>6985</v>
      </c>
      <c r="D415" s="3" t="s">
        <v>2127</v>
      </c>
      <c r="E415" s="3">
        <v>414</v>
      </c>
      <c r="F415" s="3" t="s">
        <v>1981</v>
      </c>
      <c r="G415" s="3" t="s">
        <v>13</v>
      </c>
      <c r="H415" s="3" t="s">
        <v>6719</v>
      </c>
    </row>
    <row r="416" spans="1:9" x14ac:dyDescent="0.25">
      <c r="A416" s="3" t="s">
        <v>6983</v>
      </c>
      <c r="B416" s="3" t="s">
        <v>6988</v>
      </c>
      <c r="C416" s="3" t="s">
        <v>6985</v>
      </c>
      <c r="D416" s="3" t="s">
        <v>2127</v>
      </c>
      <c r="E416" s="3">
        <v>415</v>
      </c>
      <c r="F416" s="3" t="s">
        <v>1982</v>
      </c>
      <c r="G416" s="3" t="s">
        <v>13</v>
      </c>
      <c r="H416" s="4" t="s">
        <v>6720</v>
      </c>
    </row>
    <row r="417" spans="1:8" x14ac:dyDescent="0.25">
      <c r="A417" s="3" t="s">
        <v>6983</v>
      </c>
      <c r="B417" s="3" t="s">
        <v>6988</v>
      </c>
      <c r="C417" s="3" t="s">
        <v>6985</v>
      </c>
      <c r="D417" s="3" t="s">
        <v>2127</v>
      </c>
      <c r="E417" s="3">
        <v>416</v>
      </c>
      <c r="F417" s="3" t="s">
        <v>1983</v>
      </c>
      <c r="G417" s="3" t="s">
        <v>9</v>
      </c>
      <c r="H417" s="4" t="s">
        <v>6721</v>
      </c>
    </row>
    <row r="418" spans="1:8" x14ac:dyDescent="0.25">
      <c r="A418" s="3" t="s">
        <v>6983</v>
      </c>
      <c r="B418" s="3" t="s">
        <v>6988</v>
      </c>
      <c r="C418" s="3" t="s">
        <v>6985</v>
      </c>
      <c r="D418" s="3" t="s">
        <v>2127</v>
      </c>
      <c r="E418" s="3">
        <v>417</v>
      </c>
      <c r="F418" s="3" t="s">
        <v>1984</v>
      </c>
      <c r="G418" s="3" t="s">
        <v>13</v>
      </c>
      <c r="H418" s="4" t="s">
        <v>6722</v>
      </c>
    </row>
    <row r="419" spans="1:8" x14ac:dyDescent="0.25">
      <c r="A419" s="3" t="s">
        <v>6983</v>
      </c>
      <c r="B419" s="3" t="s">
        <v>6988</v>
      </c>
      <c r="C419" s="3" t="s">
        <v>6985</v>
      </c>
      <c r="D419" s="3" t="s">
        <v>2127</v>
      </c>
      <c r="E419" s="3">
        <v>418</v>
      </c>
      <c r="F419" s="3" t="s">
        <v>1985</v>
      </c>
      <c r="G419" s="3" t="s">
        <v>9</v>
      </c>
      <c r="H419" s="4" t="s">
        <v>6723</v>
      </c>
    </row>
    <row r="420" spans="1:8" x14ac:dyDescent="0.25">
      <c r="A420" s="3" t="s">
        <v>6983</v>
      </c>
      <c r="B420" s="3" t="s">
        <v>6988</v>
      </c>
      <c r="C420" s="3" t="s">
        <v>6985</v>
      </c>
      <c r="D420" s="3" t="s">
        <v>1131</v>
      </c>
      <c r="E420" s="3">
        <v>419</v>
      </c>
      <c r="F420" s="3" t="s">
        <v>761</v>
      </c>
      <c r="G420" s="3" t="s">
        <v>1093</v>
      </c>
      <c r="H420" s="4" t="s">
        <v>1221</v>
      </c>
    </row>
    <row r="421" spans="1:8" x14ac:dyDescent="0.25">
      <c r="A421" s="3" t="s">
        <v>6983</v>
      </c>
      <c r="B421" s="3" t="s">
        <v>6988</v>
      </c>
      <c r="C421" s="3" t="s">
        <v>6985</v>
      </c>
      <c r="D421" s="3" t="s">
        <v>6352</v>
      </c>
      <c r="E421" s="3">
        <v>420</v>
      </c>
      <c r="F421" s="3" t="s">
        <v>2400</v>
      </c>
      <c r="G421" s="3" t="s">
        <v>20</v>
      </c>
      <c r="H421" s="3" t="str">
        <f>_xlfn.CONCAT("Output ",F421, " from 3rd party Ballast system.")</f>
        <v>Output VOID NE0-VS from 3rd party Ballast system.</v>
      </c>
    </row>
    <row r="422" spans="1:8" x14ac:dyDescent="0.25">
      <c r="A422" s="3" t="s">
        <v>6983</v>
      </c>
      <c r="B422" s="3" t="s">
        <v>6988</v>
      </c>
      <c r="C422" s="3" t="s">
        <v>6985</v>
      </c>
      <c r="D422" s="3" t="s">
        <v>6352</v>
      </c>
      <c r="E422" s="3">
        <v>421</v>
      </c>
      <c r="F422" s="3" t="s">
        <v>2401</v>
      </c>
      <c r="G422" s="3" t="s">
        <v>20</v>
      </c>
      <c r="H422" s="3" t="str">
        <f t="shared" ref="H422:H437" si="7">_xlfn.CONCAT("Output ",F422, " from 3rd party Ballast system.")</f>
        <v>Output VOID SE0-VN from 3rd party Ballast system.</v>
      </c>
    </row>
    <row r="423" spans="1:8" x14ac:dyDescent="0.25">
      <c r="A423" s="3" t="s">
        <v>6983</v>
      </c>
      <c r="B423" s="3" t="s">
        <v>6988</v>
      </c>
      <c r="C423" s="3" t="s">
        <v>6985</v>
      </c>
      <c r="D423" s="3" t="s">
        <v>6352</v>
      </c>
      <c r="E423" s="3">
        <v>422</v>
      </c>
      <c r="F423" s="3" t="s">
        <v>2402</v>
      </c>
      <c r="G423" s="3" t="s">
        <v>20</v>
      </c>
      <c r="H423" s="3" t="str">
        <f t="shared" si="7"/>
        <v>Output VOID SW0-VN from 3rd party Ballast system.</v>
      </c>
    </row>
    <row r="424" spans="1:8" x14ac:dyDescent="0.25">
      <c r="A424" s="3" t="s">
        <v>6983</v>
      </c>
      <c r="B424" s="3" t="s">
        <v>6988</v>
      </c>
      <c r="C424" s="3" t="s">
        <v>6985</v>
      </c>
      <c r="D424" s="3" t="s">
        <v>6352</v>
      </c>
      <c r="E424" s="3">
        <v>423</v>
      </c>
      <c r="F424" s="3" t="s">
        <v>2403</v>
      </c>
      <c r="G424" s="3" t="s">
        <v>20</v>
      </c>
      <c r="H424" s="3" t="str">
        <f t="shared" si="7"/>
        <v>Output VOID NW0-VS from 3rd party Ballast system.</v>
      </c>
    </row>
    <row r="425" spans="1:8" x14ac:dyDescent="0.25">
      <c r="A425" s="3" t="s">
        <v>6983</v>
      </c>
      <c r="B425" s="3" t="s">
        <v>6988</v>
      </c>
      <c r="C425" s="3" t="s">
        <v>6985</v>
      </c>
      <c r="D425" s="3" t="s">
        <v>6352</v>
      </c>
      <c r="E425" s="3">
        <v>424</v>
      </c>
      <c r="F425" s="3" t="s">
        <v>2404</v>
      </c>
      <c r="G425" s="3" t="s">
        <v>20</v>
      </c>
      <c r="H425" s="3" t="str">
        <f t="shared" si="7"/>
        <v>Output VOID NE1-VS from 3rd party Ballast system.</v>
      </c>
    </row>
    <row r="426" spans="1:8" x14ac:dyDescent="0.25">
      <c r="A426" s="3" t="s">
        <v>6983</v>
      </c>
      <c r="B426" s="3" t="s">
        <v>6988</v>
      </c>
      <c r="C426" s="3" t="s">
        <v>6985</v>
      </c>
      <c r="D426" s="3" t="s">
        <v>6352</v>
      </c>
      <c r="E426" s="3">
        <v>425</v>
      </c>
      <c r="F426" s="3" t="s">
        <v>2405</v>
      </c>
      <c r="G426" s="3" t="s">
        <v>20</v>
      </c>
      <c r="H426" s="3" t="str">
        <f t="shared" si="7"/>
        <v>Output VOID SE1-VN from 3rd party Ballast system.</v>
      </c>
    </row>
    <row r="427" spans="1:8" x14ac:dyDescent="0.25">
      <c r="A427" s="3" t="s">
        <v>6983</v>
      </c>
      <c r="B427" s="3" t="s">
        <v>6988</v>
      </c>
      <c r="C427" s="3" t="s">
        <v>6985</v>
      </c>
      <c r="D427" s="3" t="s">
        <v>6352</v>
      </c>
      <c r="E427" s="3">
        <v>426</v>
      </c>
      <c r="F427" s="3" t="s">
        <v>2406</v>
      </c>
      <c r="G427" s="3" t="s">
        <v>20</v>
      </c>
      <c r="H427" s="3" t="str">
        <f t="shared" si="7"/>
        <v>Output VOID SW1-VN from 3rd party Ballast system.</v>
      </c>
    </row>
    <row r="428" spans="1:8" x14ac:dyDescent="0.25">
      <c r="A428" s="3" t="s">
        <v>6983</v>
      </c>
      <c r="B428" s="3" t="s">
        <v>6988</v>
      </c>
      <c r="C428" s="3" t="s">
        <v>6985</v>
      </c>
      <c r="D428" s="3" t="s">
        <v>6352</v>
      </c>
      <c r="E428" s="3">
        <v>427</v>
      </c>
      <c r="F428" s="3" t="s">
        <v>2407</v>
      </c>
      <c r="G428" s="3" t="s">
        <v>20</v>
      </c>
      <c r="H428" s="3" t="str">
        <f t="shared" si="7"/>
        <v>Output VOID NW1-VS from 3rd party Ballast system.</v>
      </c>
    </row>
    <row r="429" spans="1:8" x14ac:dyDescent="0.25">
      <c r="A429" s="3" t="s">
        <v>6983</v>
      </c>
      <c r="B429" s="3" t="s">
        <v>6988</v>
      </c>
      <c r="C429" s="3" t="s">
        <v>6985</v>
      </c>
      <c r="D429" s="3" t="s">
        <v>6352</v>
      </c>
      <c r="E429" s="3">
        <v>428</v>
      </c>
      <c r="F429" s="3" t="s">
        <v>2408</v>
      </c>
      <c r="G429" s="3" t="s">
        <v>20</v>
      </c>
      <c r="H429" s="3" t="str">
        <f t="shared" si="7"/>
        <v>Output VOID NE3-V from 3rd party Ballast system.</v>
      </c>
    </row>
    <row r="430" spans="1:8" x14ac:dyDescent="0.25">
      <c r="A430" s="3" t="s">
        <v>6983</v>
      </c>
      <c r="B430" s="3" t="s">
        <v>6988</v>
      </c>
      <c r="C430" s="3" t="s">
        <v>6985</v>
      </c>
      <c r="D430" s="3" t="s">
        <v>6352</v>
      </c>
      <c r="E430" s="3">
        <v>429</v>
      </c>
      <c r="F430" s="3" t="s">
        <v>2409</v>
      </c>
      <c r="G430" s="3" t="s">
        <v>20</v>
      </c>
      <c r="H430" s="3" t="str">
        <f t="shared" si="7"/>
        <v>Output VOID SE3-V from 3rd party Ballast system.</v>
      </c>
    </row>
    <row r="431" spans="1:8" x14ac:dyDescent="0.25">
      <c r="A431" s="3" t="s">
        <v>6983</v>
      </c>
      <c r="B431" s="3" t="s">
        <v>6988</v>
      </c>
      <c r="C431" s="3" t="s">
        <v>6985</v>
      </c>
      <c r="D431" s="3" t="s">
        <v>6352</v>
      </c>
      <c r="E431" s="3">
        <v>430</v>
      </c>
      <c r="F431" s="3" t="s">
        <v>2410</v>
      </c>
      <c r="G431" s="3" t="s">
        <v>20</v>
      </c>
      <c r="H431" s="3" t="str">
        <f t="shared" si="7"/>
        <v>Output VOID SW3-V from 3rd party Ballast system.</v>
      </c>
    </row>
    <row r="432" spans="1:8" x14ac:dyDescent="0.25">
      <c r="A432" s="3" t="s">
        <v>6983</v>
      </c>
      <c r="B432" s="3" t="s">
        <v>6988</v>
      </c>
      <c r="C432" s="3" t="s">
        <v>6985</v>
      </c>
      <c r="D432" s="3" t="s">
        <v>6352</v>
      </c>
      <c r="E432" s="3">
        <v>431</v>
      </c>
      <c r="F432" s="3" t="s">
        <v>2411</v>
      </c>
      <c r="G432" s="3" t="s">
        <v>20</v>
      </c>
      <c r="H432" s="3" t="str">
        <f t="shared" si="7"/>
        <v>Output VOID NW3-V from 3rd party Ballast system.</v>
      </c>
    </row>
    <row r="433" spans="1:8" x14ac:dyDescent="0.25">
      <c r="A433" s="3" t="s">
        <v>6983</v>
      </c>
      <c r="B433" s="3" t="s">
        <v>6988</v>
      </c>
      <c r="C433" s="3" t="s">
        <v>6985</v>
      </c>
      <c r="D433" s="3" t="s">
        <v>6352</v>
      </c>
      <c r="E433" s="3">
        <v>432</v>
      </c>
      <c r="F433" s="3" t="s">
        <v>2412</v>
      </c>
      <c r="G433" s="3" t="s">
        <v>20</v>
      </c>
      <c r="H433" s="3" t="str">
        <f t="shared" si="7"/>
        <v>Output VOID NE4-V from 3rd party Ballast system.</v>
      </c>
    </row>
    <row r="434" spans="1:8" x14ac:dyDescent="0.25">
      <c r="A434" s="3" t="s">
        <v>6983</v>
      </c>
      <c r="B434" s="3" t="s">
        <v>6988</v>
      </c>
      <c r="C434" s="3" t="s">
        <v>6985</v>
      </c>
      <c r="D434" s="3" t="s">
        <v>6352</v>
      </c>
      <c r="E434" s="3">
        <v>433</v>
      </c>
      <c r="F434" s="3" t="s">
        <v>2413</v>
      </c>
      <c r="G434" s="3" t="s">
        <v>20</v>
      </c>
      <c r="H434" s="3" t="str">
        <f t="shared" si="7"/>
        <v>Output VOID SE4-V from 3rd party Ballast system.</v>
      </c>
    </row>
    <row r="435" spans="1:8" x14ac:dyDescent="0.25">
      <c r="A435" s="3" t="s">
        <v>6983</v>
      </c>
      <c r="B435" s="3" t="s">
        <v>6988</v>
      </c>
      <c r="C435" s="3" t="s">
        <v>6985</v>
      </c>
      <c r="D435" s="3" t="s">
        <v>6352</v>
      </c>
      <c r="E435" s="3">
        <v>434</v>
      </c>
      <c r="F435" s="3" t="s">
        <v>2414</v>
      </c>
      <c r="G435" s="3" t="s">
        <v>20</v>
      </c>
      <c r="H435" s="3" t="str">
        <f t="shared" si="7"/>
        <v>Output VOID SW4-VE from 3rd party Ballast system.</v>
      </c>
    </row>
    <row r="436" spans="1:8" x14ac:dyDescent="0.25">
      <c r="A436" s="3" t="s">
        <v>6983</v>
      </c>
      <c r="B436" s="3" t="s">
        <v>6988</v>
      </c>
      <c r="C436" s="3" t="s">
        <v>6985</v>
      </c>
      <c r="D436" s="3" t="s">
        <v>6352</v>
      </c>
      <c r="E436" s="3">
        <v>435</v>
      </c>
      <c r="F436" s="3" t="s">
        <v>2415</v>
      </c>
      <c r="G436" s="3" t="s">
        <v>20</v>
      </c>
      <c r="H436" s="3" t="str">
        <f t="shared" si="7"/>
        <v>Output VOID SW4-VW from 3rd party Ballast system.</v>
      </c>
    </row>
    <row r="437" spans="1:8" x14ac:dyDescent="0.25">
      <c r="A437" s="3" t="s">
        <v>6983</v>
      </c>
      <c r="B437" s="3" t="s">
        <v>6988</v>
      </c>
      <c r="C437" s="3" t="s">
        <v>6985</v>
      </c>
      <c r="D437" s="3" t="s">
        <v>6352</v>
      </c>
      <c r="E437" s="3">
        <v>436</v>
      </c>
      <c r="F437" s="3" t="s">
        <v>2416</v>
      </c>
      <c r="G437" s="3" t="s">
        <v>20</v>
      </c>
      <c r="H437" s="3" t="str">
        <f t="shared" si="7"/>
        <v>Output VOID NW4-V from 3rd party Ballast system.</v>
      </c>
    </row>
    <row r="438" spans="1:8" x14ac:dyDescent="0.25">
      <c r="A438" s="3" t="s">
        <v>6983</v>
      </c>
      <c r="B438" s="3" t="s">
        <v>6988</v>
      </c>
      <c r="C438" s="3" t="s">
        <v>6985</v>
      </c>
      <c r="D438" s="3" t="s">
        <v>1130</v>
      </c>
      <c r="E438" s="3">
        <v>437</v>
      </c>
      <c r="F438" s="3" t="s">
        <v>740</v>
      </c>
      <c r="G438" s="3" t="s">
        <v>1093</v>
      </c>
      <c r="H438" s="4" t="s">
        <v>6817</v>
      </c>
    </row>
    <row r="439" spans="1:8" x14ac:dyDescent="0.25">
      <c r="A439" s="3" t="s">
        <v>6983</v>
      </c>
      <c r="B439" s="3" t="s">
        <v>6988</v>
      </c>
      <c r="C439" s="3" t="s">
        <v>6985</v>
      </c>
      <c r="D439" s="3" t="s">
        <v>1130</v>
      </c>
      <c r="E439" s="3">
        <v>438</v>
      </c>
      <c r="F439" s="3" t="s">
        <v>741</v>
      </c>
      <c r="G439" s="3" t="s">
        <v>1093</v>
      </c>
      <c r="H439" s="4" t="s">
        <v>6818</v>
      </c>
    </row>
    <row r="440" spans="1:8" x14ac:dyDescent="0.25">
      <c r="A440" s="3" t="s">
        <v>6983</v>
      </c>
      <c r="B440" s="3" t="s">
        <v>6988</v>
      </c>
      <c r="C440" s="3" t="s">
        <v>6985</v>
      </c>
      <c r="D440" s="3" t="s">
        <v>1130</v>
      </c>
      <c r="E440" s="3">
        <v>439</v>
      </c>
      <c r="F440" s="3" t="s">
        <v>742</v>
      </c>
      <c r="G440" s="3" t="s">
        <v>17</v>
      </c>
      <c r="H440" s="4" t="s">
        <v>6819</v>
      </c>
    </row>
    <row r="441" spans="1:8" x14ac:dyDescent="0.25">
      <c r="A441" s="3" t="s">
        <v>6983</v>
      </c>
      <c r="B441" s="3" t="s">
        <v>6988</v>
      </c>
      <c r="C441" s="3" t="s">
        <v>6985</v>
      </c>
      <c r="D441" s="3" t="s">
        <v>1130</v>
      </c>
      <c r="E441" s="3">
        <v>440</v>
      </c>
      <c r="F441" s="3" t="s">
        <v>743</v>
      </c>
      <c r="G441" s="3" t="s">
        <v>1093</v>
      </c>
      <c r="H441" s="4" t="s">
        <v>1215</v>
      </c>
    </row>
    <row r="442" spans="1:8" x14ac:dyDescent="0.25">
      <c r="A442" s="3" t="s">
        <v>6983</v>
      </c>
      <c r="B442" s="3" t="s">
        <v>6988</v>
      </c>
      <c r="C442" s="3" t="s">
        <v>6985</v>
      </c>
      <c r="D442" s="3" t="s">
        <v>1130</v>
      </c>
      <c r="E442" s="3">
        <v>441</v>
      </c>
      <c r="F442" s="3" t="s">
        <v>744</v>
      </c>
      <c r="G442" s="3" t="s">
        <v>1093</v>
      </c>
      <c r="H442" s="4" t="s">
        <v>6817</v>
      </c>
    </row>
    <row r="443" spans="1:8" x14ac:dyDescent="0.25">
      <c r="A443" s="3" t="s">
        <v>6983</v>
      </c>
      <c r="B443" s="3" t="s">
        <v>6988</v>
      </c>
      <c r="C443" s="3" t="s">
        <v>6985</v>
      </c>
      <c r="D443" s="3" t="s">
        <v>1130</v>
      </c>
      <c r="E443" s="3">
        <v>442</v>
      </c>
      <c r="F443" s="3" t="s">
        <v>745</v>
      </c>
      <c r="G443" s="3" t="s">
        <v>1093</v>
      </c>
      <c r="H443" s="4" t="s">
        <v>6823</v>
      </c>
    </row>
    <row r="444" spans="1:8" x14ac:dyDescent="0.25">
      <c r="A444" s="3" t="s">
        <v>6983</v>
      </c>
      <c r="B444" s="3" t="s">
        <v>6988</v>
      </c>
      <c r="C444" s="3" t="s">
        <v>6985</v>
      </c>
      <c r="D444" s="3" t="s">
        <v>1130</v>
      </c>
      <c r="E444" s="3">
        <v>443</v>
      </c>
      <c r="F444" s="3" t="s">
        <v>746</v>
      </c>
      <c r="G444" s="3" t="s">
        <v>17</v>
      </c>
      <c r="H444" s="4" t="s">
        <v>6819</v>
      </c>
    </row>
    <row r="445" spans="1:8" x14ac:dyDescent="0.25">
      <c r="A445" s="3" t="s">
        <v>6983</v>
      </c>
      <c r="B445" s="3" t="s">
        <v>6988</v>
      </c>
      <c r="C445" s="3" t="s">
        <v>6985</v>
      </c>
      <c r="D445" s="3" t="s">
        <v>1130</v>
      </c>
      <c r="E445" s="3">
        <v>444</v>
      </c>
      <c r="F445" s="3" t="s">
        <v>747</v>
      </c>
      <c r="G445" s="3" t="s">
        <v>1093</v>
      </c>
      <c r="H445" s="4" t="s">
        <v>1216</v>
      </c>
    </row>
    <row r="446" spans="1:8" x14ac:dyDescent="0.25">
      <c r="A446" s="3" t="s">
        <v>6983</v>
      </c>
      <c r="B446" s="3" t="s">
        <v>6988</v>
      </c>
      <c r="C446" s="3" t="s">
        <v>6985</v>
      </c>
      <c r="D446" s="3" t="s">
        <v>1130</v>
      </c>
      <c r="E446" s="3">
        <v>445</v>
      </c>
      <c r="F446" s="3" t="s">
        <v>748</v>
      </c>
      <c r="G446" s="3" t="s">
        <v>1093</v>
      </c>
      <c r="H446" s="4" t="s">
        <v>6817</v>
      </c>
    </row>
    <row r="447" spans="1:8" x14ac:dyDescent="0.25">
      <c r="A447" s="3" t="s">
        <v>6983</v>
      </c>
      <c r="B447" s="3" t="s">
        <v>6988</v>
      </c>
      <c r="C447" s="3" t="s">
        <v>6985</v>
      </c>
      <c r="D447" s="3" t="s">
        <v>1130</v>
      </c>
      <c r="E447" s="3">
        <v>446</v>
      </c>
      <c r="F447" s="3" t="s">
        <v>749</v>
      </c>
      <c r="G447" s="3" t="s">
        <v>1093</v>
      </c>
      <c r="H447" s="4" t="s">
        <v>6824</v>
      </c>
    </row>
    <row r="448" spans="1:8" x14ac:dyDescent="0.25">
      <c r="A448" s="3" t="s">
        <v>6983</v>
      </c>
      <c r="B448" s="3" t="s">
        <v>6988</v>
      </c>
      <c r="C448" s="3" t="s">
        <v>6985</v>
      </c>
      <c r="D448" s="3" t="s">
        <v>1130</v>
      </c>
      <c r="E448" s="3">
        <v>447</v>
      </c>
      <c r="F448" s="3" t="s">
        <v>750</v>
      </c>
      <c r="G448" s="3" t="s">
        <v>17</v>
      </c>
      <c r="H448" s="4" t="s">
        <v>6819</v>
      </c>
    </row>
    <row r="449" spans="1:8" x14ac:dyDescent="0.25">
      <c r="A449" s="3" t="s">
        <v>6983</v>
      </c>
      <c r="B449" s="3" t="s">
        <v>6988</v>
      </c>
      <c r="C449" s="3" t="s">
        <v>6985</v>
      </c>
      <c r="D449" s="3" t="s">
        <v>1130</v>
      </c>
      <c r="E449" s="3">
        <v>448</v>
      </c>
      <c r="F449" s="3" t="s">
        <v>751</v>
      </c>
      <c r="G449" s="3" t="s">
        <v>1093</v>
      </c>
      <c r="H449" s="4" t="s">
        <v>1217</v>
      </c>
    </row>
    <row r="450" spans="1:8" x14ac:dyDescent="0.25">
      <c r="A450" s="3" t="s">
        <v>6983</v>
      </c>
      <c r="B450" s="3" t="s">
        <v>6988</v>
      </c>
      <c r="C450" s="3" t="s">
        <v>6985</v>
      </c>
      <c r="D450" s="3" t="s">
        <v>1130</v>
      </c>
      <c r="E450" s="3">
        <v>449</v>
      </c>
      <c r="F450" s="3" t="s">
        <v>752</v>
      </c>
      <c r="G450" s="3" t="s">
        <v>1093</v>
      </c>
      <c r="H450" s="4" t="s">
        <v>6817</v>
      </c>
    </row>
    <row r="451" spans="1:8" x14ac:dyDescent="0.25">
      <c r="A451" s="3" t="s">
        <v>6983</v>
      </c>
      <c r="B451" s="3" t="s">
        <v>6988</v>
      </c>
      <c r="C451" s="3" t="s">
        <v>6985</v>
      </c>
      <c r="D451" s="3" t="s">
        <v>1130</v>
      </c>
      <c r="E451" s="3">
        <v>450</v>
      </c>
      <c r="F451" s="3" t="s">
        <v>753</v>
      </c>
      <c r="G451" s="3" t="s">
        <v>1093</v>
      </c>
      <c r="H451" s="4" t="s">
        <v>6825</v>
      </c>
    </row>
    <row r="452" spans="1:8" x14ac:dyDescent="0.25">
      <c r="A452" s="3" t="s">
        <v>6983</v>
      </c>
      <c r="B452" s="3" t="s">
        <v>6988</v>
      </c>
      <c r="C452" s="3" t="s">
        <v>6985</v>
      </c>
      <c r="D452" s="3" t="s">
        <v>1130</v>
      </c>
      <c r="E452" s="3">
        <v>451</v>
      </c>
      <c r="F452" s="3" t="s">
        <v>754</v>
      </c>
      <c r="G452" s="3" t="s">
        <v>17</v>
      </c>
      <c r="H452" s="4" t="s">
        <v>6819</v>
      </c>
    </row>
    <row r="453" spans="1:8" x14ac:dyDescent="0.25">
      <c r="A453" s="3" t="s">
        <v>6983</v>
      </c>
      <c r="B453" s="3" t="s">
        <v>6988</v>
      </c>
      <c r="C453" s="3" t="s">
        <v>6985</v>
      </c>
      <c r="D453" s="3" t="s">
        <v>1130</v>
      </c>
      <c r="E453" s="3">
        <v>452</v>
      </c>
      <c r="F453" s="3" t="s">
        <v>755</v>
      </c>
      <c r="G453" s="3" t="s">
        <v>1093</v>
      </c>
      <c r="H453" s="4" t="s">
        <v>1218</v>
      </c>
    </row>
    <row r="454" spans="1:8" x14ac:dyDescent="0.25">
      <c r="A454" s="3" t="s">
        <v>6983</v>
      </c>
      <c r="B454" s="3" t="s">
        <v>6988</v>
      </c>
      <c r="C454" s="3" t="s">
        <v>6985</v>
      </c>
      <c r="D454" s="3" t="s">
        <v>1130</v>
      </c>
      <c r="E454" s="3">
        <v>453</v>
      </c>
      <c r="F454" s="3" t="s">
        <v>2002</v>
      </c>
      <c r="G454" s="3" t="s">
        <v>1093</v>
      </c>
      <c r="H454" s="4" t="s">
        <v>1219</v>
      </c>
    </row>
    <row r="455" spans="1:8" x14ac:dyDescent="0.25">
      <c r="A455" s="3" t="s">
        <v>6983</v>
      </c>
      <c r="B455" s="3" t="s">
        <v>6988</v>
      </c>
      <c r="C455" s="3" t="s">
        <v>6985</v>
      </c>
      <c r="D455" s="3" t="s">
        <v>1130</v>
      </c>
      <c r="E455" s="3">
        <v>454</v>
      </c>
      <c r="F455" s="3" t="s">
        <v>2003</v>
      </c>
      <c r="G455" s="3" t="s">
        <v>17</v>
      </c>
      <c r="H455" s="4" t="s">
        <v>1220</v>
      </c>
    </row>
    <row r="456" spans="1:8" x14ac:dyDescent="0.25">
      <c r="A456" s="3" t="s">
        <v>6983</v>
      </c>
      <c r="B456" s="3" t="s">
        <v>6988</v>
      </c>
      <c r="C456" s="3" t="s">
        <v>6985</v>
      </c>
      <c r="D456" s="3" t="s">
        <v>1130</v>
      </c>
      <c r="E456" s="3">
        <v>455</v>
      </c>
      <c r="F456" s="3" t="s">
        <v>758</v>
      </c>
      <c r="G456" s="3" t="s">
        <v>1093</v>
      </c>
      <c r="H456" s="4" t="s">
        <v>1214</v>
      </c>
    </row>
    <row r="457" spans="1:8" x14ac:dyDescent="0.25">
      <c r="A457" s="3" t="s">
        <v>6983</v>
      </c>
      <c r="B457" s="3" t="s">
        <v>6988</v>
      </c>
      <c r="C457" s="3" t="s">
        <v>6985</v>
      </c>
      <c r="D457" s="3" t="s">
        <v>1130</v>
      </c>
      <c r="E457" s="3">
        <v>456</v>
      </c>
      <c r="F457" s="3" t="s">
        <v>2004</v>
      </c>
      <c r="G457" s="3" t="s">
        <v>4</v>
      </c>
      <c r="H457" s="4" t="s">
        <v>1404</v>
      </c>
    </row>
    <row r="458" spans="1:8" x14ac:dyDescent="0.25">
      <c r="A458" s="3" t="s">
        <v>6983</v>
      </c>
      <c r="B458" s="3" t="s">
        <v>6988</v>
      </c>
      <c r="C458" s="3" t="s">
        <v>6985</v>
      </c>
      <c r="D458" s="3" t="s">
        <v>1130</v>
      </c>
      <c r="E458" s="3">
        <v>457</v>
      </c>
      <c r="F458" s="3" t="s">
        <v>760</v>
      </c>
      <c r="G458" s="3" t="s">
        <v>4</v>
      </c>
      <c r="H458" s="4" t="s">
        <v>1405</v>
      </c>
    </row>
    <row r="459" spans="1:8" x14ac:dyDescent="0.25">
      <c r="A459" s="3" t="s">
        <v>6983</v>
      </c>
      <c r="B459" s="3" t="s">
        <v>6988</v>
      </c>
      <c r="C459" s="3" t="s">
        <v>6985</v>
      </c>
      <c r="D459" s="3" t="s">
        <v>6324</v>
      </c>
      <c r="E459" s="3">
        <v>458</v>
      </c>
      <c r="F459" s="3" t="s">
        <v>770</v>
      </c>
      <c r="G459" s="3" t="s">
        <v>13</v>
      </c>
      <c r="H459" s="4" t="s">
        <v>1224</v>
      </c>
    </row>
    <row r="460" spans="1:8" x14ac:dyDescent="0.25">
      <c r="A460" s="3" t="s">
        <v>6983</v>
      </c>
      <c r="B460" s="3" t="s">
        <v>6988</v>
      </c>
      <c r="C460" s="3" t="s">
        <v>6985</v>
      </c>
      <c r="D460" s="3" t="s">
        <v>6324</v>
      </c>
      <c r="E460" s="3">
        <v>459</v>
      </c>
      <c r="F460" s="3" t="s">
        <v>771</v>
      </c>
      <c r="G460" s="3" t="s">
        <v>9</v>
      </c>
      <c r="H460" s="4" t="s">
        <v>1225</v>
      </c>
    </row>
    <row r="461" spans="1:8" x14ac:dyDescent="0.25">
      <c r="A461" s="3" t="s">
        <v>6983</v>
      </c>
      <c r="B461" s="3" t="s">
        <v>6988</v>
      </c>
      <c r="C461" s="3" t="s">
        <v>6985</v>
      </c>
      <c r="D461" s="3" t="s">
        <v>6324</v>
      </c>
      <c r="E461" s="3">
        <v>460</v>
      </c>
      <c r="F461" s="3" t="s">
        <v>772</v>
      </c>
      <c r="G461" s="3" t="s">
        <v>13</v>
      </c>
      <c r="H461" s="4" t="s">
        <v>6704</v>
      </c>
    </row>
    <row r="462" spans="1:8" x14ac:dyDescent="0.25">
      <c r="A462" s="3" t="s">
        <v>6983</v>
      </c>
      <c r="B462" s="3" t="s">
        <v>6988</v>
      </c>
      <c r="C462" s="3" t="s">
        <v>6985</v>
      </c>
      <c r="D462" s="3" t="s">
        <v>6324</v>
      </c>
      <c r="E462" s="3">
        <v>461</v>
      </c>
      <c r="F462" s="3" t="s">
        <v>773</v>
      </c>
      <c r="G462" s="3" t="s">
        <v>13</v>
      </c>
      <c r="H462" s="3" t="s">
        <v>6705</v>
      </c>
    </row>
    <row r="463" spans="1:8" x14ac:dyDescent="0.25">
      <c r="A463" s="3" t="s">
        <v>6983</v>
      </c>
      <c r="B463" s="3" t="s">
        <v>6988</v>
      </c>
      <c r="C463" s="3" t="s">
        <v>6985</v>
      </c>
      <c r="D463" s="3" t="s">
        <v>6324</v>
      </c>
      <c r="E463" s="3">
        <v>462</v>
      </c>
      <c r="F463" s="3" t="s">
        <v>774</v>
      </c>
      <c r="G463" s="3" t="s">
        <v>13</v>
      </c>
      <c r="H463" s="4" t="s">
        <v>6706</v>
      </c>
    </row>
    <row r="464" spans="1:8" x14ac:dyDescent="0.25">
      <c r="A464" s="3" t="s">
        <v>6983</v>
      </c>
      <c r="B464" s="3" t="s">
        <v>6988</v>
      </c>
      <c r="C464" s="3" t="s">
        <v>6985</v>
      </c>
      <c r="D464" s="3" t="s">
        <v>6324</v>
      </c>
      <c r="E464" s="3">
        <v>463</v>
      </c>
      <c r="F464" s="3" t="s">
        <v>775</v>
      </c>
      <c r="G464" s="3" t="s">
        <v>9</v>
      </c>
      <c r="H464" s="4" t="s">
        <v>6707</v>
      </c>
    </row>
    <row r="465" spans="1:8" x14ac:dyDescent="0.25">
      <c r="A465" s="3" t="s">
        <v>6983</v>
      </c>
      <c r="B465" s="3" t="s">
        <v>6988</v>
      </c>
      <c r="C465" s="3" t="s">
        <v>6985</v>
      </c>
      <c r="D465" s="3" t="s">
        <v>6324</v>
      </c>
      <c r="E465" s="3">
        <v>464</v>
      </c>
      <c r="F465" s="3" t="s">
        <v>776</v>
      </c>
      <c r="G465" s="3" t="s">
        <v>13</v>
      </c>
      <c r="H465" s="4" t="s">
        <v>6708</v>
      </c>
    </row>
    <row r="466" spans="1:8" x14ac:dyDescent="0.25">
      <c r="A466" s="3" t="s">
        <v>6983</v>
      </c>
      <c r="B466" s="3" t="s">
        <v>6988</v>
      </c>
      <c r="C466" s="3" t="s">
        <v>6985</v>
      </c>
      <c r="D466" s="3" t="s">
        <v>6324</v>
      </c>
      <c r="E466" s="3">
        <v>465</v>
      </c>
      <c r="F466" s="3" t="s">
        <v>777</v>
      </c>
      <c r="G466" s="3" t="s">
        <v>9</v>
      </c>
      <c r="H466" s="4" t="s">
        <v>6709</v>
      </c>
    </row>
    <row r="467" spans="1:8" x14ac:dyDescent="0.25">
      <c r="A467" s="3" t="s">
        <v>6983</v>
      </c>
      <c r="B467" s="3" t="s">
        <v>6988</v>
      </c>
      <c r="C467" s="3" t="s">
        <v>6985</v>
      </c>
      <c r="D467" s="3" t="s">
        <v>6324</v>
      </c>
      <c r="E467" s="3">
        <v>466</v>
      </c>
      <c r="F467" s="3" t="s">
        <v>778</v>
      </c>
      <c r="G467" s="3" t="s">
        <v>13</v>
      </c>
      <c r="H467" s="4" t="s">
        <v>6710</v>
      </c>
    </row>
    <row r="468" spans="1:8" x14ac:dyDescent="0.25">
      <c r="A468" s="3" t="s">
        <v>6983</v>
      </c>
      <c r="B468" s="3" t="s">
        <v>6988</v>
      </c>
      <c r="C468" s="3" t="s">
        <v>6985</v>
      </c>
      <c r="D468" s="3" t="s">
        <v>6324</v>
      </c>
      <c r="E468" s="3">
        <v>467</v>
      </c>
      <c r="F468" s="3" t="s">
        <v>779</v>
      </c>
      <c r="G468" s="3" t="s">
        <v>9</v>
      </c>
      <c r="H468" s="4" t="s">
        <v>6711</v>
      </c>
    </row>
    <row r="469" spans="1:8" x14ac:dyDescent="0.25">
      <c r="A469" s="3" t="s">
        <v>6983</v>
      </c>
      <c r="B469" s="3" t="s">
        <v>6988</v>
      </c>
      <c r="C469" s="3" t="s">
        <v>6985</v>
      </c>
      <c r="D469" s="3" t="s">
        <v>6324</v>
      </c>
      <c r="E469" s="3">
        <v>468</v>
      </c>
      <c r="F469" s="3" t="s">
        <v>780</v>
      </c>
      <c r="G469" s="3" t="s">
        <v>13</v>
      </c>
      <c r="H469" s="4" t="s">
        <v>6712</v>
      </c>
    </row>
    <row r="470" spans="1:8" x14ac:dyDescent="0.25">
      <c r="A470" s="3" t="s">
        <v>6983</v>
      </c>
      <c r="B470" s="3" t="s">
        <v>6988</v>
      </c>
      <c r="C470" s="3" t="s">
        <v>6985</v>
      </c>
      <c r="D470" s="3" t="s">
        <v>6324</v>
      </c>
      <c r="E470" s="3">
        <v>469</v>
      </c>
      <c r="F470" s="3" t="s">
        <v>781</v>
      </c>
      <c r="G470" s="3" t="s">
        <v>9</v>
      </c>
      <c r="H470" s="4" t="s">
        <v>6713</v>
      </c>
    </row>
    <row r="471" spans="1:8" x14ac:dyDescent="0.25">
      <c r="A471" s="3" t="s">
        <v>6983</v>
      </c>
      <c r="B471" s="3" t="s">
        <v>6988</v>
      </c>
      <c r="C471" s="3" t="s">
        <v>6985</v>
      </c>
      <c r="D471" s="3" t="s">
        <v>6324</v>
      </c>
      <c r="E471" s="3">
        <v>470</v>
      </c>
      <c r="F471" s="3" t="s">
        <v>782</v>
      </c>
      <c r="G471" s="3" t="s">
        <v>13</v>
      </c>
      <c r="H471" s="4" t="s">
        <v>6714</v>
      </c>
    </row>
    <row r="472" spans="1:8" x14ac:dyDescent="0.25">
      <c r="A472" s="3" t="s">
        <v>6983</v>
      </c>
      <c r="B472" s="3" t="s">
        <v>6988</v>
      </c>
      <c r="C472" s="3" t="s">
        <v>6985</v>
      </c>
      <c r="D472" s="3" t="s">
        <v>6324</v>
      </c>
      <c r="E472" s="3">
        <v>471</v>
      </c>
      <c r="F472" s="3" t="s">
        <v>783</v>
      </c>
      <c r="G472" s="3" t="s">
        <v>13</v>
      </c>
      <c r="H472" s="4" t="s">
        <v>6715</v>
      </c>
    </row>
    <row r="473" spans="1:8" x14ac:dyDescent="0.25">
      <c r="A473" s="3" t="s">
        <v>6983</v>
      </c>
      <c r="B473" s="3" t="s">
        <v>6988</v>
      </c>
      <c r="C473" s="3" t="s">
        <v>6985</v>
      </c>
      <c r="D473" s="3" t="s">
        <v>6324</v>
      </c>
      <c r="E473" s="3">
        <v>472</v>
      </c>
      <c r="F473" s="3" t="s">
        <v>784</v>
      </c>
      <c r="G473" s="3" t="s">
        <v>13</v>
      </c>
      <c r="H473" s="4" t="s">
        <v>6716</v>
      </c>
    </row>
    <row r="474" spans="1:8" x14ac:dyDescent="0.25">
      <c r="A474" s="3" t="s">
        <v>6983</v>
      </c>
      <c r="B474" s="3" t="s">
        <v>6988</v>
      </c>
      <c r="C474" s="3" t="s">
        <v>6985</v>
      </c>
      <c r="D474" s="3" t="s">
        <v>6324</v>
      </c>
      <c r="E474" s="3">
        <v>473</v>
      </c>
      <c r="F474" s="3" t="s">
        <v>785</v>
      </c>
      <c r="G474" s="3" t="s">
        <v>13</v>
      </c>
      <c r="H474" s="4" t="s">
        <v>6717</v>
      </c>
    </row>
    <row r="475" spans="1:8" x14ac:dyDescent="0.25">
      <c r="A475" s="3" t="s">
        <v>6983</v>
      </c>
      <c r="B475" s="3" t="s">
        <v>6988</v>
      </c>
      <c r="C475" s="3" t="s">
        <v>6985</v>
      </c>
      <c r="D475" s="3" t="s">
        <v>1136</v>
      </c>
      <c r="E475" s="3">
        <v>474</v>
      </c>
      <c r="F475" s="3" t="s">
        <v>878</v>
      </c>
      <c r="G475" s="3" t="s">
        <v>16</v>
      </c>
      <c r="H475" s="4" t="s">
        <v>6954</v>
      </c>
    </row>
    <row r="476" spans="1:8" x14ac:dyDescent="0.25">
      <c r="A476" s="3" t="s">
        <v>6983</v>
      </c>
      <c r="B476" s="3" t="s">
        <v>6988</v>
      </c>
      <c r="C476" s="3" t="s">
        <v>6985</v>
      </c>
      <c r="D476" s="3" t="s">
        <v>1136</v>
      </c>
      <c r="E476" s="3">
        <v>475</v>
      </c>
      <c r="F476" s="3" t="s">
        <v>879</v>
      </c>
      <c r="G476" s="3" t="s">
        <v>1110</v>
      </c>
      <c r="H476" s="4" t="s">
        <v>6955</v>
      </c>
    </row>
    <row r="477" spans="1:8" x14ac:dyDescent="0.25">
      <c r="A477" s="3" t="s">
        <v>6983</v>
      </c>
      <c r="B477" s="3" t="s">
        <v>6988</v>
      </c>
      <c r="C477" s="3" t="s">
        <v>6985</v>
      </c>
      <c r="D477" s="3" t="s">
        <v>1136</v>
      </c>
      <c r="E477" s="3">
        <v>476</v>
      </c>
      <c r="F477" s="3" t="s">
        <v>880</v>
      </c>
      <c r="G477" s="3" t="s">
        <v>1110</v>
      </c>
      <c r="H477" s="4" t="s">
        <v>6956</v>
      </c>
    </row>
    <row r="478" spans="1:8" x14ac:dyDescent="0.25">
      <c r="A478" s="3" t="s">
        <v>6983</v>
      </c>
      <c r="B478" s="3" t="s">
        <v>6988</v>
      </c>
      <c r="C478" s="3" t="s">
        <v>6985</v>
      </c>
      <c r="D478" s="3" t="s">
        <v>1136</v>
      </c>
      <c r="E478" s="3">
        <v>477</v>
      </c>
      <c r="F478" s="3" t="s">
        <v>2005</v>
      </c>
      <c r="G478" s="3" t="s">
        <v>1093</v>
      </c>
      <c r="H478" s="3" t="str">
        <f>_xlfn.CONCAT("Data QA applied on ",_xlfn.TEXTAFTER(F478,"MAS "), ", computed by BMT WinMon.")</f>
        <v>Data QA applied on PQ Northings, computed by BMT WinMon.</v>
      </c>
    </row>
    <row r="479" spans="1:8" x14ac:dyDescent="0.25">
      <c r="A479" s="3" t="s">
        <v>6983</v>
      </c>
      <c r="B479" s="3" t="s">
        <v>6988</v>
      </c>
      <c r="C479" s="3" t="s">
        <v>6985</v>
      </c>
      <c r="D479" s="3" t="s">
        <v>1136</v>
      </c>
      <c r="E479" s="3">
        <v>478</v>
      </c>
      <c r="F479" s="3" t="s">
        <v>2006</v>
      </c>
      <c r="G479" s="3" t="s">
        <v>1093</v>
      </c>
      <c r="H479" s="3" t="str">
        <f t="shared" ref="H479:H517" si="8">_xlfn.CONCAT("Data QA applied on ",_xlfn.TEXTAFTER(F479,"MAS "), ", computed by BMT WinMon.")</f>
        <v>Data QA applied on PQ Eastings, computed by BMT WinMon.</v>
      </c>
    </row>
    <row r="480" spans="1:8" x14ac:dyDescent="0.25">
      <c r="A480" s="3" t="s">
        <v>6983</v>
      </c>
      <c r="B480" s="3" t="s">
        <v>6988</v>
      </c>
      <c r="C480" s="3" t="s">
        <v>6985</v>
      </c>
      <c r="D480" s="3" t="s">
        <v>1136</v>
      </c>
      <c r="E480" s="3">
        <v>479</v>
      </c>
      <c r="F480" s="3" t="s">
        <v>2007</v>
      </c>
      <c r="G480" s="3" t="s">
        <v>13</v>
      </c>
      <c r="H480" s="3" t="str">
        <f t="shared" si="8"/>
        <v>Data QA applied on Wind Spd, computed by BMT WinMon.</v>
      </c>
    </row>
    <row r="481" spans="1:8" x14ac:dyDescent="0.25">
      <c r="A481" s="3" t="s">
        <v>6983</v>
      </c>
      <c r="B481" s="3" t="s">
        <v>6988</v>
      </c>
      <c r="C481" s="3" t="s">
        <v>6985</v>
      </c>
      <c r="D481" s="3" t="s">
        <v>1136</v>
      </c>
      <c r="E481" s="3">
        <v>480</v>
      </c>
      <c r="F481" s="3" t="s">
        <v>2008</v>
      </c>
      <c r="G481" s="3" t="s">
        <v>9</v>
      </c>
      <c r="H481" s="3" t="str">
        <f t="shared" si="8"/>
        <v>Data QA applied on Wind Dir, computed by BMT WinMon.</v>
      </c>
    </row>
    <row r="482" spans="1:8" x14ac:dyDescent="0.25">
      <c r="A482" s="3" t="s">
        <v>6983</v>
      </c>
      <c r="B482" s="3" t="s">
        <v>6988</v>
      </c>
      <c r="C482" s="3" t="s">
        <v>6985</v>
      </c>
      <c r="D482" s="3" t="s">
        <v>1136</v>
      </c>
      <c r="E482" s="3">
        <v>481</v>
      </c>
      <c r="F482" s="3" t="s">
        <v>2009</v>
      </c>
      <c r="G482" s="3" t="s">
        <v>13</v>
      </c>
      <c r="H482" s="3" t="str">
        <f t="shared" si="8"/>
        <v>Data QA applied on Max Current Spd, computed by BMT WinMon.</v>
      </c>
    </row>
    <row r="483" spans="1:8" x14ac:dyDescent="0.25">
      <c r="A483" s="3" t="s">
        <v>6983</v>
      </c>
      <c r="B483" s="3" t="s">
        <v>6988</v>
      </c>
      <c r="C483" s="3" t="s">
        <v>6985</v>
      </c>
      <c r="D483" s="3" t="s">
        <v>1136</v>
      </c>
      <c r="E483" s="3">
        <v>482</v>
      </c>
      <c r="F483" s="3" t="s">
        <v>2010</v>
      </c>
      <c r="G483" s="3" t="s">
        <v>9</v>
      </c>
      <c r="H483" s="3" t="str">
        <f t="shared" si="8"/>
        <v>Data QA applied on Max Current Dir, computed by BMT WinMon.</v>
      </c>
    </row>
    <row r="484" spans="1:8" x14ac:dyDescent="0.25">
      <c r="A484" s="3" t="s">
        <v>6983</v>
      </c>
      <c r="B484" s="3" t="s">
        <v>6988</v>
      </c>
      <c r="C484" s="3" t="s">
        <v>6985</v>
      </c>
      <c r="D484" s="3" t="s">
        <v>1136</v>
      </c>
      <c r="E484" s="3">
        <v>483</v>
      </c>
      <c r="F484" s="3" t="s">
        <v>2011</v>
      </c>
      <c r="G484" s="3" t="s">
        <v>1093</v>
      </c>
      <c r="H484" s="3" t="str">
        <f t="shared" si="8"/>
        <v>Data QA applied on Sig Wave Ht, computed by BMT WinMon.</v>
      </c>
    </row>
    <row r="485" spans="1:8" x14ac:dyDescent="0.25">
      <c r="A485" s="3" t="s">
        <v>6983</v>
      </c>
      <c r="B485" s="3" t="s">
        <v>6988</v>
      </c>
      <c r="C485" s="3" t="s">
        <v>6985</v>
      </c>
      <c r="D485" s="3" t="s">
        <v>1136</v>
      </c>
      <c r="E485" s="3">
        <v>484</v>
      </c>
      <c r="F485" s="3" t="s">
        <v>899</v>
      </c>
      <c r="G485" s="3" t="s">
        <v>17</v>
      </c>
      <c r="H485" s="3" t="str">
        <f t="shared" si="8"/>
        <v>Data QA applied on Wave Period, computed by BMT WinMon.</v>
      </c>
    </row>
    <row r="486" spans="1:8" x14ac:dyDescent="0.25">
      <c r="A486" s="3" t="s">
        <v>6983</v>
      </c>
      <c r="B486" s="3" t="s">
        <v>6988</v>
      </c>
      <c r="C486" s="3" t="s">
        <v>6985</v>
      </c>
      <c r="D486" s="3" t="s">
        <v>1136</v>
      </c>
      <c r="E486" s="3">
        <v>485</v>
      </c>
      <c r="F486" s="3" t="s">
        <v>900</v>
      </c>
      <c r="G486" s="3" t="s">
        <v>9</v>
      </c>
      <c r="H486" s="3" t="str">
        <f t="shared" si="8"/>
        <v>Data QA applied on Wave Dir, computed by BMT WinMon.</v>
      </c>
    </row>
    <row r="487" spans="1:8" x14ac:dyDescent="0.25">
      <c r="A487" s="3" t="s">
        <v>6983</v>
      </c>
      <c r="B487" s="3" t="s">
        <v>6988</v>
      </c>
      <c r="C487" s="3" t="s">
        <v>6985</v>
      </c>
      <c r="D487" s="3" t="s">
        <v>1136</v>
      </c>
      <c r="E487" s="3">
        <v>486</v>
      </c>
      <c r="F487" s="3" t="s">
        <v>2417</v>
      </c>
      <c r="G487" s="3" t="s">
        <v>1100</v>
      </c>
      <c r="H487" s="3" t="str">
        <f t="shared" si="8"/>
        <v>Data QA applied on NE Tendon 2 Tension, computed by BMT WinMon.</v>
      </c>
    </row>
    <row r="488" spans="1:8" x14ac:dyDescent="0.25">
      <c r="A488" s="3" t="s">
        <v>6983</v>
      </c>
      <c r="B488" s="3" t="s">
        <v>6988</v>
      </c>
      <c r="C488" s="3" t="s">
        <v>6985</v>
      </c>
      <c r="D488" s="3" t="s">
        <v>1136</v>
      </c>
      <c r="E488" s="3">
        <v>487</v>
      </c>
      <c r="F488" s="3" t="s">
        <v>2418</v>
      </c>
      <c r="G488" s="3" t="s">
        <v>1100</v>
      </c>
      <c r="H488" s="3" t="str">
        <f t="shared" si="8"/>
        <v>Data QA applied on SE Tendon 5 Tension, computed by BMT WinMon.</v>
      </c>
    </row>
    <row r="489" spans="1:8" x14ac:dyDescent="0.25">
      <c r="A489" s="3" t="s">
        <v>6983</v>
      </c>
      <c r="B489" s="3" t="s">
        <v>6988</v>
      </c>
      <c r="C489" s="3" t="s">
        <v>6985</v>
      </c>
      <c r="D489" s="3" t="s">
        <v>1136</v>
      </c>
      <c r="E489" s="3">
        <v>488</v>
      </c>
      <c r="F489" s="3" t="s">
        <v>2419</v>
      </c>
      <c r="G489" s="3" t="s">
        <v>1100</v>
      </c>
      <c r="H489" s="3" t="str">
        <f t="shared" si="8"/>
        <v>Data QA applied on SW Tendon 8 Tension, computed by BMT WinMon.</v>
      </c>
    </row>
    <row r="490" spans="1:8" x14ac:dyDescent="0.25">
      <c r="A490" s="3" t="s">
        <v>6983</v>
      </c>
      <c r="B490" s="3" t="s">
        <v>6988</v>
      </c>
      <c r="C490" s="3" t="s">
        <v>6985</v>
      </c>
      <c r="D490" s="3" t="s">
        <v>1136</v>
      </c>
      <c r="E490" s="3">
        <v>489</v>
      </c>
      <c r="F490" s="3" t="s">
        <v>2420</v>
      </c>
      <c r="G490" s="3" t="s">
        <v>1100</v>
      </c>
      <c r="H490" s="3" t="str">
        <f t="shared" si="8"/>
        <v>Data QA applied on NW Tendon 11 Tension, computed by BMT WinMon.</v>
      </c>
    </row>
    <row r="491" spans="1:8" x14ac:dyDescent="0.25">
      <c r="A491" s="3" t="s">
        <v>6983</v>
      </c>
      <c r="B491" s="3" t="s">
        <v>6988</v>
      </c>
      <c r="C491" s="3" t="s">
        <v>6985</v>
      </c>
      <c r="D491" s="3" t="s">
        <v>1136</v>
      </c>
      <c r="E491" s="3">
        <v>490</v>
      </c>
      <c r="F491" s="3" t="s">
        <v>2421</v>
      </c>
      <c r="G491" s="3" t="s">
        <v>1093</v>
      </c>
      <c r="H491" s="3" t="str">
        <f t="shared" si="8"/>
        <v>Data QA applied on ABJ-2606 Level, computed by BMT WinMon.</v>
      </c>
    </row>
    <row r="492" spans="1:8" x14ac:dyDescent="0.25">
      <c r="A492" s="3" t="s">
        <v>6983</v>
      </c>
      <c r="B492" s="3" t="s">
        <v>6988</v>
      </c>
      <c r="C492" s="3" t="s">
        <v>6985</v>
      </c>
      <c r="D492" s="3" t="s">
        <v>1136</v>
      </c>
      <c r="E492" s="3">
        <v>491</v>
      </c>
      <c r="F492" s="3" t="s">
        <v>2422</v>
      </c>
      <c r="G492" s="3" t="s">
        <v>1093</v>
      </c>
      <c r="H492" s="3" t="str">
        <f t="shared" si="8"/>
        <v>Data QA applied on ABJ-2607 Level, computed by BMT WinMon.</v>
      </c>
    </row>
    <row r="493" spans="1:8" x14ac:dyDescent="0.25">
      <c r="A493" s="3" t="s">
        <v>6983</v>
      </c>
      <c r="B493" s="3" t="s">
        <v>6988</v>
      </c>
      <c r="C493" s="3" t="s">
        <v>6985</v>
      </c>
      <c r="D493" s="3" t="s">
        <v>1136</v>
      </c>
      <c r="E493" s="3">
        <v>492</v>
      </c>
      <c r="F493" s="3" t="s">
        <v>2423</v>
      </c>
      <c r="G493" s="3" t="s">
        <v>1093</v>
      </c>
      <c r="H493" s="3" t="str">
        <f t="shared" si="8"/>
        <v>Data QA applied on BAL-NPE Level, computed by BMT WinMon.</v>
      </c>
    </row>
    <row r="494" spans="1:8" x14ac:dyDescent="0.25">
      <c r="A494" s="3" t="s">
        <v>6983</v>
      </c>
      <c r="B494" s="3" t="s">
        <v>6988</v>
      </c>
      <c r="C494" s="3" t="s">
        <v>6985</v>
      </c>
      <c r="D494" s="3" t="s">
        <v>1136</v>
      </c>
      <c r="E494" s="3">
        <v>493</v>
      </c>
      <c r="F494" s="3" t="s">
        <v>2424</v>
      </c>
      <c r="G494" s="3" t="s">
        <v>1093</v>
      </c>
      <c r="H494" s="3" t="str">
        <f t="shared" si="8"/>
        <v>Data QA applied on BAL-EPN Level, computed by BMT WinMon.</v>
      </c>
    </row>
    <row r="495" spans="1:8" x14ac:dyDescent="0.25">
      <c r="A495" s="3" t="s">
        <v>6983</v>
      </c>
      <c r="B495" s="3" t="s">
        <v>6988</v>
      </c>
      <c r="C495" s="3" t="s">
        <v>6985</v>
      </c>
      <c r="D495" s="3" t="s">
        <v>1136</v>
      </c>
      <c r="E495" s="3">
        <v>494</v>
      </c>
      <c r="F495" s="3" t="s">
        <v>2425</v>
      </c>
      <c r="G495" s="3" t="s">
        <v>1093</v>
      </c>
      <c r="H495" s="3" t="str">
        <f t="shared" si="8"/>
        <v>Data QA applied on BAL-EPS Level, computed by BMT WinMon.</v>
      </c>
    </row>
    <row r="496" spans="1:8" x14ac:dyDescent="0.25">
      <c r="A496" s="3" t="s">
        <v>6983</v>
      </c>
      <c r="B496" s="3" t="s">
        <v>6988</v>
      </c>
      <c r="C496" s="3" t="s">
        <v>6985</v>
      </c>
      <c r="D496" s="3" t="s">
        <v>1136</v>
      </c>
      <c r="E496" s="3">
        <v>495</v>
      </c>
      <c r="F496" s="3" t="s">
        <v>2426</v>
      </c>
      <c r="G496" s="3" t="s">
        <v>1093</v>
      </c>
      <c r="H496" s="3" t="str">
        <f t="shared" si="8"/>
        <v>Data QA applied on BAL-SPE Level, computed by BMT WinMon.</v>
      </c>
    </row>
    <row r="497" spans="1:8" x14ac:dyDescent="0.25">
      <c r="A497" s="3" t="s">
        <v>6983</v>
      </c>
      <c r="B497" s="3" t="s">
        <v>6988</v>
      </c>
      <c r="C497" s="3" t="s">
        <v>6985</v>
      </c>
      <c r="D497" s="3" t="s">
        <v>1136</v>
      </c>
      <c r="E497" s="3">
        <v>496</v>
      </c>
      <c r="F497" s="3" t="s">
        <v>2427</v>
      </c>
      <c r="G497" s="3" t="s">
        <v>1093</v>
      </c>
      <c r="H497" s="3" t="str">
        <f t="shared" si="8"/>
        <v>Data QA applied on BAL-NE0-BN Level, computed by BMT WinMon.</v>
      </c>
    </row>
    <row r="498" spans="1:8" x14ac:dyDescent="0.25">
      <c r="A498" s="3" t="s">
        <v>6983</v>
      </c>
      <c r="B498" s="3" t="s">
        <v>6988</v>
      </c>
      <c r="C498" s="3" t="s">
        <v>6985</v>
      </c>
      <c r="D498" s="3" t="s">
        <v>1136</v>
      </c>
      <c r="E498" s="3">
        <v>497</v>
      </c>
      <c r="F498" s="3" t="s">
        <v>2428</v>
      </c>
      <c r="G498" s="3" t="s">
        <v>1093</v>
      </c>
      <c r="H498" s="3" t="str">
        <f t="shared" si="8"/>
        <v>Data QA applied on BAL-NE0-BE Level, computed by BMT WinMon.</v>
      </c>
    </row>
    <row r="499" spans="1:8" x14ac:dyDescent="0.25">
      <c r="A499" s="3" t="s">
        <v>6983</v>
      </c>
      <c r="B499" s="3" t="s">
        <v>6988</v>
      </c>
      <c r="C499" s="3" t="s">
        <v>6985</v>
      </c>
      <c r="D499" s="3" t="s">
        <v>1136</v>
      </c>
      <c r="E499" s="3">
        <v>498</v>
      </c>
      <c r="F499" s="3" t="s">
        <v>2429</v>
      </c>
      <c r="G499" s="3" t="s">
        <v>1093</v>
      </c>
      <c r="H499" s="3" t="str">
        <f t="shared" si="8"/>
        <v>Data QA applied on BAL-SE0-BE Level, computed by BMT WinMon.</v>
      </c>
    </row>
    <row r="500" spans="1:8" x14ac:dyDescent="0.25">
      <c r="A500" s="3" t="s">
        <v>6983</v>
      </c>
      <c r="B500" s="3" t="s">
        <v>6988</v>
      </c>
      <c r="C500" s="3" t="s">
        <v>6985</v>
      </c>
      <c r="D500" s="3" t="s">
        <v>1136</v>
      </c>
      <c r="E500" s="3">
        <v>499</v>
      </c>
      <c r="F500" s="3" t="s">
        <v>2430</v>
      </c>
      <c r="G500" s="3" t="s">
        <v>1093</v>
      </c>
      <c r="H500" s="3" t="str">
        <f t="shared" si="8"/>
        <v>Data QA applied on BAL-SE0-BS Level, computed by BMT WinMon.</v>
      </c>
    </row>
    <row r="501" spans="1:8" x14ac:dyDescent="0.25">
      <c r="A501" s="3" t="s">
        <v>6983</v>
      </c>
      <c r="B501" s="3" t="s">
        <v>6988</v>
      </c>
      <c r="C501" s="3" t="s">
        <v>6985</v>
      </c>
      <c r="D501" s="3" t="s">
        <v>1136</v>
      </c>
      <c r="E501" s="3">
        <v>500</v>
      </c>
      <c r="F501" s="3" t="s">
        <v>2431</v>
      </c>
      <c r="G501" s="3" t="s">
        <v>1093</v>
      </c>
      <c r="H501" s="3" t="str">
        <f t="shared" si="8"/>
        <v>Data QA applied on BAL-SE1-BS Level, computed by BMT WinMon.</v>
      </c>
    </row>
    <row r="502" spans="1:8" x14ac:dyDescent="0.25">
      <c r="A502" s="3" t="s">
        <v>6983</v>
      </c>
      <c r="B502" s="3" t="s">
        <v>6988</v>
      </c>
      <c r="C502" s="3" t="s">
        <v>6985</v>
      </c>
      <c r="D502" s="3" t="s">
        <v>1136</v>
      </c>
      <c r="E502" s="3">
        <v>501</v>
      </c>
      <c r="F502" s="3" t="s">
        <v>2432</v>
      </c>
      <c r="G502" s="3" t="s">
        <v>1093</v>
      </c>
      <c r="H502" s="3" t="str">
        <f t="shared" si="8"/>
        <v>Data QA applied on ABJ-2700 Level, computed by BMT WinMon.</v>
      </c>
    </row>
    <row r="503" spans="1:8" x14ac:dyDescent="0.25">
      <c r="A503" s="3" t="s">
        <v>6983</v>
      </c>
      <c r="B503" s="3" t="s">
        <v>6988</v>
      </c>
      <c r="C503" s="3" t="s">
        <v>6985</v>
      </c>
      <c r="D503" s="3" t="s">
        <v>1136</v>
      </c>
      <c r="E503" s="3">
        <v>502</v>
      </c>
      <c r="F503" s="3" t="s">
        <v>2433</v>
      </c>
      <c r="G503" s="3" t="s">
        <v>1093</v>
      </c>
      <c r="H503" s="3" t="str">
        <f t="shared" si="8"/>
        <v>Data QA applied on ABJ-2703 Level, computed by BMT WinMon.</v>
      </c>
    </row>
    <row r="504" spans="1:8" x14ac:dyDescent="0.25">
      <c r="A504" s="3" t="s">
        <v>6983</v>
      </c>
      <c r="B504" s="3" t="s">
        <v>6988</v>
      </c>
      <c r="C504" s="3" t="s">
        <v>6985</v>
      </c>
      <c r="D504" s="3" t="s">
        <v>1136</v>
      </c>
      <c r="E504" s="3">
        <v>503</v>
      </c>
      <c r="F504" s="3" t="s">
        <v>2434</v>
      </c>
      <c r="G504" s="3" t="s">
        <v>1093</v>
      </c>
      <c r="H504" s="3" t="str">
        <f t="shared" si="8"/>
        <v>Data QA applied on BAL-NPW Level, computed by BMT WinMon.</v>
      </c>
    </row>
    <row r="505" spans="1:8" x14ac:dyDescent="0.25">
      <c r="A505" s="3" t="s">
        <v>6983</v>
      </c>
      <c r="B505" s="3" t="s">
        <v>6988</v>
      </c>
      <c r="C505" s="3" t="s">
        <v>6985</v>
      </c>
      <c r="D505" s="3" t="s">
        <v>1136</v>
      </c>
      <c r="E505" s="3">
        <v>504</v>
      </c>
      <c r="F505" s="3" t="s">
        <v>2435</v>
      </c>
      <c r="G505" s="3" t="s">
        <v>1093</v>
      </c>
      <c r="H505" s="3" t="str">
        <f t="shared" si="8"/>
        <v>Data QA applied on BAL-WPN Level, computed by BMT WinMon.</v>
      </c>
    </row>
    <row r="506" spans="1:8" x14ac:dyDescent="0.25">
      <c r="A506" s="3" t="s">
        <v>6983</v>
      </c>
      <c r="B506" s="3" t="s">
        <v>6988</v>
      </c>
      <c r="C506" s="3" t="s">
        <v>6985</v>
      </c>
      <c r="D506" s="3" t="s">
        <v>1136</v>
      </c>
      <c r="E506" s="3">
        <v>505</v>
      </c>
      <c r="F506" s="3" t="s">
        <v>2436</v>
      </c>
      <c r="G506" s="3" t="s">
        <v>1093</v>
      </c>
      <c r="H506" s="3" t="str">
        <f t="shared" si="8"/>
        <v>Data QA applied on BAL-WPS Level, computed by BMT WinMon.</v>
      </c>
    </row>
    <row r="507" spans="1:8" x14ac:dyDescent="0.25">
      <c r="A507" s="3" t="s">
        <v>6983</v>
      </c>
      <c r="B507" s="3" t="s">
        <v>6988</v>
      </c>
      <c r="C507" s="3" t="s">
        <v>6985</v>
      </c>
      <c r="D507" s="3" t="s">
        <v>1136</v>
      </c>
      <c r="E507" s="3">
        <v>506</v>
      </c>
      <c r="F507" s="3" t="s">
        <v>2437</v>
      </c>
      <c r="G507" s="3" t="s">
        <v>1093</v>
      </c>
      <c r="H507" s="3" t="str">
        <f t="shared" si="8"/>
        <v>Data QA applied on BAL-SPW Level, computed by BMT WinMon.</v>
      </c>
    </row>
    <row r="508" spans="1:8" x14ac:dyDescent="0.25">
      <c r="A508" s="3" t="s">
        <v>6983</v>
      </c>
      <c r="B508" s="3" t="s">
        <v>6988</v>
      </c>
      <c r="C508" s="3" t="s">
        <v>6985</v>
      </c>
      <c r="D508" s="3" t="s">
        <v>1136</v>
      </c>
      <c r="E508" s="3">
        <v>507</v>
      </c>
      <c r="F508" s="3" t="s">
        <v>2438</v>
      </c>
      <c r="G508" s="3" t="s">
        <v>1093</v>
      </c>
      <c r="H508" s="3" t="str">
        <f t="shared" si="8"/>
        <v>Data QA applied on BAL-NW0-BN Level, computed by BMT WinMon.</v>
      </c>
    </row>
    <row r="509" spans="1:8" x14ac:dyDescent="0.25">
      <c r="A509" s="3" t="s">
        <v>6983</v>
      </c>
      <c r="B509" s="3" t="s">
        <v>6988</v>
      </c>
      <c r="C509" s="3" t="s">
        <v>6985</v>
      </c>
      <c r="D509" s="3" t="s">
        <v>1136</v>
      </c>
      <c r="E509" s="3">
        <v>508</v>
      </c>
      <c r="F509" s="3" t="s">
        <v>2439</v>
      </c>
      <c r="G509" s="3" t="s">
        <v>1093</v>
      </c>
      <c r="H509" s="3" t="str">
        <f t="shared" si="8"/>
        <v>Data QA applied on BAL-NW0-BW Level, computed by BMT WinMon.</v>
      </c>
    </row>
    <row r="510" spans="1:8" x14ac:dyDescent="0.25">
      <c r="A510" s="3" t="s">
        <v>6983</v>
      </c>
      <c r="B510" s="3" t="s">
        <v>6988</v>
      </c>
      <c r="C510" s="3" t="s">
        <v>6985</v>
      </c>
      <c r="D510" s="3" t="s">
        <v>1136</v>
      </c>
      <c r="E510" s="3">
        <v>509</v>
      </c>
      <c r="F510" s="3" t="s">
        <v>2440</v>
      </c>
      <c r="G510" s="3" t="s">
        <v>1093</v>
      </c>
      <c r="H510" s="3" t="str">
        <f t="shared" si="8"/>
        <v>Data QA applied on BAL-SW0-BS Level, computed by BMT WinMon.</v>
      </c>
    </row>
    <row r="511" spans="1:8" x14ac:dyDescent="0.25">
      <c r="A511" s="3" t="s">
        <v>6983</v>
      </c>
      <c r="B511" s="3" t="s">
        <v>6988</v>
      </c>
      <c r="C511" s="3" t="s">
        <v>6985</v>
      </c>
      <c r="D511" s="3" t="s">
        <v>1136</v>
      </c>
      <c r="E511" s="3">
        <v>510</v>
      </c>
      <c r="F511" s="3" t="s">
        <v>2441</v>
      </c>
      <c r="G511" s="3" t="s">
        <v>1093</v>
      </c>
      <c r="H511" s="3" t="str">
        <f t="shared" si="8"/>
        <v>Data QA applied on BAL-SW0-BW Level, computed by BMT WinMon.</v>
      </c>
    </row>
    <row r="512" spans="1:8" x14ac:dyDescent="0.25">
      <c r="A512" s="3" t="s">
        <v>6983</v>
      </c>
      <c r="B512" s="3" t="s">
        <v>6988</v>
      </c>
      <c r="C512" s="3" t="s">
        <v>6985</v>
      </c>
      <c r="D512" s="3" t="s">
        <v>1136</v>
      </c>
      <c r="E512" s="3">
        <v>511</v>
      </c>
      <c r="F512" s="3" t="s">
        <v>2442</v>
      </c>
      <c r="G512" s="3" t="s">
        <v>1093</v>
      </c>
      <c r="H512" s="3" t="str">
        <f t="shared" si="8"/>
        <v>Data QA applied on BAL-SW1-BS Level, computed by BMT WinMon.</v>
      </c>
    </row>
    <row r="513" spans="1:8" x14ac:dyDescent="0.25">
      <c r="A513" s="3" t="s">
        <v>6983</v>
      </c>
      <c r="B513" s="3" t="s">
        <v>6988</v>
      </c>
      <c r="C513" s="3" t="s">
        <v>6985</v>
      </c>
      <c r="D513" s="3" t="s">
        <v>1136</v>
      </c>
      <c r="E513" s="3">
        <v>512</v>
      </c>
      <c r="F513" s="3" t="s">
        <v>2443</v>
      </c>
      <c r="G513" s="3" t="s">
        <v>1093</v>
      </c>
      <c r="H513" s="3" t="str">
        <f t="shared" si="8"/>
        <v>Data QA applied on ABJ-801 Level, computed by BMT WinMon.</v>
      </c>
    </row>
    <row r="514" spans="1:8" x14ac:dyDescent="0.25">
      <c r="A514" s="3" t="s">
        <v>6983</v>
      </c>
      <c r="B514" s="3" t="s">
        <v>6988</v>
      </c>
      <c r="C514" s="3" t="s">
        <v>6985</v>
      </c>
      <c r="D514" s="3" t="s">
        <v>1136</v>
      </c>
      <c r="E514" s="3">
        <v>513</v>
      </c>
      <c r="F514" s="3" t="s">
        <v>886</v>
      </c>
      <c r="G514" s="3" t="s">
        <v>1093</v>
      </c>
      <c r="H514" s="3" t="str">
        <f t="shared" si="8"/>
        <v>Data QA applied on North Draft, computed by BMT WinMon.</v>
      </c>
    </row>
    <row r="515" spans="1:8" x14ac:dyDescent="0.25">
      <c r="A515" s="3" t="s">
        <v>6983</v>
      </c>
      <c r="B515" s="3" t="s">
        <v>6988</v>
      </c>
      <c r="C515" s="3" t="s">
        <v>6985</v>
      </c>
      <c r="D515" s="3" t="s">
        <v>1136</v>
      </c>
      <c r="E515" s="3">
        <v>514</v>
      </c>
      <c r="F515" s="3" t="s">
        <v>887</v>
      </c>
      <c r="G515" s="3" t="s">
        <v>1093</v>
      </c>
      <c r="H515" s="3" t="str">
        <f t="shared" si="8"/>
        <v>Data QA applied on East Draft, computed by BMT WinMon.</v>
      </c>
    </row>
    <row r="516" spans="1:8" x14ac:dyDescent="0.25">
      <c r="A516" s="3" t="s">
        <v>6983</v>
      </c>
      <c r="B516" s="3" t="s">
        <v>6988</v>
      </c>
      <c r="C516" s="3" t="s">
        <v>6985</v>
      </c>
      <c r="D516" s="3" t="s">
        <v>1136</v>
      </c>
      <c r="E516" s="3">
        <v>515</v>
      </c>
      <c r="F516" s="3" t="s">
        <v>888</v>
      </c>
      <c r="G516" s="3" t="s">
        <v>1093</v>
      </c>
      <c r="H516" s="3" t="str">
        <f t="shared" si="8"/>
        <v>Data QA applied on South Draft, computed by BMT WinMon.</v>
      </c>
    </row>
    <row r="517" spans="1:8" x14ac:dyDescent="0.25">
      <c r="A517" s="3" t="s">
        <v>6983</v>
      </c>
      <c r="B517" s="3" t="s">
        <v>6988</v>
      </c>
      <c r="C517" s="3" t="s">
        <v>6985</v>
      </c>
      <c r="D517" s="3" t="s">
        <v>1136</v>
      </c>
      <c r="E517" s="3">
        <v>516</v>
      </c>
      <c r="F517" s="3" t="s">
        <v>889</v>
      </c>
      <c r="G517" s="3" t="s">
        <v>1093</v>
      </c>
      <c r="H517" s="3" t="str">
        <f t="shared" si="8"/>
        <v>Data QA applied on West Draft, computed by BMT WinMon.</v>
      </c>
    </row>
    <row r="518" spans="1:8" x14ac:dyDescent="0.25">
      <c r="A518" s="3" t="s">
        <v>6983</v>
      </c>
      <c r="B518" s="3" t="s">
        <v>6988</v>
      </c>
      <c r="C518" s="3" t="s">
        <v>6985</v>
      </c>
      <c r="D518" s="3" t="s">
        <v>1136</v>
      </c>
      <c r="E518" s="3">
        <v>517</v>
      </c>
      <c r="F518" s="3" t="s">
        <v>2095</v>
      </c>
      <c r="G518" s="3" t="s">
        <v>16</v>
      </c>
      <c r="H518" s="3" t="s">
        <v>6969</v>
      </c>
    </row>
    <row r="519" spans="1:8" x14ac:dyDescent="0.25">
      <c r="A519" s="3" t="s">
        <v>6983</v>
      </c>
      <c r="B519" s="3" t="s">
        <v>6988</v>
      </c>
      <c r="C519" s="3" t="s">
        <v>6985</v>
      </c>
      <c r="D519" s="3" t="s">
        <v>1136</v>
      </c>
      <c r="E519" s="3">
        <v>518</v>
      </c>
      <c r="F519" s="3" t="s">
        <v>2096</v>
      </c>
      <c r="G519" s="3" t="s">
        <v>13</v>
      </c>
      <c r="H519" s="4" t="s">
        <v>2154</v>
      </c>
    </row>
    <row r="520" spans="1:8" x14ac:dyDescent="0.25">
      <c r="A520" s="3" t="s">
        <v>6983</v>
      </c>
      <c r="B520" s="3" t="s">
        <v>6988</v>
      </c>
      <c r="C520" s="3" t="s">
        <v>6985</v>
      </c>
      <c r="D520" s="3" t="s">
        <v>1136</v>
      </c>
      <c r="E520" s="3">
        <v>519</v>
      </c>
      <c r="F520" s="3" t="s">
        <v>2097</v>
      </c>
      <c r="G520" s="3" t="s">
        <v>13</v>
      </c>
      <c r="H520" s="4" t="s">
        <v>2155</v>
      </c>
    </row>
    <row r="521" spans="1:8" x14ac:dyDescent="0.25">
      <c r="A521" s="3" t="s">
        <v>6983</v>
      </c>
      <c r="B521" s="3" t="s">
        <v>6988</v>
      </c>
      <c r="C521" s="3" t="s">
        <v>6985</v>
      </c>
      <c r="D521" s="3" t="s">
        <v>1136</v>
      </c>
      <c r="E521" s="3">
        <v>520</v>
      </c>
      <c r="F521" s="3" t="s">
        <v>883</v>
      </c>
      <c r="G521" s="3" t="s">
        <v>13</v>
      </c>
      <c r="H521" s="4" t="s">
        <v>1254</v>
      </c>
    </row>
    <row r="522" spans="1:8" x14ac:dyDescent="0.25">
      <c r="A522" s="3" t="s">
        <v>6983</v>
      </c>
      <c r="B522" s="3" t="s">
        <v>6988</v>
      </c>
      <c r="C522" s="3" t="s">
        <v>6985</v>
      </c>
      <c r="D522" s="3" t="s">
        <v>1136</v>
      </c>
      <c r="E522" s="3">
        <v>521</v>
      </c>
      <c r="F522" s="3" t="s">
        <v>884</v>
      </c>
      <c r="G522" s="3" t="s">
        <v>13</v>
      </c>
      <c r="H522" s="4" t="s">
        <v>1253</v>
      </c>
    </row>
    <row r="523" spans="1:8" x14ac:dyDescent="0.25">
      <c r="A523" s="3" t="s">
        <v>6983</v>
      </c>
      <c r="B523" s="3" t="s">
        <v>6988</v>
      </c>
      <c r="C523" s="3" t="s">
        <v>6985</v>
      </c>
      <c r="D523" s="3" t="s">
        <v>1136</v>
      </c>
      <c r="E523" s="3">
        <v>522</v>
      </c>
      <c r="F523" s="3" t="s">
        <v>885</v>
      </c>
      <c r="G523" s="3" t="s">
        <v>13</v>
      </c>
      <c r="H523" s="4" t="s">
        <v>1255</v>
      </c>
    </row>
    <row r="524" spans="1:8" x14ac:dyDescent="0.25">
      <c r="A524" s="3" t="s">
        <v>6983</v>
      </c>
      <c r="B524" s="3" t="s">
        <v>6988</v>
      </c>
      <c r="C524" s="3" t="s">
        <v>6985</v>
      </c>
      <c r="D524" s="3" t="s">
        <v>1136</v>
      </c>
      <c r="E524" s="3">
        <v>523</v>
      </c>
      <c r="F524" s="5" t="s">
        <v>233</v>
      </c>
      <c r="G524" s="5" t="s">
        <v>1100</v>
      </c>
      <c r="H524" s="5" t="str">
        <f>_xlfn.CONCAT("Output ",F524, ", from 3rd party.")</f>
        <v>Output Phantom Weight, from 3rd party.</v>
      </c>
    </row>
    <row r="525" spans="1:8" x14ac:dyDescent="0.25">
      <c r="A525" s="3" t="s">
        <v>6983</v>
      </c>
      <c r="B525" s="3" t="s">
        <v>6988</v>
      </c>
      <c r="C525" s="3" t="s">
        <v>6985</v>
      </c>
      <c r="D525" s="3" t="s">
        <v>1136</v>
      </c>
      <c r="E525" s="3">
        <v>524</v>
      </c>
      <c r="F525" s="3" t="s">
        <v>2444</v>
      </c>
      <c r="G525" s="3" t="s">
        <v>1100</v>
      </c>
      <c r="H525" s="5" t="str">
        <f t="shared" ref="H525:H543" si="9">_xlfn.CONCAT("Output ",F525, ", from 3rd party.")</f>
        <v>Output Lightship Wt, from 3rd party.</v>
      </c>
    </row>
    <row r="526" spans="1:8" x14ac:dyDescent="0.25">
      <c r="A526" s="3" t="s">
        <v>6983</v>
      </c>
      <c r="B526" s="3" t="s">
        <v>6988</v>
      </c>
      <c r="C526" s="3" t="s">
        <v>6985</v>
      </c>
      <c r="D526" s="3" t="s">
        <v>1136</v>
      </c>
      <c r="E526" s="3">
        <v>525</v>
      </c>
      <c r="F526" s="3" t="s">
        <v>2445</v>
      </c>
      <c r="G526" s="3" t="s">
        <v>1100</v>
      </c>
      <c r="H526" s="5" t="str">
        <f t="shared" si="9"/>
        <v>Output Lightship Change Wt, from 3rd party.</v>
      </c>
    </row>
    <row r="527" spans="1:8" x14ac:dyDescent="0.25">
      <c r="A527" s="3" t="s">
        <v>6983</v>
      </c>
      <c r="B527" s="3" t="s">
        <v>6988</v>
      </c>
      <c r="C527" s="3" t="s">
        <v>6985</v>
      </c>
      <c r="D527" s="3" t="s">
        <v>1136</v>
      </c>
      <c r="E527" s="3">
        <v>526</v>
      </c>
      <c r="F527" s="3" t="s">
        <v>2446</v>
      </c>
      <c r="G527" s="3" t="s">
        <v>1100</v>
      </c>
      <c r="H527" s="5" t="str">
        <f t="shared" si="9"/>
        <v>Output Ballast Wt, from 3rd party.</v>
      </c>
    </row>
    <row r="528" spans="1:8" x14ac:dyDescent="0.25">
      <c r="A528" s="3" t="s">
        <v>6983</v>
      </c>
      <c r="B528" s="3" t="s">
        <v>6988</v>
      </c>
      <c r="C528" s="3" t="s">
        <v>6985</v>
      </c>
      <c r="D528" s="3" t="s">
        <v>1136</v>
      </c>
      <c r="E528" s="3">
        <v>527</v>
      </c>
      <c r="F528" s="3" t="s">
        <v>2447</v>
      </c>
      <c r="G528" s="3" t="s">
        <v>1100</v>
      </c>
      <c r="H528" s="5" t="str">
        <f t="shared" si="9"/>
        <v>Output Void Wt, from 3rd party.</v>
      </c>
    </row>
    <row r="529" spans="1:8" x14ac:dyDescent="0.25">
      <c r="A529" s="3" t="s">
        <v>6983</v>
      </c>
      <c r="B529" s="3" t="s">
        <v>6988</v>
      </c>
      <c r="C529" s="3" t="s">
        <v>6985</v>
      </c>
      <c r="D529" s="3" t="s">
        <v>1136</v>
      </c>
      <c r="E529" s="3">
        <v>528</v>
      </c>
      <c r="F529" s="3" t="s">
        <v>2448</v>
      </c>
      <c r="G529" s="3" t="s">
        <v>1100</v>
      </c>
      <c r="H529" s="5" t="str">
        <f t="shared" si="9"/>
        <v>Output Cons Liquids Wt, from 3rd party.</v>
      </c>
    </row>
    <row r="530" spans="1:8" x14ac:dyDescent="0.25">
      <c r="A530" s="3" t="s">
        <v>6983</v>
      </c>
      <c r="B530" s="3" t="s">
        <v>6988</v>
      </c>
      <c r="C530" s="3" t="s">
        <v>6985</v>
      </c>
      <c r="D530" s="3" t="s">
        <v>1136</v>
      </c>
      <c r="E530" s="3">
        <v>529</v>
      </c>
      <c r="F530" s="3" t="s">
        <v>2449</v>
      </c>
      <c r="G530" s="3" t="s">
        <v>1100</v>
      </c>
      <c r="H530" s="5" t="str">
        <f t="shared" si="9"/>
        <v>Output Drill Cons Wt, from 3rd party.</v>
      </c>
    </row>
    <row r="531" spans="1:8" x14ac:dyDescent="0.25">
      <c r="A531" s="3" t="s">
        <v>6983</v>
      </c>
      <c r="B531" s="3" t="s">
        <v>6988</v>
      </c>
      <c r="C531" s="3" t="s">
        <v>6985</v>
      </c>
      <c r="D531" s="3" t="s">
        <v>1136</v>
      </c>
      <c r="E531" s="3">
        <v>530</v>
      </c>
      <c r="F531" s="3" t="s">
        <v>2450</v>
      </c>
      <c r="G531" s="3" t="s">
        <v>1100</v>
      </c>
      <c r="H531" s="5" t="str">
        <f t="shared" si="9"/>
        <v>Output Cement Wt, from 3rd party.</v>
      </c>
    </row>
    <row r="532" spans="1:8" x14ac:dyDescent="0.25">
      <c r="A532" s="3" t="s">
        <v>6983</v>
      </c>
      <c r="B532" s="3" t="s">
        <v>6988</v>
      </c>
      <c r="C532" s="3" t="s">
        <v>6985</v>
      </c>
      <c r="D532" s="3" t="s">
        <v>1136</v>
      </c>
      <c r="E532" s="3">
        <v>531</v>
      </c>
      <c r="F532" s="3" t="s">
        <v>2451</v>
      </c>
      <c r="G532" s="3" t="s">
        <v>1100</v>
      </c>
      <c r="H532" s="5" t="str">
        <f t="shared" si="9"/>
        <v>Output Drill Rig Wt, from 3rd party.</v>
      </c>
    </row>
    <row r="533" spans="1:8" x14ac:dyDescent="0.25">
      <c r="A533" s="3" t="s">
        <v>6983</v>
      </c>
      <c r="B533" s="3" t="s">
        <v>6988</v>
      </c>
      <c r="C533" s="3" t="s">
        <v>6985</v>
      </c>
      <c r="D533" s="3" t="s">
        <v>1136</v>
      </c>
      <c r="E533" s="3">
        <v>532</v>
      </c>
      <c r="F533" s="3" t="s">
        <v>2452</v>
      </c>
      <c r="G533" s="3" t="s">
        <v>1100</v>
      </c>
      <c r="H533" s="5" t="str">
        <f t="shared" si="9"/>
        <v>Output Platform W Wt, from 3rd party.</v>
      </c>
    </row>
    <row r="534" spans="1:8" x14ac:dyDescent="0.25">
      <c r="A534" s="3" t="s">
        <v>6983</v>
      </c>
      <c r="B534" s="3" t="s">
        <v>6988</v>
      </c>
      <c r="C534" s="3" t="s">
        <v>6985</v>
      </c>
      <c r="D534" s="3" t="s">
        <v>1136</v>
      </c>
      <c r="E534" s="3">
        <v>533</v>
      </c>
      <c r="F534" s="3" t="s">
        <v>2453</v>
      </c>
      <c r="G534" s="3" t="s">
        <v>1100</v>
      </c>
      <c r="H534" s="5" t="str">
        <f t="shared" si="9"/>
        <v>Output SCRs Wt, from 3rd party.</v>
      </c>
    </row>
    <row r="535" spans="1:8" x14ac:dyDescent="0.25">
      <c r="A535" s="3" t="s">
        <v>6983</v>
      </c>
      <c r="B535" s="3" t="s">
        <v>6988</v>
      </c>
      <c r="C535" s="3" t="s">
        <v>6985</v>
      </c>
      <c r="D535" s="3" t="s">
        <v>1136</v>
      </c>
      <c r="E535" s="3">
        <v>534</v>
      </c>
      <c r="F535" s="3" t="s">
        <v>2454</v>
      </c>
      <c r="G535" s="3" t="s">
        <v>1100</v>
      </c>
      <c r="H535" s="5" t="str">
        <f t="shared" si="9"/>
        <v>Output Tendons Wt, from 3rd party.</v>
      </c>
    </row>
    <row r="536" spans="1:8" x14ac:dyDescent="0.25">
      <c r="A536" s="3" t="s">
        <v>6983</v>
      </c>
      <c r="B536" s="3" t="s">
        <v>6988</v>
      </c>
      <c r="C536" s="3" t="s">
        <v>6985</v>
      </c>
      <c r="D536" s="3" t="s">
        <v>1136</v>
      </c>
      <c r="E536" s="3">
        <v>535</v>
      </c>
      <c r="F536" s="3" t="s">
        <v>2455</v>
      </c>
      <c r="G536" s="3" t="s">
        <v>1100</v>
      </c>
      <c r="H536" s="5" t="str">
        <f t="shared" si="9"/>
        <v>Output Risers Wt, from 3rd party.</v>
      </c>
    </row>
    <row r="537" spans="1:8" x14ac:dyDescent="0.25">
      <c r="A537" s="3" t="s">
        <v>6983</v>
      </c>
      <c r="B537" s="3" t="s">
        <v>6988</v>
      </c>
      <c r="C537" s="3" t="s">
        <v>6985</v>
      </c>
      <c r="D537" s="3" t="s">
        <v>1136</v>
      </c>
      <c r="E537" s="3">
        <v>536</v>
      </c>
      <c r="F537" s="3" t="s">
        <v>2456</v>
      </c>
      <c r="G537" s="3" t="s">
        <v>1100</v>
      </c>
      <c r="H537" s="5" t="str">
        <f t="shared" si="9"/>
        <v>Output Total Wt, from 3rd party.</v>
      </c>
    </row>
    <row r="538" spans="1:8" x14ac:dyDescent="0.25">
      <c r="A538" s="3" t="s">
        <v>6983</v>
      </c>
      <c r="B538" s="3" t="s">
        <v>6988</v>
      </c>
      <c r="C538" s="3" t="s">
        <v>6985</v>
      </c>
      <c r="D538" s="3" t="s">
        <v>1136</v>
      </c>
      <c r="E538" s="3">
        <v>537</v>
      </c>
      <c r="F538" s="3" t="s">
        <v>2457</v>
      </c>
      <c r="G538" s="3" t="s">
        <v>1100</v>
      </c>
      <c r="H538" s="5" t="str">
        <f t="shared" si="9"/>
        <v>Output Columns Wt, from 3rd party.</v>
      </c>
    </row>
    <row r="539" spans="1:8" x14ac:dyDescent="0.25">
      <c r="A539" s="3" t="s">
        <v>6983</v>
      </c>
      <c r="B539" s="3" t="s">
        <v>6988</v>
      </c>
      <c r="C539" s="3" t="s">
        <v>6985</v>
      </c>
      <c r="D539" s="3" t="s">
        <v>1136</v>
      </c>
      <c r="E539" s="3">
        <v>538</v>
      </c>
      <c r="F539" s="3" t="s">
        <v>2458</v>
      </c>
      <c r="G539" s="3" t="s">
        <v>1100</v>
      </c>
      <c r="H539" s="5" t="str">
        <f t="shared" si="9"/>
        <v>Output Deck1 Wt, from 3rd party.</v>
      </c>
    </row>
    <row r="540" spans="1:8" x14ac:dyDescent="0.25">
      <c r="A540" s="3" t="s">
        <v>6983</v>
      </c>
      <c r="B540" s="3" t="s">
        <v>6988</v>
      </c>
      <c r="C540" s="3" t="s">
        <v>6985</v>
      </c>
      <c r="D540" s="3" t="s">
        <v>1136</v>
      </c>
      <c r="E540" s="3">
        <v>539</v>
      </c>
      <c r="F540" s="3" t="s">
        <v>2459</v>
      </c>
      <c r="G540" s="3" t="s">
        <v>1100</v>
      </c>
      <c r="H540" s="5" t="str">
        <f t="shared" si="9"/>
        <v>Output Deck2 Wt, from 3rd party.</v>
      </c>
    </row>
    <row r="541" spans="1:8" x14ac:dyDescent="0.25">
      <c r="A541" s="3" t="s">
        <v>6983</v>
      </c>
      <c r="B541" s="3" t="s">
        <v>6988</v>
      </c>
      <c r="C541" s="3" t="s">
        <v>6985</v>
      </c>
      <c r="D541" s="3" t="s">
        <v>1136</v>
      </c>
      <c r="E541" s="3">
        <v>540</v>
      </c>
      <c r="F541" s="3" t="s">
        <v>2460</v>
      </c>
      <c r="G541" s="3" t="s">
        <v>1100</v>
      </c>
      <c r="H541" s="5" t="str">
        <f t="shared" si="9"/>
        <v>Output Deck3 Wt, from 3rd party.</v>
      </c>
    </row>
    <row r="542" spans="1:8" x14ac:dyDescent="0.25">
      <c r="A542" s="3" t="s">
        <v>6983</v>
      </c>
      <c r="B542" s="3" t="s">
        <v>6988</v>
      </c>
      <c r="C542" s="3" t="s">
        <v>6985</v>
      </c>
      <c r="D542" s="3" t="s">
        <v>1136</v>
      </c>
      <c r="E542" s="3">
        <v>541</v>
      </c>
      <c r="F542" s="3" t="s">
        <v>2461</v>
      </c>
      <c r="G542" s="3" t="s">
        <v>1100</v>
      </c>
      <c r="H542" s="5" t="str">
        <f t="shared" si="9"/>
        <v>Output Deck4 Wt, from 3rd party.</v>
      </c>
    </row>
    <row r="543" spans="1:8" x14ac:dyDescent="0.25">
      <c r="A543" s="3" t="s">
        <v>6983</v>
      </c>
      <c r="B543" s="3" t="s">
        <v>6988</v>
      </c>
      <c r="C543" s="3" t="s">
        <v>6985</v>
      </c>
      <c r="D543" s="3" t="s">
        <v>1136</v>
      </c>
      <c r="E543" s="3">
        <v>542</v>
      </c>
      <c r="F543" s="3" t="s">
        <v>2462</v>
      </c>
      <c r="G543" s="3" t="s">
        <v>1100</v>
      </c>
      <c r="H543" s="5" t="str">
        <f t="shared" si="9"/>
        <v>Output Deck5 Wt, from 3rd party.</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6276F-ADA4-441E-BCDD-83577C5CFACB}">
  <dimension ref="A1:O1482"/>
  <sheetViews>
    <sheetView topLeftCell="A904" workbookViewId="0">
      <selection activeCell="H920" sqref="H920"/>
    </sheetView>
  </sheetViews>
  <sheetFormatPr defaultRowHeight="15" x14ac:dyDescent="0.25"/>
  <cols>
    <col min="1" max="3" width="9.140625" style="3"/>
    <col min="4" max="4" width="7.85546875" style="3" customWidth="1"/>
    <col min="5" max="5" width="6.7109375" style="3" customWidth="1"/>
    <col min="6" max="6" width="25.140625" style="3" customWidth="1"/>
    <col min="7" max="7" width="9.140625" style="3"/>
    <col min="8" max="8" width="61.28515625" style="3" customWidth="1"/>
    <col min="9" max="9" width="17.42578125" style="3" customWidth="1"/>
    <col min="10" max="15" width="9.140625" style="3"/>
  </cols>
  <sheetData>
    <row r="1" spans="1:10" x14ac:dyDescent="0.25">
      <c r="A1" s="6" t="s">
        <v>6980</v>
      </c>
      <c r="B1" s="6" t="s">
        <v>6981</v>
      </c>
      <c r="C1" s="6" t="s">
        <v>6982</v>
      </c>
      <c r="D1" s="6" t="s">
        <v>0</v>
      </c>
      <c r="E1" s="6" t="s">
        <v>1</v>
      </c>
      <c r="F1" s="6" t="s">
        <v>2</v>
      </c>
      <c r="G1" s="6" t="s">
        <v>3</v>
      </c>
      <c r="H1" s="6" t="s">
        <v>22</v>
      </c>
      <c r="I1" s="6" t="s">
        <v>1139</v>
      </c>
      <c r="J1" s="6" t="s">
        <v>1269</v>
      </c>
    </row>
    <row r="2" spans="1:10" ht="15" customHeight="1" x14ac:dyDescent="0.25">
      <c r="A2" s="3" t="s">
        <v>6983</v>
      </c>
      <c r="B2" s="3" t="s">
        <v>6989</v>
      </c>
      <c r="C2" s="3" t="s">
        <v>6985</v>
      </c>
      <c r="D2" s="11" t="s">
        <v>6306</v>
      </c>
      <c r="E2" s="3">
        <v>1</v>
      </c>
      <c r="F2" s="3" t="s">
        <v>2465</v>
      </c>
      <c r="G2" s="3" t="s">
        <v>4</v>
      </c>
      <c r="H2" s="3" t="s">
        <v>6375</v>
      </c>
      <c r="I2" s="3" t="s">
        <v>1232</v>
      </c>
    </row>
    <row r="3" spans="1:10" x14ac:dyDescent="0.25">
      <c r="A3" s="3" t="s">
        <v>6983</v>
      </c>
      <c r="B3" s="3" t="s">
        <v>6989</v>
      </c>
      <c r="C3" s="3" t="s">
        <v>6985</v>
      </c>
      <c r="D3" s="3" t="s">
        <v>6306</v>
      </c>
      <c r="E3" s="3">
        <v>2</v>
      </c>
      <c r="F3" s="3" t="s">
        <v>2466</v>
      </c>
      <c r="G3" s="3" t="s">
        <v>4</v>
      </c>
      <c r="H3" s="3" t="s">
        <v>6376</v>
      </c>
      <c r="I3" s="3" t="s">
        <v>1232</v>
      </c>
    </row>
    <row r="4" spans="1:10" x14ac:dyDescent="0.25">
      <c r="A4" s="3" t="s">
        <v>6983</v>
      </c>
      <c r="B4" s="3" t="s">
        <v>6989</v>
      </c>
      <c r="C4" s="3" t="s">
        <v>6985</v>
      </c>
      <c r="D4" s="3" t="s">
        <v>6306</v>
      </c>
      <c r="E4" s="3">
        <v>3</v>
      </c>
      <c r="F4" s="3" t="s">
        <v>2467</v>
      </c>
      <c r="G4" s="3" t="s">
        <v>4</v>
      </c>
      <c r="H4" s="4" t="s">
        <v>6374</v>
      </c>
      <c r="I4" s="3" t="s">
        <v>1232</v>
      </c>
    </row>
    <row r="5" spans="1:10" x14ac:dyDescent="0.25">
      <c r="A5" s="3" t="s">
        <v>6983</v>
      </c>
      <c r="B5" s="3" t="s">
        <v>6989</v>
      </c>
      <c r="C5" s="3" t="s">
        <v>6985</v>
      </c>
      <c r="D5" s="3" t="s">
        <v>6306</v>
      </c>
      <c r="E5" s="3">
        <v>4</v>
      </c>
      <c r="F5" s="3" t="s">
        <v>2468</v>
      </c>
      <c r="G5" s="3" t="s">
        <v>6</v>
      </c>
      <c r="H5" s="3" t="s">
        <v>23</v>
      </c>
      <c r="I5" s="3" t="s">
        <v>1232</v>
      </c>
    </row>
    <row r="6" spans="1:10" x14ac:dyDescent="0.25">
      <c r="A6" s="3" t="s">
        <v>6983</v>
      </c>
      <c r="B6" s="3" t="s">
        <v>6989</v>
      </c>
      <c r="C6" s="3" t="s">
        <v>6985</v>
      </c>
      <c r="D6" s="3" t="s">
        <v>6306</v>
      </c>
      <c r="E6" s="3">
        <v>5</v>
      </c>
      <c r="F6" s="3" t="s">
        <v>2469</v>
      </c>
      <c r="G6" s="3" t="s">
        <v>6</v>
      </c>
      <c r="H6" s="3" t="s">
        <v>24</v>
      </c>
      <c r="I6" s="3" t="s">
        <v>1232</v>
      </c>
    </row>
    <row r="7" spans="1:10" x14ac:dyDescent="0.25">
      <c r="A7" s="3" t="s">
        <v>6983</v>
      </c>
      <c r="B7" s="3" t="s">
        <v>6989</v>
      </c>
      <c r="C7" s="3" t="s">
        <v>6985</v>
      </c>
      <c r="D7" s="3" t="s">
        <v>6306</v>
      </c>
      <c r="E7" s="3">
        <v>6</v>
      </c>
      <c r="F7" s="3" t="s">
        <v>2470</v>
      </c>
      <c r="G7" s="3" t="s">
        <v>6</v>
      </c>
      <c r="H7" s="3" t="s">
        <v>25</v>
      </c>
      <c r="I7" s="3" t="s">
        <v>1232</v>
      </c>
    </row>
    <row r="8" spans="1:10" x14ac:dyDescent="0.25">
      <c r="A8" s="3" t="s">
        <v>6983</v>
      </c>
      <c r="B8" s="3" t="s">
        <v>6989</v>
      </c>
      <c r="C8" s="3" t="s">
        <v>6985</v>
      </c>
      <c r="D8" s="3" t="s">
        <v>6306</v>
      </c>
      <c r="E8" s="3">
        <v>7</v>
      </c>
      <c r="F8" s="3" t="s">
        <v>2471</v>
      </c>
      <c r="G8" s="3" t="s">
        <v>1090</v>
      </c>
      <c r="H8" s="3" t="s">
        <v>26</v>
      </c>
      <c r="I8" s="3" t="s">
        <v>1232</v>
      </c>
    </row>
    <row r="9" spans="1:10" x14ac:dyDescent="0.25">
      <c r="A9" s="3" t="s">
        <v>6983</v>
      </c>
      <c r="B9" s="3" t="s">
        <v>6989</v>
      </c>
      <c r="C9" s="3" t="s">
        <v>6985</v>
      </c>
      <c r="D9" s="3" t="s">
        <v>6306</v>
      </c>
      <c r="E9" s="3">
        <v>8</v>
      </c>
      <c r="F9" s="3" t="s">
        <v>2472</v>
      </c>
      <c r="G9" s="3" t="s">
        <v>1090</v>
      </c>
      <c r="H9" s="3" t="s">
        <v>27</v>
      </c>
      <c r="I9" s="3" t="s">
        <v>1232</v>
      </c>
    </row>
    <row r="10" spans="1:10" x14ac:dyDescent="0.25">
      <c r="A10" s="3" t="s">
        <v>6983</v>
      </c>
      <c r="B10" s="3" t="s">
        <v>6989</v>
      </c>
      <c r="C10" s="3" t="s">
        <v>6985</v>
      </c>
      <c r="D10" s="3" t="s">
        <v>6306</v>
      </c>
      <c r="E10" s="3">
        <v>9</v>
      </c>
      <c r="F10" s="3" t="s">
        <v>2473</v>
      </c>
      <c r="G10" s="3" t="s">
        <v>1090</v>
      </c>
      <c r="H10" s="3" t="s">
        <v>28</v>
      </c>
      <c r="I10" s="3" t="s">
        <v>1232</v>
      </c>
    </row>
    <row r="11" spans="1:10" x14ac:dyDescent="0.25">
      <c r="A11" s="3" t="s">
        <v>6983</v>
      </c>
      <c r="B11" s="3" t="s">
        <v>6989</v>
      </c>
      <c r="C11" s="3" t="s">
        <v>6985</v>
      </c>
      <c r="D11" s="3" t="s">
        <v>6306</v>
      </c>
      <c r="E11" s="3">
        <v>10</v>
      </c>
      <c r="F11" s="3" t="s">
        <v>2474</v>
      </c>
      <c r="G11" s="3" t="s">
        <v>4</v>
      </c>
      <c r="H11" s="3" t="s">
        <v>6377</v>
      </c>
      <c r="I11" s="3" t="s">
        <v>1232</v>
      </c>
    </row>
    <row r="12" spans="1:10" x14ac:dyDescent="0.25">
      <c r="A12" s="3" t="s">
        <v>6983</v>
      </c>
      <c r="B12" s="3" t="s">
        <v>6989</v>
      </c>
      <c r="C12" s="3" t="s">
        <v>6985</v>
      </c>
      <c r="D12" s="3" t="s">
        <v>6306</v>
      </c>
      <c r="E12" s="3">
        <v>11</v>
      </c>
      <c r="F12" s="3" t="s">
        <v>2475</v>
      </c>
      <c r="G12" s="3" t="s">
        <v>8</v>
      </c>
      <c r="H12" s="3" t="s">
        <v>6993</v>
      </c>
      <c r="I12" s="3" t="s">
        <v>1232</v>
      </c>
    </row>
    <row r="13" spans="1:10" ht="17.25" customHeight="1" x14ac:dyDescent="0.25">
      <c r="A13" s="3" t="s">
        <v>6983</v>
      </c>
      <c r="B13" s="3" t="s">
        <v>6989</v>
      </c>
      <c r="C13" s="3" t="s">
        <v>6985</v>
      </c>
      <c r="D13" s="3" t="s">
        <v>6341</v>
      </c>
      <c r="E13" s="3">
        <v>12</v>
      </c>
      <c r="F13" s="3" t="s">
        <v>2476</v>
      </c>
      <c r="G13" s="3" t="s">
        <v>1090</v>
      </c>
      <c r="H13" s="3" t="s">
        <v>26</v>
      </c>
      <c r="I13" s="3" t="s">
        <v>6687</v>
      </c>
    </row>
    <row r="14" spans="1:10" x14ac:dyDescent="0.25">
      <c r="A14" s="3" t="s">
        <v>6983</v>
      </c>
      <c r="B14" s="3" t="s">
        <v>6989</v>
      </c>
      <c r="C14" s="3" t="s">
        <v>6985</v>
      </c>
      <c r="D14" s="3" t="s">
        <v>6341</v>
      </c>
      <c r="E14" s="3">
        <v>13</v>
      </c>
      <c r="F14" s="3" t="s">
        <v>2477</v>
      </c>
      <c r="G14" s="3" t="s">
        <v>1090</v>
      </c>
      <c r="H14" s="3" t="s">
        <v>27</v>
      </c>
      <c r="I14" s="3" t="s">
        <v>6687</v>
      </c>
    </row>
    <row r="15" spans="1:10" x14ac:dyDescent="0.25">
      <c r="A15" s="3" t="s">
        <v>6983</v>
      </c>
      <c r="B15" s="3" t="s">
        <v>6989</v>
      </c>
      <c r="C15" s="3" t="s">
        <v>6985</v>
      </c>
      <c r="D15" s="3" t="s">
        <v>6341</v>
      </c>
      <c r="E15" s="3">
        <v>14</v>
      </c>
      <c r="F15" s="3" t="s">
        <v>2478</v>
      </c>
      <c r="G15" s="3" t="s">
        <v>19</v>
      </c>
      <c r="I15" s="3" t="s">
        <v>6687</v>
      </c>
    </row>
    <row r="16" spans="1:10" x14ac:dyDescent="0.25">
      <c r="A16" s="3" t="s">
        <v>6983</v>
      </c>
      <c r="B16" s="3" t="s">
        <v>6989</v>
      </c>
      <c r="C16" s="3" t="s">
        <v>6985</v>
      </c>
      <c r="D16" s="3" t="s">
        <v>6341</v>
      </c>
      <c r="E16" s="3">
        <v>15</v>
      </c>
      <c r="F16" s="3" t="s">
        <v>2479</v>
      </c>
      <c r="G16" s="3" t="s">
        <v>1095</v>
      </c>
      <c r="H16" s="3" t="s">
        <v>6526</v>
      </c>
      <c r="I16" s="3" t="s">
        <v>6687</v>
      </c>
    </row>
    <row r="17" spans="1:9" x14ac:dyDescent="0.25">
      <c r="A17" s="3" t="s">
        <v>6983</v>
      </c>
      <c r="B17" s="3" t="s">
        <v>6989</v>
      </c>
      <c r="C17" s="3" t="s">
        <v>6985</v>
      </c>
      <c r="D17" s="3" t="s">
        <v>6341</v>
      </c>
      <c r="E17" s="3">
        <v>16</v>
      </c>
      <c r="F17" s="3" t="s">
        <v>2480</v>
      </c>
      <c r="G17" s="3" t="s">
        <v>1095</v>
      </c>
      <c r="H17" s="3" t="s">
        <v>6527</v>
      </c>
      <c r="I17" s="3" t="s">
        <v>6687</v>
      </c>
    </row>
    <row r="18" spans="1:9" ht="15" customHeight="1" x14ac:dyDescent="0.25">
      <c r="A18" s="3" t="s">
        <v>6983</v>
      </c>
      <c r="B18" s="3" t="s">
        <v>6989</v>
      </c>
      <c r="C18" s="3" t="s">
        <v>6985</v>
      </c>
      <c r="D18" s="3" t="s">
        <v>6307</v>
      </c>
      <c r="E18" s="3">
        <v>17</v>
      </c>
      <c r="F18" s="3" t="s">
        <v>2481</v>
      </c>
      <c r="G18" s="3" t="s">
        <v>14</v>
      </c>
      <c r="H18" s="3" t="s">
        <v>6828</v>
      </c>
      <c r="I18" s="3" t="s">
        <v>1179</v>
      </c>
    </row>
    <row r="19" spans="1:9" x14ac:dyDescent="0.25">
      <c r="A19" s="3" t="s">
        <v>6983</v>
      </c>
      <c r="B19" s="3" t="s">
        <v>6989</v>
      </c>
      <c r="C19" s="3" t="s">
        <v>6985</v>
      </c>
      <c r="D19" s="3" t="s">
        <v>6307</v>
      </c>
      <c r="E19" s="3">
        <v>18</v>
      </c>
      <c r="F19" s="3" t="s">
        <v>2482</v>
      </c>
      <c r="G19" s="3" t="s">
        <v>15</v>
      </c>
      <c r="H19" s="3" t="s">
        <v>6829</v>
      </c>
      <c r="I19" s="3" t="s">
        <v>1179</v>
      </c>
    </row>
    <row r="20" spans="1:9" x14ac:dyDescent="0.25">
      <c r="A20" s="3" t="s">
        <v>6983</v>
      </c>
      <c r="B20" s="3" t="s">
        <v>6989</v>
      </c>
      <c r="C20" s="3" t="s">
        <v>6985</v>
      </c>
      <c r="D20" s="3" t="s">
        <v>6307</v>
      </c>
      <c r="E20" s="3">
        <v>19</v>
      </c>
      <c r="F20" s="3" t="s">
        <v>2483</v>
      </c>
      <c r="G20" s="3" t="s">
        <v>1091</v>
      </c>
      <c r="H20" s="3" t="s">
        <v>6830</v>
      </c>
      <c r="I20" s="3" t="s">
        <v>1179</v>
      </c>
    </row>
    <row r="21" spans="1:9" x14ac:dyDescent="0.25">
      <c r="A21" s="3" t="s">
        <v>6983</v>
      </c>
      <c r="B21" s="3" t="s">
        <v>6989</v>
      </c>
      <c r="C21" s="3" t="s">
        <v>6985</v>
      </c>
      <c r="D21" s="3" t="s">
        <v>6307</v>
      </c>
      <c r="E21" s="3">
        <v>20</v>
      </c>
      <c r="F21" s="3" t="s">
        <v>2484</v>
      </c>
      <c r="G21" s="3" t="s">
        <v>14</v>
      </c>
      <c r="H21" s="3" t="s">
        <v>6833</v>
      </c>
      <c r="I21" s="3" t="s">
        <v>1179</v>
      </c>
    </row>
    <row r="22" spans="1:9" x14ac:dyDescent="0.25">
      <c r="A22" s="3" t="s">
        <v>6983</v>
      </c>
      <c r="B22" s="3" t="s">
        <v>6989</v>
      </c>
      <c r="C22" s="3" t="s">
        <v>6985</v>
      </c>
      <c r="D22" s="3" t="s">
        <v>6307</v>
      </c>
      <c r="E22" s="3">
        <v>21</v>
      </c>
      <c r="F22" s="3" t="s">
        <v>2485</v>
      </c>
      <c r="G22" s="3" t="s">
        <v>15</v>
      </c>
      <c r="H22" s="3" t="s">
        <v>6831</v>
      </c>
      <c r="I22" s="3" t="s">
        <v>1179</v>
      </c>
    </row>
    <row r="23" spans="1:9" x14ac:dyDescent="0.25">
      <c r="A23" s="3" t="s">
        <v>6983</v>
      </c>
      <c r="B23" s="3" t="s">
        <v>6989</v>
      </c>
      <c r="C23" s="3" t="s">
        <v>6985</v>
      </c>
      <c r="D23" s="3" t="s">
        <v>6307</v>
      </c>
      <c r="E23" s="3">
        <v>22</v>
      </c>
      <c r="F23" s="3" t="s">
        <v>2486</v>
      </c>
      <c r="G23" s="3" t="s">
        <v>1091</v>
      </c>
      <c r="H23" s="3" t="s">
        <v>6832</v>
      </c>
      <c r="I23" s="3" t="s">
        <v>1179</v>
      </c>
    </row>
    <row r="24" spans="1:9" x14ac:dyDescent="0.25">
      <c r="A24" s="3" t="s">
        <v>6983</v>
      </c>
      <c r="B24" s="3" t="s">
        <v>6989</v>
      </c>
      <c r="C24" s="3" t="s">
        <v>6985</v>
      </c>
      <c r="D24" s="3" t="s">
        <v>6307</v>
      </c>
      <c r="E24" s="3">
        <v>23</v>
      </c>
      <c r="F24" s="3" t="s">
        <v>2487</v>
      </c>
      <c r="G24" s="3" t="s">
        <v>1093</v>
      </c>
      <c r="H24" s="3" t="s">
        <v>35</v>
      </c>
      <c r="I24" s="3" t="s">
        <v>1179</v>
      </c>
    </row>
    <row r="25" spans="1:9" x14ac:dyDescent="0.25">
      <c r="A25" s="3" t="s">
        <v>6983</v>
      </c>
      <c r="B25" s="3" t="s">
        <v>6989</v>
      </c>
      <c r="C25" s="3" t="s">
        <v>6985</v>
      </c>
      <c r="D25" s="3" t="s">
        <v>6307</v>
      </c>
      <c r="E25" s="3">
        <v>24</v>
      </c>
      <c r="F25" s="3" t="s">
        <v>2488</v>
      </c>
      <c r="G25" s="3" t="s">
        <v>3841</v>
      </c>
      <c r="H25" s="3" t="s">
        <v>36</v>
      </c>
      <c r="I25" s="3" t="s">
        <v>1179</v>
      </c>
    </row>
    <row r="26" spans="1:9" x14ac:dyDescent="0.25">
      <c r="A26" s="3" t="s">
        <v>6983</v>
      </c>
      <c r="B26" s="3" t="s">
        <v>6989</v>
      </c>
      <c r="C26" s="3" t="s">
        <v>6985</v>
      </c>
      <c r="D26" s="3" t="s">
        <v>6307</v>
      </c>
      <c r="E26" s="3">
        <v>25</v>
      </c>
      <c r="F26" s="3" t="s">
        <v>2489</v>
      </c>
      <c r="G26" s="3" t="s">
        <v>16</v>
      </c>
      <c r="H26" s="3" t="s">
        <v>1143</v>
      </c>
      <c r="I26" s="3" t="s">
        <v>1179</v>
      </c>
    </row>
    <row r="27" spans="1:9" x14ac:dyDescent="0.25">
      <c r="A27" s="3" t="s">
        <v>6983</v>
      </c>
      <c r="B27" s="3" t="s">
        <v>6989</v>
      </c>
      <c r="C27" s="3" t="s">
        <v>6985</v>
      </c>
      <c r="D27" s="3" t="s">
        <v>6307</v>
      </c>
      <c r="E27" s="3">
        <v>26</v>
      </c>
      <c r="F27" s="3" t="s">
        <v>2490</v>
      </c>
      <c r="G27" s="3" t="s">
        <v>16</v>
      </c>
      <c r="H27" s="3" t="s">
        <v>37</v>
      </c>
      <c r="I27" s="3" t="s">
        <v>1179</v>
      </c>
    </row>
    <row r="28" spans="1:9" ht="15" customHeight="1" x14ac:dyDescent="0.25">
      <c r="A28" s="3" t="s">
        <v>6983</v>
      </c>
      <c r="B28" s="3" t="s">
        <v>6989</v>
      </c>
      <c r="C28" s="3" t="s">
        <v>6985</v>
      </c>
      <c r="D28" s="3" t="s">
        <v>2105</v>
      </c>
      <c r="E28" s="3">
        <v>27</v>
      </c>
      <c r="F28" s="3" t="s">
        <v>75</v>
      </c>
      <c r="G28" s="3" t="s">
        <v>14</v>
      </c>
      <c r="H28" s="3" t="s">
        <v>6828</v>
      </c>
      <c r="I28" s="3" t="s">
        <v>1179</v>
      </c>
    </row>
    <row r="29" spans="1:9" x14ac:dyDescent="0.25">
      <c r="A29" s="3" t="s">
        <v>6983</v>
      </c>
      <c r="B29" s="3" t="s">
        <v>6989</v>
      </c>
      <c r="C29" s="3" t="s">
        <v>6985</v>
      </c>
      <c r="D29" s="3" t="s">
        <v>2105</v>
      </c>
      <c r="E29" s="3">
        <v>28</v>
      </c>
      <c r="F29" s="3" t="s">
        <v>76</v>
      </c>
      <c r="G29" s="3" t="s">
        <v>15</v>
      </c>
      <c r="H29" s="3" t="s">
        <v>6829</v>
      </c>
      <c r="I29" s="3" t="s">
        <v>1179</v>
      </c>
    </row>
    <row r="30" spans="1:9" x14ac:dyDescent="0.25">
      <c r="A30" s="3" t="s">
        <v>6983</v>
      </c>
      <c r="B30" s="3" t="s">
        <v>6989</v>
      </c>
      <c r="C30" s="3" t="s">
        <v>6985</v>
      </c>
      <c r="D30" s="3" t="s">
        <v>2105</v>
      </c>
      <c r="E30" s="3">
        <v>29</v>
      </c>
      <c r="F30" s="3" t="s">
        <v>77</v>
      </c>
      <c r="G30" s="3" t="s">
        <v>1091</v>
      </c>
      <c r="H30" s="3" t="s">
        <v>6830</v>
      </c>
      <c r="I30" s="3" t="s">
        <v>1179</v>
      </c>
    </row>
    <row r="31" spans="1:9" x14ac:dyDescent="0.25">
      <c r="A31" s="3" t="s">
        <v>6983</v>
      </c>
      <c r="B31" s="3" t="s">
        <v>6989</v>
      </c>
      <c r="C31" s="3" t="s">
        <v>6985</v>
      </c>
      <c r="D31" s="3" t="s">
        <v>2105</v>
      </c>
      <c r="E31" s="3">
        <v>30</v>
      </c>
      <c r="F31" s="3" t="s">
        <v>78</v>
      </c>
      <c r="G31" s="3" t="s">
        <v>14</v>
      </c>
      <c r="H31" s="3" t="s">
        <v>6833</v>
      </c>
      <c r="I31" s="3" t="s">
        <v>1179</v>
      </c>
    </row>
    <row r="32" spans="1:9" x14ac:dyDescent="0.25">
      <c r="A32" s="3" t="s">
        <v>6983</v>
      </c>
      <c r="B32" s="3" t="s">
        <v>6989</v>
      </c>
      <c r="C32" s="3" t="s">
        <v>6985</v>
      </c>
      <c r="D32" s="3" t="s">
        <v>2105</v>
      </c>
      <c r="E32" s="3">
        <v>31</v>
      </c>
      <c r="F32" s="3" t="s">
        <v>79</v>
      </c>
      <c r="G32" s="3" t="s">
        <v>15</v>
      </c>
      <c r="H32" s="3" t="s">
        <v>6831</v>
      </c>
      <c r="I32" s="3" t="s">
        <v>1179</v>
      </c>
    </row>
    <row r="33" spans="1:9" x14ac:dyDescent="0.25">
      <c r="A33" s="3" t="s">
        <v>6983</v>
      </c>
      <c r="B33" s="3" t="s">
        <v>6989</v>
      </c>
      <c r="C33" s="3" t="s">
        <v>6985</v>
      </c>
      <c r="D33" s="3" t="s">
        <v>2105</v>
      </c>
      <c r="E33" s="3">
        <v>32</v>
      </c>
      <c r="F33" s="3" t="s">
        <v>80</v>
      </c>
      <c r="G33" s="3" t="s">
        <v>1091</v>
      </c>
      <c r="H33" s="3" t="s">
        <v>6832</v>
      </c>
      <c r="I33" s="3" t="s">
        <v>1179</v>
      </c>
    </row>
    <row r="34" spans="1:9" x14ac:dyDescent="0.25">
      <c r="A34" s="3" t="s">
        <v>6983</v>
      </c>
      <c r="B34" s="3" t="s">
        <v>6989</v>
      </c>
      <c r="C34" s="3" t="s">
        <v>6985</v>
      </c>
      <c r="D34" s="3" t="s">
        <v>2105</v>
      </c>
      <c r="E34" s="3">
        <v>33</v>
      </c>
      <c r="F34" s="3" t="s">
        <v>81</v>
      </c>
      <c r="G34" s="3" t="s">
        <v>1093</v>
      </c>
      <c r="H34" s="3" t="s">
        <v>35</v>
      </c>
      <c r="I34" s="3" t="s">
        <v>1179</v>
      </c>
    </row>
    <row r="35" spans="1:9" x14ac:dyDescent="0.25">
      <c r="A35" s="3" t="s">
        <v>6983</v>
      </c>
      <c r="B35" s="3" t="s">
        <v>6989</v>
      </c>
      <c r="C35" s="3" t="s">
        <v>6985</v>
      </c>
      <c r="D35" s="3" t="s">
        <v>2105</v>
      </c>
      <c r="E35" s="3">
        <v>34</v>
      </c>
      <c r="F35" s="3" t="s">
        <v>82</v>
      </c>
      <c r="G35" s="3" t="s">
        <v>3841</v>
      </c>
      <c r="H35" s="3" t="s">
        <v>36</v>
      </c>
      <c r="I35" s="3" t="s">
        <v>1179</v>
      </c>
    </row>
    <row r="36" spans="1:9" x14ac:dyDescent="0.25">
      <c r="A36" s="3" t="s">
        <v>6983</v>
      </c>
      <c r="B36" s="3" t="s">
        <v>6989</v>
      </c>
      <c r="C36" s="3" t="s">
        <v>6985</v>
      </c>
      <c r="D36" s="3" t="s">
        <v>2105</v>
      </c>
      <c r="E36" s="3">
        <v>35</v>
      </c>
      <c r="F36" s="3" t="s">
        <v>83</v>
      </c>
      <c r="G36" s="3" t="s">
        <v>16</v>
      </c>
      <c r="H36" s="3" t="s">
        <v>1143</v>
      </c>
      <c r="I36" s="3" t="s">
        <v>1179</v>
      </c>
    </row>
    <row r="37" spans="1:9" x14ac:dyDescent="0.25">
      <c r="A37" s="3" t="s">
        <v>6983</v>
      </c>
      <c r="B37" s="3" t="s">
        <v>6989</v>
      </c>
      <c r="C37" s="3" t="s">
        <v>6985</v>
      </c>
      <c r="D37" s="3" t="s">
        <v>2105</v>
      </c>
      <c r="E37" s="3">
        <v>36</v>
      </c>
      <c r="F37" s="3" t="s">
        <v>2491</v>
      </c>
      <c r="G37" s="3" t="s">
        <v>16</v>
      </c>
      <c r="H37" s="3" t="s">
        <v>37</v>
      </c>
      <c r="I37" s="3" t="s">
        <v>1179</v>
      </c>
    </row>
    <row r="38" spans="1:9" x14ac:dyDescent="0.25">
      <c r="A38" s="3" t="s">
        <v>6983</v>
      </c>
      <c r="B38" s="3" t="s">
        <v>6989</v>
      </c>
      <c r="C38" s="3" t="s">
        <v>6985</v>
      </c>
      <c r="D38" s="3" t="s">
        <v>6342</v>
      </c>
      <c r="E38" s="3">
        <v>37</v>
      </c>
      <c r="F38" s="3" t="s">
        <v>87</v>
      </c>
      <c r="G38" s="3" t="s">
        <v>1093</v>
      </c>
      <c r="H38" s="3" t="s">
        <v>6816</v>
      </c>
      <c r="I38" s="7"/>
    </row>
    <row r="39" spans="1:9" x14ac:dyDescent="0.25">
      <c r="A39" s="3" t="s">
        <v>6983</v>
      </c>
      <c r="B39" s="3" t="s">
        <v>6989</v>
      </c>
      <c r="C39" s="3" t="s">
        <v>6985</v>
      </c>
      <c r="D39" s="3" t="s">
        <v>6344</v>
      </c>
      <c r="E39" s="3">
        <v>38</v>
      </c>
      <c r="F39" s="3" t="s">
        <v>88</v>
      </c>
      <c r="G39" s="3" t="s">
        <v>1093</v>
      </c>
      <c r="H39" s="3" t="s">
        <v>6820</v>
      </c>
      <c r="I39" s="7"/>
    </row>
    <row r="40" spans="1:9" x14ac:dyDescent="0.25">
      <c r="A40" s="3" t="s">
        <v>6983</v>
      </c>
      <c r="B40" s="3" t="s">
        <v>6989</v>
      </c>
      <c r="C40" s="3" t="s">
        <v>6985</v>
      </c>
      <c r="D40" s="3" t="s">
        <v>6343</v>
      </c>
      <c r="E40" s="3">
        <v>39</v>
      </c>
      <c r="F40" s="3" t="s">
        <v>89</v>
      </c>
      <c r="G40" s="3" t="s">
        <v>1093</v>
      </c>
      <c r="H40" s="3" t="s">
        <v>6821</v>
      </c>
      <c r="I40" s="7"/>
    </row>
    <row r="41" spans="1:9" x14ac:dyDescent="0.25">
      <c r="A41" s="3" t="s">
        <v>6983</v>
      </c>
      <c r="B41" s="3" t="s">
        <v>6989</v>
      </c>
      <c r="C41" s="3" t="s">
        <v>6985</v>
      </c>
      <c r="D41" s="3" t="s">
        <v>6345</v>
      </c>
      <c r="E41" s="3">
        <v>40</v>
      </c>
      <c r="F41" s="3" t="s">
        <v>90</v>
      </c>
      <c r="G41" s="3" t="s">
        <v>1093</v>
      </c>
      <c r="H41" s="3" t="s">
        <v>6822</v>
      </c>
    </row>
    <row r="42" spans="1:9" x14ac:dyDescent="0.25">
      <c r="A42" s="3" t="s">
        <v>6983</v>
      </c>
      <c r="B42" s="3" t="s">
        <v>6989</v>
      </c>
      <c r="C42" s="3" t="s">
        <v>6985</v>
      </c>
      <c r="D42" s="3" t="s">
        <v>6321</v>
      </c>
      <c r="E42" s="3">
        <v>41</v>
      </c>
      <c r="F42" s="3" t="s">
        <v>608</v>
      </c>
      <c r="G42" s="3" t="s">
        <v>1093</v>
      </c>
      <c r="H42" s="3" t="s">
        <v>40</v>
      </c>
    </row>
    <row r="43" spans="1:9" x14ac:dyDescent="0.25">
      <c r="A43" s="3" t="s">
        <v>6983</v>
      </c>
      <c r="B43" s="3" t="s">
        <v>6989</v>
      </c>
      <c r="C43" s="3" t="s">
        <v>6985</v>
      </c>
      <c r="D43" s="3" t="s">
        <v>6321</v>
      </c>
      <c r="E43" s="3">
        <v>42</v>
      </c>
      <c r="F43" s="3" t="s">
        <v>609</v>
      </c>
      <c r="G43" s="3" t="s">
        <v>1093</v>
      </c>
      <c r="H43" s="3" t="s">
        <v>41</v>
      </c>
    </row>
    <row r="44" spans="1:9" x14ac:dyDescent="0.25">
      <c r="A44" s="3" t="s">
        <v>6983</v>
      </c>
      <c r="B44" s="3" t="s">
        <v>6989</v>
      </c>
      <c r="C44" s="3" t="s">
        <v>6985</v>
      </c>
      <c r="D44" s="3" t="s">
        <v>6321</v>
      </c>
      <c r="E44" s="3">
        <v>43</v>
      </c>
      <c r="F44" s="3" t="s">
        <v>2492</v>
      </c>
      <c r="G44" s="3" t="s">
        <v>17</v>
      </c>
      <c r="H44" s="3" t="s">
        <v>6688</v>
      </c>
    </row>
    <row r="45" spans="1:9" x14ac:dyDescent="0.25">
      <c r="A45" s="3" t="s">
        <v>6983</v>
      </c>
      <c r="B45" s="3" t="s">
        <v>6989</v>
      </c>
      <c r="C45" s="3" t="s">
        <v>6985</v>
      </c>
      <c r="D45" s="3" t="s">
        <v>6321</v>
      </c>
      <c r="E45" s="3">
        <v>44</v>
      </c>
      <c r="F45" s="3" t="s">
        <v>2493</v>
      </c>
      <c r="G45" s="3" t="s">
        <v>4</v>
      </c>
      <c r="H45" s="3" t="s">
        <v>7008</v>
      </c>
    </row>
    <row r="46" spans="1:9" x14ac:dyDescent="0.25">
      <c r="A46" s="3" t="s">
        <v>6983</v>
      </c>
      <c r="B46" s="3" t="s">
        <v>6989</v>
      </c>
      <c r="C46" s="3" t="s">
        <v>6985</v>
      </c>
      <c r="D46" s="3" t="s">
        <v>6321</v>
      </c>
      <c r="E46" s="3">
        <v>45</v>
      </c>
      <c r="F46" s="3" t="s">
        <v>612</v>
      </c>
      <c r="G46" s="3" t="s">
        <v>4</v>
      </c>
      <c r="H46" s="3" t="s">
        <v>7009</v>
      </c>
    </row>
    <row r="47" spans="1:9" x14ac:dyDescent="0.25">
      <c r="A47" s="3" t="s">
        <v>6983</v>
      </c>
      <c r="B47" s="3" t="s">
        <v>6989</v>
      </c>
      <c r="C47" s="3" t="s">
        <v>6985</v>
      </c>
      <c r="D47" s="3" t="s">
        <v>6321</v>
      </c>
      <c r="E47" s="3">
        <v>46</v>
      </c>
      <c r="F47" s="3" t="s">
        <v>613</v>
      </c>
      <c r="G47" s="3" t="s">
        <v>19</v>
      </c>
      <c r="H47" s="3" t="s">
        <v>39</v>
      </c>
    </row>
    <row r="48" spans="1:9" x14ac:dyDescent="0.25">
      <c r="A48" s="3" t="s">
        <v>6983</v>
      </c>
      <c r="B48" s="3" t="s">
        <v>6989</v>
      </c>
      <c r="C48" s="3" t="s">
        <v>6985</v>
      </c>
      <c r="D48" s="3" t="s">
        <v>6321</v>
      </c>
      <c r="E48" s="3">
        <v>47</v>
      </c>
      <c r="F48" s="3" t="s">
        <v>614</v>
      </c>
      <c r="G48" s="3" t="s">
        <v>17</v>
      </c>
      <c r="H48" s="3" t="s">
        <v>43</v>
      </c>
    </row>
    <row r="49" spans="1:8" x14ac:dyDescent="0.25">
      <c r="A49" s="3" t="s">
        <v>6983</v>
      </c>
      <c r="B49" s="3" t="s">
        <v>6989</v>
      </c>
      <c r="C49" s="3" t="s">
        <v>6985</v>
      </c>
      <c r="D49" s="3" t="s">
        <v>6321</v>
      </c>
      <c r="E49" s="3">
        <v>48</v>
      </c>
      <c r="F49" s="3" t="s">
        <v>615</v>
      </c>
      <c r="G49" s="3" t="s">
        <v>4</v>
      </c>
      <c r="H49" s="3" t="s">
        <v>7010</v>
      </c>
    </row>
    <row r="50" spans="1:8" x14ac:dyDescent="0.25">
      <c r="A50" s="3" t="s">
        <v>6983</v>
      </c>
      <c r="B50" s="3" t="s">
        <v>6989</v>
      </c>
      <c r="C50" s="3" t="s">
        <v>6985</v>
      </c>
      <c r="D50" s="3" t="s">
        <v>6321</v>
      </c>
      <c r="E50" s="3">
        <v>49</v>
      </c>
      <c r="F50" s="3" t="s">
        <v>616</v>
      </c>
      <c r="G50" s="3" t="s">
        <v>17</v>
      </c>
      <c r="H50" s="3" t="s">
        <v>6942</v>
      </c>
    </row>
    <row r="51" spans="1:8" x14ac:dyDescent="0.25">
      <c r="A51" s="3" t="s">
        <v>6983</v>
      </c>
      <c r="B51" s="3" t="s">
        <v>6989</v>
      </c>
      <c r="C51" s="3" t="s">
        <v>6985</v>
      </c>
      <c r="D51" s="3" t="s">
        <v>6321</v>
      </c>
      <c r="E51" s="3">
        <v>50</v>
      </c>
      <c r="F51" s="3" t="s">
        <v>617</v>
      </c>
      <c r="G51" s="3" t="s">
        <v>17</v>
      </c>
      <c r="H51" s="3" t="s">
        <v>6942</v>
      </c>
    </row>
    <row r="52" spans="1:8" x14ac:dyDescent="0.25">
      <c r="A52" s="3" t="s">
        <v>6983</v>
      </c>
      <c r="B52" s="3" t="s">
        <v>6989</v>
      </c>
      <c r="C52" s="3" t="s">
        <v>6985</v>
      </c>
      <c r="D52" s="3" t="s">
        <v>6321</v>
      </c>
      <c r="E52" s="3">
        <v>51</v>
      </c>
      <c r="F52" s="3" t="s">
        <v>618</v>
      </c>
      <c r="G52" s="3" t="s">
        <v>13</v>
      </c>
      <c r="H52" s="3" t="s">
        <v>1140</v>
      </c>
    </row>
    <row r="53" spans="1:8" x14ac:dyDescent="0.25">
      <c r="A53" s="3" t="s">
        <v>6983</v>
      </c>
      <c r="B53" s="3" t="s">
        <v>6989</v>
      </c>
      <c r="C53" s="3" t="s">
        <v>6985</v>
      </c>
      <c r="D53" s="3" t="s">
        <v>6321</v>
      </c>
      <c r="E53" s="3">
        <v>52</v>
      </c>
      <c r="F53" s="3" t="s">
        <v>619</v>
      </c>
      <c r="G53" s="3" t="s">
        <v>4</v>
      </c>
      <c r="H53" s="3" t="s">
        <v>7011</v>
      </c>
    </row>
    <row r="54" spans="1:8" x14ac:dyDescent="0.25">
      <c r="A54" s="3" t="s">
        <v>6983</v>
      </c>
      <c r="B54" s="3" t="s">
        <v>6989</v>
      </c>
      <c r="C54" s="3" t="s">
        <v>6985</v>
      </c>
      <c r="D54" s="3" t="s">
        <v>6321</v>
      </c>
      <c r="E54" s="3">
        <v>53</v>
      </c>
      <c r="F54" s="3" t="s">
        <v>620</v>
      </c>
      <c r="G54" s="3" t="s">
        <v>17</v>
      </c>
      <c r="H54" s="3" t="s">
        <v>6943</v>
      </c>
    </row>
    <row r="55" spans="1:8" x14ac:dyDescent="0.25">
      <c r="A55" s="3" t="s">
        <v>6983</v>
      </c>
      <c r="B55" s="3" t="s">
        <v>6989</v>
      </c>
      <c r="C55" s="3" t="s">
        <v>6985</v>
      </c>
      <c r="D55" s="3" t="s">
        <v>6321</v>
      </c>
      <c r="E55" s="3">
        <v>54</v>
      </c>
      <c r="F55" s="3" t="s">
        <v>621</v>
      </c>
      <c r="G55" s="3" t="s">
        <v>17</v>
      </c>
      <c r="H55" s="3" t="s">
        <v>6943</v>
      </c>
    </row>
    <row r="56" spans="1:8" x14ac:dyDescent="0.25">
      <c r="A56" s="3" t="s">
        <v>6983</v>
      </c>
      <c r="B56" s="3" t="s">
        <v>6989</v>
      </c>
      <c r="C56" s="3" t="s">
        <v>6985</v>
      </c>
      <c r="D56" s="3" t="s">
        <v>6321</v>
      </c>
      <c r="E56" s="3">
        <v>55</v>
      </c>
      <c r="F56" s="3" t="s">
        <v>685</v>
      </c>
      <c r="G56" s="3" t="s">
        <v>31</v>
      </c>
      <c r="H56" s="3" t="s">
        <v>6968</v>
      </c>
    </row>
    <row r="57" spans="1:8" x14ac:dyDescent="0.25">
      <c r="A57" s="3" t="s">
        <v>6983</v>
      </c>
      <c r="B57" s="3" t="s">
        <v>6989</v>
      </c>
      <c r="C57" s="3" t="s">
        <v>6985</v>
      </c>
      <c r="D57" s="3" t="s">
        <v>6334</v>
      </c>
      <c r="E57" s="3">
        <v>56</v>
      </c>
      <c r="F57" s="3" t="s">
        <v>2494</v>
      </c>
      <c r="G57" s="3" t="s">
        <v>3842</v>
      </c>
      <c r="H57" s="3" t="str">
        <f>_xlfn.CONCAT("Measured pressure value from ",F57, ".")</f>
        <v>Measured pressure value from Riser A PT1.</v>
      </c>
    </row>
    <row r="58" spans="1:8" x14ac:dyDescent="0.25">
      <c r="A58" s="3" t="s">
        <v>6983</v>
      </c>
      <c r="B58" s="3" t="s">
        <v>6989</v>
      </c>
      <c r="C58" s="3" t="s">
        <v>6985</v>
      </c>
      <c r="D58" s="3" t="s">
        <v>6334</v>
      </c>
      <c r="E58" s="3">
        <v>57</v>
      </c>
      <c r="F58" s="3" t="s">
        <v>2495</v>
      </c>
      <c r="G58" s="3" t="s">
        <v>3842</v>
      </c>
      <c r="H58" s="3" t="str">
        <f t="shared" ref="H58:H121" si="0">_xlfn.CONCAT("Measured pressure value from ",F58, ".")</f>
        <v>Measured pressure value from Riser A PT2.</v>
      </c>
    </row>
    <row r="59" spans="1:8" x14ac:dyDescent="0.25">
      <c r="A59" s="3" t="s">
        <v>6983</v>
      </c>
      <c r="B59" s="3" t="s">
        <v>6989</v>
      </c>
      <c r="C59" s="3" t="s">
        <v>6985</v>
      </c>
      <c r="D59" s="3" t="s">
        <v>6334</v>
      </c>
      <c r="E59" s="3">
        <v>58</v>
      </c>
      <c r="F59" s="3" t="s">
        <v>2496</v>
      </c>
      <c r="G59" s="3" t="s">
        <v>3842</v>
      </c>
      <c r="H59" s="3" t="str">
        <f t="shared" si="0"/>
        <v>Measured pressure value from Riser A PT3.</v>
      </c>
    </row>
    <row r="60" spans="1:8" x14ac:dyDescent="0.25">
      <c r="A60" s="3" t="s">
        <v>6983</v>
      </c>
      <c r="B60" s="3" t="s">
        <v>6989</v>
      </c>
      <c r="C60" s="3" t="s">
        <v>6985</v>
      </c>
      <c r="D60" s="3" t="s">
        <v>6334</v>
      </c>
      <c r="E60" s="3">
        <v>59</v>
      </c>
      <c r="F60" s="3" t="s">
        <v>2497</v>
      </c>
      <c r="G60" s="3" t="s">
        <v>3842</v>
      </c>
      <c r="H60" s="3" t="str">
        <f t="shared" si="0"/>
        <v>Measured pressure value from Riser A PT4.</v>
      </c>
    </row>
    <row r="61" spans="1:8" x14ac:dyDescent="0.25">
      <c r="A61" s="3" t="s">
        <v>6983</v>
      </c>
      <c r="B61" s="3" t="s">
        <v>6989</v>
      </c>
      <c r="C61" s="3" t="s">
        <v>6985</v>
      </c>
      <c r="D61" s="3" t="s">
        <v>6334</v>
      </c>
      <c r="E61" s="3">
        <v>60</v>
      </c>
      <c r="F61" s="3" t="s">
        <v>2498</v>
      </c>
      <c r="G61" s="3" t="s">
        <v>3842</v>
      </c>
      <c r="H61" s="3" t="str">
        <f t="shared" si="0"/>
        <v>Measured pressure value from Riser A PT5.</v>
      </c>
    </row>
    <row r="62" spans="1:8" x14ac:dyDescent="0.25">
      <c r="A62" s="3" t="s">
        <v>6983</v>
      </c>
      <c r="B62" s="3" t="s">
        <v>6989</v>
      </c>
      <c r="C62" s="3" t="s">
        <v>6985</v>
      </c>
      <c r="D62" s="3" t="s">
        <v>6334</v>
      </c>
      <c r="E62" s="3">
        <v>61</v>
      </c>
      <c r="F62" s="3" t="s">
        <v>2499</v>
      </c>
      <c r="G62" s="3" t="s">
        <v>3842</v>
      </c>
      <c r="H62" s="3" t="str">
        <f t="shared" si="0"/>
        <v>Measured pressure value from Riser A PT6.</v>
      </c>
    </row>
    <row r="63" spans="1:8" x14ac:dyDescent="0.25">
      <c r="A63" s="3" t="s">
        <v>6983</v>
      </c>
      <c r="B63" s="3" t="s">
        <v>6989</v>
      </c>
      <c r="C63" s="3" t="s">
        <v>6985</v>
      </c>
      <c r="D63" s="3" t="s">
        <v>6334</v>
      </c>
      <c r="E63" s="3">
        <v>62</v>
      </c>
      <c r="F63" s="3" t="s">
        <v>2500</v>
      </c>
      <c r="G63" s="3" t="s">
        <v>3842</v>
      </c>
      <c r="H63" s="3" t="str">
        <f t="shared" si="0"/>
        <v>Measured pressure value from Riser A PT7.</v>
      </c>
    </row>
    <row r="64" spans="1:8" x14ac:dyDescent="0.25">
      <c r="A64" s="3" t="s">
        <v>6983</v>
      </c>
      <c r="B64" s="3" t="s">
        <v>6989</v>
      </c>
      <c r="C64" s="3" t="s">
        <v>6985</v>
      </c>
      <c r="D64" s="3" t="s">
        <v>6334</v>
      </c>
      <c r="E64" s="3">
        <v>63</v>
      </c>
      <c r="F64" s="3" t="s">
        <v>2501</v>
      </c>
      <c r="G64" s="3" t="s">
        <v>3842</v>
      </c>
      <c r="H64" s="3" t="str">
        <f t="shared" si="0"/>
        <v>Measured pressure value from Riser A PT8.</v>
      </c>
    </row>
    <row r="65" spans="1:8" x14ac:dyDescent="0.25">
      <c r="A65" s="3" t="s">
        <v>6983</v>
      </c>
      <c r="B65" s="3" t="s">
        <v>6989</v>
      </c>
      <c r="C65" s="3" t="s">
        <v>6985</v>
      </c>
      <c r="D65" s="3" t="s">
        <v>6334</v>
      </c>
      <c r="E65" s="3">
        <v>64</v>
      </c>
      <c r="F65" s="3" t="s">
        <v>2502</v>
      </c>
      <c r="G65" s="3" t="s">
        <v>3842</v>
      </c>
      <c r="H65" s="3" t="str">
        <f t="shared" si="0"/>
        <v>Measured pressure value from Riser B PT1.</v>
      </c>
    </row>
    <row r="66" spans="1:8" x14ac:dyDescent="0.25">
      <c r="A66" s="3" t="s">
        <v>6983</v>
      </c>
      <c r="B66" s="3" t="s">
        <v>6989</v>
      </c>
      <c r="C66" s="3" t="s">
        <v>6985</v>
      </c>
      <c r="D66" s="3" t="s">
        <v>6334</v>
      </c>
      <c r="E66" s="3">
        <v>65</v>
      </c>
      <c r="F66" s="3" t="s">
        <v>2503</v>
      </c>
      <c r="G66" s="3" t="s">
        <v>3842</v>
      </c>
      <c r="H66" s="3" t="str">
        <f t="shared" si="0"/>
        <v>Measured pressure value from Riser B PT2.</v>
      </c>
    </row>
    <row r="67" spans="1:8" x14ac:dyDescent="0.25">
      <c r="A67" s="3" t="s">
        <v>6983</v>
      </c>
      <c r="B67" s="3" t="s">
        <v>6989</v>
      </c>
      <c r="C67" s="3" t="s">
        <v>6985</v>
      </c>
      <c r="D67" s="3" t="s">
        <v>6334</v>
      </c>
      <c r="E67" s="3">
        <v>66</v>
      </c>
      <c r="F67" s="3" t="s">
        <v>2504</v>
      </c>
      <c r="G67" s="3" t="s">
        <v>3842</v>
      </c>
      <c r="H67" s="3" t="str">
        <f t="shared" si="0"/>
        <v>Measured pressure value from Riser B PT3.</v>
      </c>
    </row>
    <row r="68" spans="1:8" x14ac:dyDescent="0.25">
      <c r="A68" s="3" t="s">
        <v>6983</v>
      </c>
      <c r="B68" s="3" t="s">
        <v>6989</v>
      </c>
      <c r="C68" s="3" t="s">
        <v>6985</v>
      </c>
      <c r="D68" s="3" t="s">
        <v>6334</v>
      </c>
      <c r="E68" s="3">
        <v>67</v>
      </c>
      <c r="F68" s="3" t="s">
        <v>2505</v>
      </c>
      <c r="G68" s="3" t="s">
        <v>3842</v>
      </c>
      <c r="H68" s="3" t="str">
        <f t="shared" si="0"/>
        <v>Measured pressure value from Riser B PT4.</v>
      </c>
    </row>
    <row r="69" spans="1:8" x14ac:dyDescent="0.25">
      <c r="A69" s="3" t="s">
        <v>6983</v>
      </c>
      <c r="B69" s="3" t="s">
        <v>6989</v>
      </c>
      <c r="C69" s="3" t="s">
        <v>6985</v>
      </c>
      <c r="D69" s="3" t="s">
        <v>6334</v>
      </c>
      <c r="E69" s="3">
        <v>68</v>
      </c>
      <c r="F69" s="3" t="s">
        <v>2506</v>
      </c>
      <c r="G69" s="3" t="s">
        <v>3842</v>
      </c>
      <c r="H69" s="3" t="str">
        <f t="shared" si="0"/>
        <v>Measured pressure value from Riser B PT5.</v>
      </c>
    </row>
    <row r="70" spans="1:8" x14ac:dyDescent="0.25">
      <c r="A70" s="3" t="s">
        <v>6983</v>
      </c>
      <c r="B70" s="3" t="s">
        <v>6989</v>
      </c>
      <c r="C70" s="3" t="s">
        <v>6985</v>
      </c>
      <c r="D70" s="3" t="s">
        <v>6334</v>
      </c>
      <c r="E70" s="3">
        <v>69</v>
      </c>
      <c r="F70" s="3" t="s">
        <v>2507</v>
      </c>
      <c r="G70" s="3" t="s">
        <v>3842</v>
      </c>
      <c r="H70" s="3" t="str">
        <f t="shared" si="0"/>
        <v>Measured pressure value from Riser B PT6.</v>
      </c>
    </row>
    <row r="71" spans="1:8" x14ac:dyDescent="0.25">
      <c r="A71" s="3" t="s">
        <v>6983</v>
      </c>
      <c r="B71" s="3" t="s">
        <v>6989</v>
      </c>
      <c r="C71" s="3" t="s">
        <v>6985</v>
      </c>
      <c r="D71" s="3" t="s">
        <v>6334</v>
      </c>
      <c r="E71" s="3">
        <v>70</v>
      </c>
      <c r="F71" s="3" t="s">
        <v>2508</v>
      </c>
      <c r="G71" s="3" t="s">
        <v>3842</v>
      </c>
      <c r="H71" s="3" t="str">
        <f t="shared" si="0"/>
        <v>Measured pressure value from Riser B PT7.</v>
      </c>
    </row>
    <row r="72" spans="1:8" x14ac:dyDescent="0.25">
      <c r="A72" s="3" t="s">
        <v>6983</v>
      </c>
      <c r="B72" s="3" t="s">
        <v>6989</v>
      </c>
      <c r="C72" s="3" t="s">
        <v>6985</v>
      </c>
      <c r="D72" s="3" t="s">
        <v>6334</v>
      </c>
      <c r="E72" s="3">
        <v>71</v>
      </c>
      <c r="F72" s="3" t="s">
        <v>2509</v>
      </c>
      <c r="G72" s="3" t="s">
        <v>3842</v>
      </c>
      <c r="H72" s="3" t="str">
        <f t="shared" si="0"/>
        <v>Measured pressure value from Riser B PT8.</v>
      </c>
    </row>
    <row r="73" spans="1:8" x14ac:dyDescent="0.25">
      <c r="A73" s="3" t="s">
        <v>6983</v>
      </c>
      <c r="B73" s="3" t="s">
        <v>6989</v>
      </c>
      <c r="C73" s="3" t="s">
        <v>6985</v>
      </c>
      <c r="D73" s="3" t="s">
        <v>6334</v>
      </c>
      <c r="E73" s="3">
        <v>72</v>
      </c>
      <c r="F73" s="3" t="s">
        <v>2510</v>
      </c>
      <c r="G73" s="3" t="s">
        <v>3842</v>
      </c>
      <c r="H73" s="3" t="str">
        <f t="shared" si="0"/>
        <v>Measured pressure value from Riser C PT1.</v>
      </c>
    </row>
    <row r="74" spans="1:8" x14ac:dyDescent="0.25">
      <c r="A74" s="3" t="s">
        <v>6983</v>
      </c>
      <c r="B74" s="3" t="s">
        <v>6989</v>
      </c>
      <c r="C74" s="3" t="s">
        <v>6985</v>
      </c>
      <c r="D74" s="3" t="s">
        <v>6334</v>
      </c>
      <c r="E74" s="3">
        <v>73</v>
      </c>
      <c r="F74" s="3" t="s">
        <v>2511</v>
      </c>
      <c r="G74" s="3" t="s">
        <v>3842</v>
      </c>
      <c r="H74" s="3" t="str">
        <f t="shared" si="0"/>
        <v>Measured pressure value from Riser C PT2.</v>
      </c>
    </row>
    <row r="75" spans="1:8" x14ac:dyDescent="0.25">
      <c r="A75" s="3" t="s">
        <v>6983</v>
      </c>
      <c r="B75" s="3" t="s">
        <v>6989</v>
      </c>
      <c r="C75" s="3" t="s">
        <v>6985</v>
      </c>
      <c r="D75" s="3" t="s">
        <v>6334</v>
      </c>
      <c r="E75" s="3">
        <v>74</v>
      </c>
      <c r="F75" s="3" t="s">
        <v>2512</v>
      </c>
      <c r="G75" s="3" t="s">
        <v>3842</v>
      </c>
      <c r="H75" s="3" t="str">
        <f t="shared" si="0"/>
        <v>Measured pressure value from Riser C PT3.</v>
      </c>
    </row>
    <row r="76" spans="1:8" x14ac:dyDescent="0.25">
      <c r="A76" s="3" t="s">
        <v>6983</v>
      </c>
      <c r="B76" s="3" t="s">
        <v>6989</v>
      </c>
      <c r="C76" s="3" t="s">
        <v>6985</v>
      </c>
      <c r="D76" s="3" t="s">
        <v>6334</v>
      </c>
      <c r="E76" s="3">
        <v>75</v>
      </c>
      <c r="F76" s="3" t="s">
        <v>2513</v>
      </c>
      <c r="G76" s="3" t="s">
        <v>3842</v>
      </c>
      <c r="H76" s="3" t="str">
        <f t="shared" si="0"/>
        <v>Measured pressure value from Riser C PT4.</v>
      </c>
    </row>
    <row r="77" spans="1:8" x14ac:dyDescent="0.25">
      <c r="A77" s="3" t="s">
        <v>6983</v>
      </c>
      <c r="B77" s="3" t="s">
        <v>6989</v>
      </c>
      <c r="C77" s="3" t="s">
        <v>6985</v>
      </c>
      <c r="D77" s="3" t="s">
        <v>6334</v>
      </c>
      <c r="E77" s="3">
        <v>76</v>
      </c>
      <c r="F77" s="3" t="s">
        <v>2514</v>
      </c>
      <c r="G77" s="3" t="s">
        <v>3842</v>
      </c>
      <c r="H77" s="3" t="str">
        <f t="shared" si="0"/>
        <v>Measured pressure value from Riser C PT5.</v>
      </c>
    </row>
    <row r="78" spans="1:8" x14ac:dyDescent="0.25">
      <c r="A78" s="3" t="s">
        <v>6983</v>
      </c>
      <c r="B78" s="3" t="s">
        <v>6989</v>
      </c>
      <c r="C78" s="3" t="s">
        <v>6985</v>
      </c>
      <c r="D78" s="3" t="s">
        <v>6334</v>
      </c>
      <c r="E78" s="3">
        <v>77</v>
      </c>
      <c r="F78" s="3" t="s">
        <v>2515</v>
      </c>
      <c r="G78" s="3" t="s">
        <v>3842</v>
      </c>
      <c r="H78" s="3" t="str">
        <f t="shared" si="0"/>
        <v>Measured pressure value from Riser C PT6.</v>
      </c>
    </row>
    <row r="79" spans="1:8" x14ac:dyDescent="0.25">
      <c r="A79" s="3" t="s">
        <v>6983</v>
      </c>
      <c r="B79" s="3" t="s">
        <v>6989</v>
      </c>
      <c r="C79" s="3" t="s">
        <v>6985</v>
      </c>
      <c r="D79" s="3" t="s">
        <v>6334</v>
      </c>
      <c r="E79" s="3">
        <v>78</v>
      </c>
      <c r="F79" s="3" t="s">
        <v>2516</v>
      </c>
      <c r="G79" s="3" t="s">
        <v>3842</v>
      </c>
      <c r="H79" s="3" t="str">
        <f t="shared" si="0"/>
        <v>Measured pressure value from Riser C PT7.</v>
      </c>
    </row>
    <row r="80" spans="1:8" x14ac:dyDescent="0.25">
      <c r="A80" s="3" t="s">
        <v>6983</v>
      </c>
      <c r="B80" s="3" t="s">
        <v>6989</v>
      </c>
      <c r="C80" s="3" t="s">
        <v>6985</v>
      </c>
      <c r="D80" s="3" t="s">
        <v>6334</v>
      </c>
      <c r="E80" s="3">
        <v>79</v>
      </c>
      <c r="F80" s="3" t="s">
        <v>2517</v>
      </c>
      <c r="G80" s="3" t="s">
        <v>3842</v>
      </c>
      <c r="H80" s="3" t="str">
        <f t="shared" si="0"/>
        <v>Measured pressure value from Riser C PT8.</v>
      </c>
    </row>
    <row r="81" spans="1:8" x14ac:dyDescent="0.25">
      <c r="A81" s="3" t="s">
        <v>6983</v>
      </c>
      <c r="B81" s="3" t="s">
        <v>6989</v>
      </c>
      <c r="C81" s="3" t="s">
        <v>6985</v>
      </c>
      <c r="D81" s="3" t="s">
        <v>6334</v>
      </c>
      <c r="E81" s="3">
        <v>80</v>
      </c>
      <c r="F81" s="3" t="s">
        <v>2518</v>
      </c>
      <c r="G81" s="3" t="s">
        <v>3842</v>
      </c>
      <c r="H81" s="3" t="str">
        <f t="shared" si="0"/>
        <v>Measured pressure value from Riser D PT1.</v>
      </c>
    </row>
    <row r="82" spans="1:8" x14ac:dyDescent="0.25">
      <c r="A82" s="3" t="s">
        <v>6983</v>
      </c>
      <c r="B82" s="3" t="s">
        <v>6989</v>
      </c>
      <c r="C82" s="3" t="s">
        <v>6985</v>
      </c>
      <c r="D82" s="3" t="s">
        <v>6334</v>
      </c>
      <c r="E82" s="3">
        <v>81</v>
      </c>
      <c r="F82" s="3" t="s">
        <v>2519</v>
      </c>
      <c r="G82" s="3" t="s">
        <v>3842</v>
      </c>
      <c r="H82" s="3" t="str">
        <f t="shared" si="0"/>
        <v>Measured pressure value from Riser D PT2.</v>
      </c>
    </row>
    <row r="83" spans="1:8" x14ac:dyDescent="0.25">
      <c r="A83" s="3" t="s">
        <v>6983</v>
      </c>
      <c r="B83" s="3" t="s">
        <v>6989</v>
      </c>
      <c r="C83" s="3" t="s">
        <v>6985</v>
      </c>
      <c r="D83" s="3" t="s">
        <v>6334</v>
      </c>
      <c r="E83" s="3">
        <v>82</v>
      </c>
      <c r="F83" s="3" t="s">
        <v>2520</v>
      </c>
      <c r="G83" s="3" t="s">
        <v>3842</v>
      </c>
      <c r="H83" s="3" t="str">
        <f t="shared" si="0"/>
        <v>Measured pressure value from Riser D PT3.</v>
      </c>
    </row>
    <row r="84" spans="1:8" x14ac:dyDescent="0.25">
      <c r="A84" s="3" t="s">
        <v>6983</v>
      </c>
      <c r="B84" s="3" t="s">
        <v>6989</v>
      </c>
      <c r="C84" s="3" t="s">
        <v>6985</v>
      </c>
      <c r="D84" s="3" t="s">
        <v>6334</v>
      </c>
      <c r="E84" s="3">
        <v>83</v>
      </c>
      <c r="F84" s="3" t="s">
        <v>2521</v>
      </c>
      <c r="G84" s="3" t="s">
        <v>3842</v>
      </c>
      <c r="H84" s="3" t="str">
        <f t="shared" si="0"/>
        <v>Measured pressure value from Riser D PT4.</v>
      </c>
    </row>
    <row r="85" spans="1:8" x14ac:dyDescent="0.25">
      <c r="A85" s="3" t="s">
        <v>6983</v>
      </c>
      <c r="B85" s="3" t="s">
        <v>6989</v>
      </c>
      <c r="C85" s="3" t="s">
        <v>6985</v>
      </c>
      <c r="D85" s="3" t="s">
        <v>6334</v>
      </c>
      <c r="E85" s="3">
        <v>84</v>
      </c>
      <c r="F85" s="3" t="s">
        <v>2522</v>
      </c>
      <c r="G85" s="3" t="s">
        <v>3842</v>
      </c>
      <c r="H85" s="3" t="str">
        <f t="shared" si="0"/>
        <v>Measured pressure value from Riser D PT5.</v>
      </c>
    </row>
    <row r="86" spans="1:8" x14ac:dyDescent="0.25">
      <c r="A86" s="3" t="s">
        <v>6983</v>
      </c>
      <c r="B86" s="3" t="s">
        <v>6989</v>
      </c>
      <c r="C86" s="3" t="s">
        <v>6985</v>
      </c>
      <c r="D86" s="3" t="s">
        <v>6334</v>
      </c>
      <c r="E86" s="3">
        <v>85</v>
      </c>
      <c r="F86" s="3" t="s">
        <v>2523</v>
      </c>
      <c r="G86" s="3" t="s">
        <v>3842</v>
      </c>
      <c r="H86" s="3" t="str">
        <f t="shared" si="0"/>
        <v>Measured pressure value from Riser D PT6.</v>
      </c>
    </row>
    <row r="87" spans="1:8" x14ac:dyDescent="0.25">
      <c r="A87" s="3" t="s">
        <v>6983</v>
      </c>
      <c r="B87" s="3" t="s">
        <v>6989</v>
      </c>
      <c r="C87" s="3" t="s">
        <v>6985</v>
      </c>
      <c r="D87" s="3" t="s">
        <v>6334</v>
      </c>
      <c r="E87" s="3">
        <v>86</v>
      </c>
      <c r="F87" s="3" t="s">
        <v>2524</v>
      </c>
      <c r="G87" s="3" t="s">
        <v>3842</v>
      </c>
      <c r="H87" s="3" t="str">
        <f t="shared" si="0"/>
        <v>Measured pressure value from Riser D PT7.</v>
      </c>
    </row>
    <row r="88" spans="1:8" x14ac:dyDescent="0.25">
      <c r="A88" s="3" t="s">
        <v>6983</v>
      </c>
      <c r="B88" s="3" t="s">
        <v>6989</v>
      </c>
      <c r="C88" s="3" t="s">
        <v>6985</v>
      </c>
      <c r="D88" s="3" t="s">
        <v>6334</v>
      </c>
      <c r="E88" s="3">
        <v>87</v>
      </c>
      <c r="F88" s="3" t="s">
        <v>2525</v>
      </c>
      <c r="G88" s="3" t="s">
        <v>3842</v>
      </c>
      <c r="H88" s="3" t="str">
        <f t="shared" si="0"/>
        <v>Measured pressure value from Riser D PT8.</v>
      </c>
    </row>
    <row r="89" spans="1:8" x14ac:dyDescent="0.25">
      <c r="A89" s="3" t="s">
        <v>6983</v>
      </c>
      <c r="B89" s="3" t="s">
        <v>6989</v>
      </c>
      <c r="C89" s="3" t="s">
        <v>6985</v>
      </c>
      <c r="D89" s="3" t="s">
        <v>6334</v>
      </c>
      <c r="E89" s="3">
        <v>88</v>
      </c>
      <c r="F89" s="3" t="s">
        <v>2526</v>
      </c>
      <c r="G89" s="3" t="s">
        <v>3842</v>
      </c>
      <c r="H89" s="3" t="str">
        <f t="shared" si="0"/>
        <v>Measured pressure value from Riser E PT1.</v>
      </c>
    </row>
    <row r="90" spans="1:8" x14ac:dyDescent="0.25">
      <c r="A90" s="3" t="s">
        <v>6983</v>
      </c>
      <c r="B90" s="3" t="s">
        <v>6989</v>
      </c>
      <c r="C90" s="3" t="s">
        <v>6985</v>
      </c>
      <c r="D90" s="3" t="s">
        <v>6334</v>
      </c>
      <c r="E90" s="3">
        <v>89</v>
      </c>
      <c r="F90" s="3" t="s">
        <v>2527</v>
      </c>
      <c r="G90" s="3" t="s">
        <v>3842</v>
      </c>
      <c r="H90" s="3" t="str">
        <f t="shared" si="0"/>
        <v>Measured pressure value from Riser E PT2.</v>
      </c>
    </row>
    <row r="91" spans="1:8" x14ac:dyDescent="0.25">
      <c r="A91" s="3" t="s">
        <v>6983</v>
      </c>
      <c r="B91" s="3" t="s">
        <v>6989</v>
      </c>
      <c r="C91" s="3" t="s">
        <v>6985</v>
      </c>
      <c r="D91" s="3" t="s">
        <v>6334</v>
      </c>
      <c r="E91" s="3">
        <v>90</v>
      </c>
      <c r="F91" s="3" t="s">
        <v>2528</v>
      </c>
      <c r="G91" s="3" t="s">
        <v>3842</v>
      </c>
      <c r="H91" s="3" t="str">
        <f t="shared" si="0"/>
        <v>Measured pressure value from Riser E PT3.</v>
      </c>
    </row>
    <row r="92" spans="1:8" x14ac:dyDescent="0.25">
      <c r="A92" s="3" t="s">
        <v>6983</v>
      </c>
      <c r="B92" s="3" t="s">
        <v>6989</v>
      </c>
      <c r="C92" s="3" t="s">
        <v>6985</v>
      </c>
      <c r="D92" s="3" t="s">
        <v>6334</v>
      </c>
      <c r="E92" s="3">
        <v>91</v>
      </c>
      <c r="F92" s="3" t="s">
        <v>2529</v>
      </c>
      <c r="G92" s="3" t="s">
        <v>3842</v>
      </c>
      <c r="H92" s="3" t="str">
        <f t="shared" si="0"/>
        <v>Measured pressure value from Riser E PT4.</v>
      </c>
    </row>
    <row r="93" spans="1:8" x14ac:dyDescent="0.25">
      <c r="A93" s="3" t="s">
        <v>6983</v>
      </c>
      <c r="B93" s="3" t="s">
        <v>6989</v>
      </c>
      <c r="C93" s="3" t="s">
        <v>6985</v>
      </c>
      <c r="D93" s="3" t="s">
        <v>6334</v>
      </c>
      <c r="E93" s="3">
        <v>92</v>
      </c>
      <c r="F93" s="3" t="s">
        <v>2530</v>
      </c>
      <c r="G93" s="3" t="s">
        <v>3842</v>
      </c>
      <c r="H93" s="3" t="str">
        <f t="shared" si="0"/>
        <v>Measured pressure value from Riser F PT1.</v>
      </c>
    </row>
    <row r="94" spans="1:8" x14ac:dyDescent="0.25">
      <c r="A94" s="3" t="s">
        <v>6983</v>
      </c>
      <c r="B94" s="3" t="s">
        <v>6989</v>
      </c>
      <c r="C94" s="3" t="s">
        <v>6985</v>
      </c>
      <c r="D94" s="3" t="s">
        <v>6334</v>
      </c>
      <c r="E94" s="3">
        <v>93</v>
      </c>
      <c r="F94" s="3" t="s">
        <v>2531</v>
      </c>
      <c r="G94" s="3" t="s">
        <v>3842</v>
      </c>
      <c r="H94" s="3" t="str">
        <f t="shared" si="0"/>
        <v>Measured pressure value from Riser F PT2.</v>
      </c>
    </row>
    <row r="95" spans="1:8" x14ac:dyDescent="0.25">
      <c r="A95" s="3" t="s">
        <v>6983</v>
      </c>
      <c r="B95" s="3" t="s">
        <v>6989</v>
      </c>
      <c r="C95" s="3" t="s">
        <v>6985</v>
      </c>
      <c r="D95" s="3" t="s">
        <v>6334</v>
      </c>
      <c r="E95" s="3">
        <v>94</v>
      </c>
      <c r="F95" s="3" t="s">
        <v>2532</v>
      </c>
      <c r="G95" s="3" t="s">
        <v>3842</v>
      </c>
      <c r="H95" s="3" t="str">
        <f t="shared" si="0"/>
        <v>Measured pressure value from Riser F PT3.</v>
      </c>
    </row>
    <row r="96" spans="1:8" x14ac:dyDescent="0.25">
      <c r="A96" s="3" t="s">
        <v>6983</v>
      </c>
      <c r="B96" s="3" t="s">
        <v>6989</v>
      </c>
      <c r="C96" s="3" t="s">
        <v>6985</v>
      </c>
      <c r="D96" s="3" t="s">
        <v>6334</v>
      </c>
      <c r="E96" s="3">
        <v>95</v>
      </c>
      <c r="F96" s="3" t="s">
        <v>2533</v>
      </c>
      <c r="G96" s="3" t="s">
        <v>3842</v>
      </c>
      <c r="H96" s="3" t="str">
        <f t="shared" si="0"/>
        <v>Measured pressure value from Riser F PT4.</v>
      </c>
    </row>
    <row r="97" spans="1:8" x14ac:dyDescent="0.25">
      <c r="A97" s="3" t="s">
        <v>6983</v>
      </c>
      <c r="B97" s="3" t="s">
        <v>6989</v>
      </c>
      <c r="C97" s="3" t="s">
        <v>6985</v>
      </c>
      <c r="D97" s="3" t="s">
        <v>6334</v>
      </c>
      <c r="E97" s="3">
        <v>96</v>
      </c>
      <c r="F97" s="3" t="s">
        <v>2534</v>
      </c>
      <c r="G97" s="3" t="s">
        <v>3842</v>
      </c>
      <c r="H97" s="3" t="str">
        <f t="shared" si="0"/>
        <v>Measured pressure value from Riser I PT1.</v>
      </c>
    </row>
    <row r="98" spans="1:8" x14ac:dyDescent="0.25">
      <c r="A98" s="3" t="s">
        <v>6983</v>
      </c>
      <c r="B98" s="3" t="s">
        <v>6989</v>
      </c>
      <c r="C98" s="3" t="s">
        <v>6985</v>
      </c>
      <c r="D98" s="3" t="s">
        <v>6334</v>
      </c>
      <c r="E98" s="3">
        <v>97</v>
      </c>
      <c r="F98" s="3" t="s">
        <v>2535</v>
      </c>
      <c r="G98" s="3" t="s">
        <v>3842</v>
      </c>
      <c r="H98" s="3" t="str">
        <f t="shared" si="0"/>
        <v>Measured pressure value from Riser I PT2.</v>
      </c>
    </row>
    <row r="99" spans="1:8" x14ac:dyDescent="0.25">
      <c r="A99" s="3" t="s">
        <v>6983</v>
      </c>
      <c r="B99" s="3" t="s">
        <v>6989</v>
      </c>
      <c r="C99" s="3" t="s">
        <v>6985</v>
      </c>
      <c r="D99" s="3" t="s">
        <v>6334</v>
      </c>
      <c r="E99" s="3">
        <v>98</v>
      </c>
      <c r="F99" s="3" t="s">
        <v>2536</v>
      </c>
      <c r="G99" s="3" t="s">
        <v>3842</v>
      </c>
      <c r="H99" s="3" t="str">
        <f t="shared" si="0"/>
        <v>Measured pressure value from Riser I PT3.</v>
      </c>
    </row>
    <row r="100" spans="1:8" x14ac:dyDescent="0.25">
      <c r="A100" s="3" t="s">
        <v>6983</v>
      </c>
      <c r="B100" s="3" t="s">
        <v>6989</v>
      </c>
      <c r="C100" s="3" t="s">
        <v>6985</v>
      </c>
      <c r="D100" s="3" t="s">
        <v>6334</v>
      </c>
      <c r="E100" s="3">
        <v>99</v>
      </c>
      <c r="F100" s="3" t="s">
        <v>2537</v>
      </c>
      <c r="G100" s="3" t="s">
        <v>3842</v>
      </c>
      <c r="H100" s="3" t="str">
        <f t="shared" si="0"/>
        <v>Measured pressure value from Riser I PT4.</v>
      </c>
    </row>
    <row r="101" spans="1:8" x14ac:dyDescent="0.25">
      <c r="A101" s="3" t="s">
        <v>6983</v>
      </c>
      <c r="B101" s="3" t="s">
        <v>6989</v>
      </c>
      <c r="C101" s="3" t="s">
        <v>6985</v>
      </c>
      <c r="D101" s="3" t="s">
        <v>6334</v>
      </c>
      <c r="E101" s="3">
        <v>100</v>
      </c>
      <c r="F101" s="3" t="s">
        <v>2538</v>
      </c>
      <c r="G101" s="3" t="s">
        <v>3842</v>
      </c>
      <c r="H101" s="3" t="str">
        <f t="shared" si="0"/>
        <v>Measured pressure value from Riser J PT1.</v>
      </c>
    </row>
    <row r="102" spans="1:8" x14ac:dyDescent="0.25">
      <c r="A102" s="3" t="s">
        <v>6983</v>
      </c>
      <c r="B102" s="3" t="s">
        <v>6989</v>
      </c>
      <c r="C102" s="3" t="s">
        <v>6985</v>
      </c>
      <c r="D102" s="3" t="s">
        <v>6334</v>
      </c>
      <c r="E102" s="3">
        <v>101</v>
      </c>
      <c r="F102" s="3" t="s">
        <v>2539</v>
      </c>
      <c r="G102" s="3" t="s">
        <v>3842</v>
      </c>
      <c r="H102" s="3" t="str">
        <f t="shared" si="0"/>
        <v>Measured pressure value from Riser J PT2.</v>
      </c>
    </row>
    <row r="103" spans="1:8" x14ac:dyDescent="0.25">
      <c r="A103" s="3" t="s">
        <v>6983</v>
      </c>
      <c r="B103" s="3" t="s">
        <v>6989</v>
      </c>
      <c r="C103" s="3" t="s">
        <v>6985</v>
      </c>
      <c r="D103" s="3" t="s">
        <v>6334</v>
      </c>
      <c r="E103" s="3">
        <v>102</v>
      </c>
      <c r="F103" s="3" t="s">
        <v>2540</v>
      </c>
      <c r="G103" s="3" t="s">
        <v>3842</v>
      </c>
      <c r="H103" s="3" t="str">
        <f t="shared" si="0"/>
        <v>Measured pressure value from Riser J PT3.</v>
      </c>
    </row>
    <row r="104" spans="1:8" x14ac:dyDescent="0.25">
      <c r="A104" s="3" t="s">
        <v>6983</v>
      </c>
      <c r="B104" s="3" t="s">
        <v>6989</v>
      </c>
      <c r="C104" s="3" t="s">
        <v>6985</v>
      </c>
      <c r="D104" s="3" t="s">
        <v>6334</v>
      </c>
      <c r="E104" s="3">
        <v>103</v>
      </c>
      <c r="F104" s="3" t="s">
        <v>2541</v>
      </c>
      <c r="G104" s="3" t="s">
        <v>3842</v>
      </c>
      <c r="H104" s="3" t="str">
        <f t="shared" si="0"/>
        <v>Measured pressure value from Riser J PT4.</v>
      </c>
    </row>
    <row r="105" spans="1:8" x14ac:dyDescent="0.25">
      <c r="A105" s="3" t="s">
        <v>6983</v>
      </c>
      <c r="B105" s="3" t="s">
        <v>6989</v>
      </c>
      <c r="C105" s="3" t="s">
        <v>6985</v>
      </c>
      <c r="D105" s="3" t="s">
        <v>6334</v>
      </c>
      <c r="E105" s="3">
        <v>104</v>
      </c>
      <c r="F105" s="3" t="s">
        <v>2542</v>
      </c>
      <c r="G105" s="3" t="s">
        <v>3842</v>
      </c>
      <c r="H105" s="3" t="str">
        <f t="shared" si="0"/>
        <v>Measured pressure value from Riser K PT1.</v>
      </c>
    </row>
    <row r="106" spans="1:8" x14ac:dyDescent="0.25">
      <c r="A106" s="3" t="s">
        <v>6983</v>
      </c>
      <c r="B106" s="3" t="s">
        <v>6989</v>
      </c>
      <c r="C106" s="3" t="s">
        <v>6985</v>
      </c>
      <c r="D106" s="3" t="s">
        <v>6334</v>
      </c>
      <c r="E106" s="3">
        <v>105</v>
      </c>
      <c r="F106" s="3" t="s">
        <v>2543</v>
      </c>
      <c r="G106" s="3" t="s">
        <v>3842</v>
      </c>
      <c r="H106" s="3" t="str">
        <f t="shared" si="0"/>
        <v>Measured pressure value from Riser K PT2.</v>
      </c>
    </row>
    <row r="107" spans="1:8" x14ac:dyDescent="0.25">
      <c r="A107" s="3" t="s">
        <v>6983</v>
      </c>
      <c r="B107" s="3" t="s">
        <v>6989</v>
      </c>
      <c r="C107" s="3" t="s">
        <v>6985</v>
      </c>
      <c r="D107" s="3" t="s">
        <v>6334</v>
      </c>
      <c r="E107" s="3">
        <v>106</v>
      </c>
      <c r="F107" s="3" t="s">
        <v>2544</v>
      </c>
      <c r="G107" s="3" t="s">
        <v>3842</v>
      </c>
      <c r="H107" s="3" t="str">
        <f t="shared" si="0"/>
        <v>Measured pressure value from Riser K PT3.</v>
      </c>
    </row>
    <row r="108" spans="1:8" x14ac:dyDescent="0.25">
      <c r="A108" s="3" t="s">
        <v>6983</v>
      </c>
      <c r="B108" s="3" t="s">
        <v>6989</v>
      </c>
      <c r="C108" s="3" t="s">
        <v>6985</v>
      </c>
      <c r="D108" s="3" t="s">
        <v>6334</v>
      </c>
      <c r="E108" s="3">
        <v>107</v>
      </c>
      <c r="F108" s="3" t="s">
        <v>2545</v>
      </c>
      <c r="G108" s="3" t="s">
        <v>3842</v>
      </c>
      <c r="H108" s="3" t="str">
        <f t="shared" si="0"/>
        <v>Measured pressure value from Riser K PT4.</v>
      </c>
    </row>
    <row r="109" spans="1:8" x14ac:dyDescent="0.25">
      <c r="A109" s="3" t="s">
        <v>6983</v>
      </c>
      <c r="B109" s="3" t="s">
        <v>6989</v>
      </c>
      <c r="C109" s="3" t="s">
        <v>6985</v>
      </c>
      <c r="D109" s="3" t="s">
        <v>6334</v>
      </c>
      <c r="E109" s="3">
        <v>108</v>
      </c>
      <c r="F109" s="3" t="s">
        <v>2546</v>
      </c>
      <c r="G109" s="3" t="s">
        <v>3842</v>
      </c>
      <c r="H109" s="3" t="str">
        <f t="shared" si="0"/>
        <v>Measured pressure value from Riser k PT5.</v>
      </c>
    </row>
    <row r="110" spans="1:8" x14ac:dyDescent="0.25">
      <c r="A110" s="3" t="s">
        <v>6983</v>
      </c>
      <c r="B110" s="3" t="s">
        <v>6989</v>
      </c>
      <c r="C110" s="3" t="s">
        <v>6985</v>
      </c>
      <c r="D110" s="3" t="s">
        <v>6334</v>
      </c>
      <c r="E110" s="3">
        <v>109</v>
      </c>
      <c r="F110" s="3" t="s">
        <v>2547</v>
      </c>
      <c r="G110" s="3" t="s">
        <v>3842</v>
      </c>
      <c r="H110" s="3" t="str">
        <f t="shared" si="0"/>
        <v>Measured pressure value from Riser K PT6.</v>
      </c>
    </row>
    <row r="111" spans="1:8" x14ac:dyDescent="0.25">
      <c r="A111" s="3" t="s">
        <v>6983</v>
      </c>
      <c r="B111" s="3" t="s">
        <v>6989</v>
      </c>
      <c r="C111" s="3" t="s">
        <v>6985</v>
      </c>
      <c r="D111" s="3" t="s">
        <v>6334</v>
      </c>
      <c r="E111" s="3">
        <v>110</v>
      </c>
      <c r="F111" s="3" t="s">
        <v>2548</v>
      </c>
      <c r="G111" s="3" t="s">
        <v>3842</v>
      </c>
      <c r="H111" s="3" t="str">
        <f t="shared" si="0"/>
        <v>Measured pressure value from Riser K PT7.</v>
      </c>
    </row>
    <row r="112" spans="1:8" x14ac:dyDescent="0.25">
      <c r="A112" s="3" t="s">
        <v>6983</v>
      </c>
      <c r="B112" s="3" t="s">
        <v>6989</v>
      </c>
      <c r="C112" s="3" t="s">
        <v>6985</v>
      </c>
      <c r="D112" s="3" t="s">
        <v>6334</v>
      </c>
      <c r="E112" s="3">
        <v>111</v>
      </c>
      <c r="F112" s="3" t="s">
        <v>2549</v>
      </c>
      <c r="G112" s="3" t="s">
        <v>3842</v>
      </c>
      <c r="H112" s="3" t="str">
        <f t="shared" si="0"/>
        <v>Measured pressure value from Riser K PT8.</v>
      </c>
    </row>
    <row r="113" spans="1:8" x14ac:dyDescent="0.25">
      <c r="A113" s="3" t="s">
        <v>6983</v>
      </c>
      <c r="B113" s="3" t="s">
        <v>6989</v>
      </c>
      <c r="C113" s="3" t="s">
        <v>6985</v>
      </c>
      <c r="D113" s="3" t="s">
        <v>6334</v>
      </c>
      <c r="E113" s="3">
        <v>112</v>
      </c>
      <c r="F113" s="3" t="s">
        <v>2550</v>
      </c>
      <c r="G113" s="3" t="s">
        <v>3842</v>
      </c>
      <c r="H113" s="3" t="str">
        <f t="shared" si="0"/>
        <v>Measured pressure value from Riser L PT1.</v>
      </c>
    </row>
    <row r="114" spans="1:8" x14ac:dyDescent="0.25">
      <c r="A114" s="3" t="s">
        <v>6983</v>
      </c>
      <c r="B114" s="3" t="s">
        <v>6989</v>
      </c>
      <c r="C114" s="3" t="s">
        <v>6985</v>
      </c>
      <c r="D114" s="3" t="s">
        <v>6334</v>
      </c>
      <c r="E114" s="3">
        <v>113</v>
      </c>
      <c r="F114" s="3" t="s">
        <v>2551</v>
      </c>
      <c r="G114" s="3" t="s">
        <v>3842</v>
      </c>
      <c r="H114" s="3" t="str">
        <f t="shared" si="0"/>
        <v>Measured pressure value from Riser L PT2.</v>
      </c>
    </row>
    <row r="115" spans="1:8" x14ac:dyDescent="0.25">
      <c r="A115" s="3" t="s">
        <v>6983</v>
      </c>
      <c r="B115" s="3" t="s">
        <v>6989</v>
      </c>
      <c r="C115" s="3" t="s">
        <v>6985</v>
      </c>
      <c r="D115" s="3" t="s">
        <v>6334</v>
      </c>
      <c r="E115" s="3">
        <v>114</v>
      </c>
      <c r="F115" s="3" t="s">
        <v>2552</v>
      </c>
      <c r="G115" s="3" t="s">
        <v>3842</v>
      </c>
      <c r="H115" s="3" t="str">
        <f t="shared" si="0"/>
        <v>Measured pressure value from Riser L PT3.</v>
      </c>
    </row>
    <row r="116" spans="1:8" x14ac:dyDescent="0.25">
      <c r="A116" s="3" t="s">
        <v>6983</v>
      </c>
      <c r="B116" s="3" t="s">
        <v>6989</v>
      </c>
      <c r="C116" s="3" t="s">
        <v>6985</v>
      </c>
      <c r="D116" s="3" t="s">
        <v>6334</v>
      </c>
      <c r="E116" s="3">
        <v>115</v>
      </c>
      <c r="F116" s="3" t="s">
        <v>2553</v>
      </c>
      <c r="G116" s="3" t="s">
        <v>3842</v>
      </c>
      <c r="H116" s="3" t="str">
        <f t="shared" si="0"/>
        <v>Measured pressure value from Riser L PT4.</v>
      </c>
    </row>
    <row r="117" spans="1:8" x14ac:dyDescent="0.25">
      <c r="A117" s="3" t="s">
        <v>6983</v>
      </c>
      <c r="B117" s="3" t="s">
        <v>6989</v>
      </c>
      <c r="C117" s="3" t="s">
        <v>6985</v>
      </c>
      <c r="D117" s="3" t="s">
        <v>6334</v>
      </c>
      <c r="E117" s="3">
        <v>116</v>
      </c>
      <c r="F117" s="3" t="s">
        <v>2554</v>
      </c>
      <c r="G117" s="3" t="s">
        <v>3842</v>
      </c>
      <c r="H117" s="3" t="str">
        <f t="shared" si="0"/>
        <v>Measured pressure value from Riser Q PT1.</v>
      </c>
    </row>
    <row r="118" spans="1:8" x14ac:dyDescent="0.25">
      <c r="A118" s="3" t="s">
        <v>6983</v>
      </c>
      <c r="B118" s="3" t="s">
        <v>6989</v>
      </c>
      <c r="C118" s="3" t="s">
        <v>6985</v>
      </c>
      <c r="D118" s="3" t="s">
        <v>6334</v>
      </c>
      <c r="E118" s="3">
        <v>117</v>
      </c>
      <c r="F118" s="3" t="s">
        <v>2555</v>
      </c>
      <c r="G118" s="3" t="s">
        <v>3842</v>
      </c>
      <c r="H118" s="3" t="str">
        <f t="shared" si="0"/>
        <v>Measured pressure value from Riser Q PT2.</v>
      </c>
    </row>
    <row r="119" spans="1:8" x14ac:dyDescent="0.25">
      <c r="A119" s="3" t="s">
        <v>6983</v>
      </c>
      <c r="B119" s="3" t="s">
        <v>6989</v>
      </c>
      <c r="C119" s="3" t="s">
        <v>6985</v>
      </c>
      <c r="D119" s="3" t="s">
        <v>6334</v>
      </c>
      <c r="E119" s="3">
        <v>118</v>
      </c>
      <c r="F119" s="3" t="s">
        <v>2556</v>
      </c>
      <c r="G119" s="3" t="s">
        <v>3842</v>
      </c>
      <c r="H119" s="3" t="str">
        <f t="shared" si="0"/>
        <v>Measured pressure value from Riser Q PT3.</v>
      </c>
    </row>
    <row r="120" spans="1:8" x14ac:dyDescent="0.25">
      <c r="A120" s="3" t="s">
        <v>6983</v>
      </c>
      <c r="B120" s="3" t="s">
        <v>6989</v>
      </c>
      <c r="C120" s="3" t="s">
        <v>6985</v>
      </c>
      <c r="D120" s="3" t="s">
        <v>6334</v>
      </c>
      <c r="E120" s="3">
        <v>119</v>
      </c>
      <c r="F120" s="3" t="s">
        <v>2557</v>
      </c>
      <c r="G120" s="3" t="s">
        <v>3842</v>
      </c>
      <c r="H120" s="3" t="str">
        <f t="shared" si="0"/>
        <v>Measured pressure value from Riser Q PT4.</v>
      </c>
    </row>
    <row r="121" spans="1:8" x14ac:dyDescent="0.25">
      <c r="A121" s="3" t="s">
        <v>6983</v>
      </c>
      <c r="B121" s="3" t="s">
        <v>6989</v>
      </c>
      <c r="C121" s="3" t="s">
        <v>6985</v>
      </c>
      <c r="D121" s="3" t="s">
        <v>6334</v>
      </c>
      <c r="E121" s="3">
        <v>120</v>
      </c>
      <c r="F121" s="3" t="s">
        <v>2558</v>
      </c>
      <c r="G121" s="3" t="s">
        <v>3842</v>
      </c>
      <c r="H121" s="3" t="str">
        <f t="shared" si="0"/>
        <v>Measured pressure value from Riser G PT1.</v>
      </c>
    </row>
    <row r="122" spans="1:8" x14ac:dyDescent="0.25">
      <c r="A122" s="3" t="s">
        <v>6983</v>
      </c>
      <c r="B122" s="3" t="s">
        <v>6989</v>
      </c>
      <c r="C122" s="3" t="s">
        <v>6985</v>
      </c>
      <c r="D122" s="3" t="s">
        <v>6334</v>
      </c>
      <c r="E122" s="3">
        <v>121</v>
      </c>
      <c r="F122" s="3" t="s">
        <v>2559</v>
      </c>
      <c r="G122" s="3" t="s">
        <v>3842</v>
      </c>
      <c r="H122" s="3" t="str">
        <f t="shared" ref="H122:H185" si="1">_xlfn.CONCAT("Measured pressure value from ",F122, ".")</f>
        <v>Measured pressure value from Riser G PT2.</v>
      </c>
    </row>
    <row r="123" spans="1:8" x14ac:dyDescent="0.25">
      <c r="A123" s="3" t="s">
        <v>6983</v>
      </c>
      <c r="B123" s="3" t="s">
        <v>6989</v>
      </c>
      <c r="C123" s="3" t="s">
        <v>6985</v>
      </c>
      <c r="D123" s="3" t="s">
        <v>6334</v>
      </c>
      <c r="E123" s="3">
        <v>122</v>
      </c>
      <c r="F123" s="3" t="s">
        <v>2560</v>
      </c>
      <c r="G123" s="3" t="s">
        <v>3842</v>
      </c>
      <c r="H123" s="3" t="str">
        <f t="shared" si="1"/>
        <v>Measured pressure value from Riser G PT3.</v>
      </c>
    </row>
    <row r="124" spans="1:8" x14ac:dyDescent="0.25">
      <c r="A124" s="3" t="s">
        <v>6983</v>
      </c>
      <c r="B124" s="3" t="s">
        <v>6989</v>
      </c>
      <c r="C124" s="3" t="s">
        <v>6985</v>
      </c>
      <c r="D124" s="3" t="s">
        <v>6334</v>
      </c>
      <c r="E124" s="3">
        <v>123</v>
      </c>
      <c r="F124" s="3" t="s">
        <v>2561</v>
      </c>
      <c r="G124" s="3" t="s">
        <v>3842</v>
      </c>
      <c r="H124" s="3" t="str">
        <f t="shared" si="1"/>
        <v>Measured pressure value from Riser G PT4.</v>
      </c>
    </row>
    <row r="125" spans="1:8" x14ac:dyDescent="0.25">
      <c r="A125" s="3" t="s">
        <v>6983</v>
      </c>
      <c r="B125" s="3" t="s">
        <v>6989</v>
      </c>
      <c r="C125" s="3" t="s">
        <v>6985</v>
      </c>
      <c r="D125" s="3" t="s">
        <v>6334</v>
      </c>
      <c r="E125" s="3">
        <v>124</v>
      </c>
      <c r="F125" s="3" t="s">
        <v>2562</v>
      </c>
      <c r="G125" s="3" t="s">
        <v>3842</v>
      </c>
      <c r="H125" s="3" t="str">
        <f t="shared" si="1"/>
        <v>Measured pressure value from Riser G PT5.</v>
      </c>
    </row>
    <row r="126" spans="1:8" x14ac:dyDescent="0.25">
      <c r="A126" s="3" t="s">
        <v>6983</v>
      </c>
      <c r="B126" s="3" t="s">
        <v>6989</v>
      </c>
      <c r="C126" s="3" t="s">
        <v>6985</v>
      </c>
      <c r="D126" s="3" t="s">
        <v>6334</v>
      </c>
      <c r="E126" s="3">
        <v>125</v>
      </c>
      <c r="F126" s="3" t="s">
        <v>2563</v>
      </c>
      <c r="G126" s="3" t="s">
        <v>3842</v>
      </c>
      <c r="H126" s="3" t="str">
        <f t="shared" si="1"/>
        <v>Measured pressure value from Riser G PT6.</v>
      </c>
    </row>
    <row r="127" spans="1:8" x14ac:dyDescent="0.25">
      <c r="A127" s="3" t="s">
        <v>6983</v>
      </c>
      <c r="B127" s="3" t="s">
        <v>6989</v>
      </c>
      <c r="C127" s="3" t="s">
        <v>6985</v>
      </c>
      <c r="D127" s="3" t="s">
        <v>6334</v>
      </c>
      <c r="E127" s="3">
        <v>126</v>
      </c>
      <c r="F127" s="3" t="s">
        <v>2564</v>
      </c>
      <c r="G127" s="3" t="s">
        <v>3842</v>
      </c>
      <c r="H127" s="3" t="str">
        <f t="shared" si="1"/>
        <v>Measured pressure value from Riser G PT7.</v>
      </c>
    </row>
    <row r="128" spans="1:8" x14ac:dyDescent="0.25">
      <c r="A128" s="3" t="s">
        <v>6983</v>
      </c>
      <c r="B128" s="3" t="s">
        <v>6989</v>
      </c>
      <c r="C128" s="3" t="s">
        <v>6985</v>
      </c>
      <c r="D128" s="3" t="s">
        <v>6334</v>
      </c>
      <c r="E128" s="3">
        <v>127</v>
      </c>
      <c r="F128" s="3" t="s">
        <v>2565</v>
      </c>
      <c r="G128" s="3" t="s">
        <v>3842</v>
      </c>
      <c r="H128" s="3" t="str">
        <f t="shared" si="1"/>
        <v>Measured pressure value from Riser G PT8.</v>
      </c>
    </row>
    <row r="129" spans="1:8" x14ac:dyDescent="0.25">
      <c r="A129" s="3" t="s">
        <v>6983</v>
      </c>
      <c r="B129" s="3" t="s">
        <v>6989</v>
      </c>
      <c r="C129" s="3" t="s">
        <v>6985</v>
      </c>
      <c r="D129" s="3" t="s">
        <v>6334</v>
      </c>
      <c r="E129" s="3">
        <v>128</v>
      </c>
      <c r="F129" s="3" t="s">
        <v>2566</v>
      </c>
      <c r="G129" s="3" t="s">
        <v>3842</v>
      </c>
      <c r="H129" s="3" t="str">
        <f t="shared" si="1"/>
        <v>Measured pressure value from Riser H PT1.</v>
      </c>
    </row>
    <row r="130" spans="1:8" x14ac:dyDescent="0.25">
      <c r="A130" s="3" t="s">
        <v>6983</v>
      </c>
      <c r="B130" s="3" t="s">
        <v>6989</v>
      </c>
      <c r="C130" s="3" t="s">
        <v>6985</v>
      </c>
      <c r="D130" s="3" t="s">
        <v>6334</v>
      </c>
      <c r="E130" s="3">
        <v>129</v>
      </c>
      <c r="F130" s="3" t="s">
        <v>2567</v>
      </c>
      <c r="G130" s="3" t="s">
        <v>3842</v>
      </c>
      <c r="H130" s="3" t="str">
        <f t="shared" si="1"/>
        <v>Measured pressure value from Riser H PT2.</v>
      </c>
    </row>
    <row r="131" spans="1:8" x14ac:dyDescent="0.25">
      <c r="A131" s="3" t="s">
        <v>6983</v>
      </c>
      <c r="B131" s="3" t="s">
        <v>6989</v>
      </c>
      <c r="C131" s="3" t="s">
        <v>6985</v>
      </c>
      <c r="D131" s="3" t="s">
        <v>6334</v>
      </c>
      <c r="E131" s="3">
        <v>130</v>
      </c>
      <c r="F131" s="3" t="s">
        <v>2568</v>
      </c>
      <c r="G131" s="3" t="s">
        <v>3842</v>
      </c>
      <c r="H131" s="3" t="str">
        <f t="shared" si="1"/>
        <v>Measured pressure value from Riser H PT3.</v>
      </c>
    </row>
    <row r="132" spans="1:8" x14ac:dyDescent="0.25">
      <c r="A132" s="3" t="s">
        <v>6983</v>
      </c>
      <c r="B132" s="3" t="s">
        <v>6989</v>
      </c>
      <c r="C132" s="3" t="s">
        <v>6985</v>
      </c>
      <c r="D132" s="3" t="s">
        <v>6334</v>
      </c>
      <c r="E132" s="3">
        <v>131</v>
      </c>
      <c r="F132" s="3" t="s">
        <v>2569</v>
      </c>
      <c r="G132" s="3" t="s">
        <v>3842</v>
      </c>
      <c r="H132" s="3" t="str">
        <f t="shared" si="1"/>
        <v>Measured pressure value from Riser H PT4.</v>
      </c>
    </row>
    <row r="133" spans="1:8" x14ac:dyDescent="0.25">
      <c r="A133" s="3" t="s">
        <v>6983</v>
      </c>
      <c r="B133" s="3" t="s">
        <v>6989</v>
      </c>
      <c r="C133" s="3" t="s">
        <v>6985</v>
      </c>
      <c r="D133" s="3" t="s">
        <v>6334</v>
      </c>
      <c r="E133" s="3">
        <v>132</v>
      </c>
      <c r="F133" s="3" t="s">
        <v>2570</v>
      </c>
      <c r="G133" s="3" t="s">
        <v>3842</v>
      </c>
      <c r="H133" s="3" t="str">
        <f t="shared" si="1"/>
        <v>Measured pressure value from Riser M PT1.</v>
      </c>
    </row>
    <row r="134" spans="1:8" x14ac:dyDescent="0.25">
      <c r="A134" s="3" t="s">
        <v>6983</v>
      </c>
      <c r="B134" s="3" t="s">
        <v>6989</v>
      </c>
      <c r="C134" s="3" t="s">
        <v>6985</v>
      </c>
      <c r="D134" s="3" t="s">
        <v>6334</v>
      </c>
      <c r="E134" s="3">
        <v>133</v>
      </c>
      <c r="F134" s="3" t="s">
        <v>2571</v>
      </c>
      <c r="G134" s="3" t="s">
        <v>3842</v>
      </c>
      <c r="H134" s="3" t="str">
        <f t="shared" si="1"/>
        <v>Measured pressure value from Riser M PT2.</v>
      </c>
    </row>
    <row r="135" spans="1:8" x14ac:dyDescent="0.25">
      <c r="A135" s="3" t="s">
        <v>6983</v>
      </c>
      <c r="B135" s="3" t="s">
        <v>6989</v>
      </c>
      <c r="C135" s="3" t="s">
        <v>6985</v>
      </c>
      <c r="D135" s="3" t="s">
        <v>6334</v>
      </c>
      <c r="E135" s="3">
        <v>134</v>
      </c>
      <c r="F135" s="3" t="s">
        <v>2572</v>
      </c>
      <c r="G135" s="3" t="s">
        <v>3842</v>
      </c>
      <c r="H135" s="3" t="str">
        <f t="shared" si="1"/>
        <v>Measured pressure value from Riser M PT3.</v>
      </c>
    </row>
    <row r="136" spans="1:8" x14ac:dyDescent="0.25">
      <c r="A136" s="3" t="s">
        <v>6983</v>
      </c>
      <c r="B136" s="3" t="s">
        <v>6989</v>
      </c>
      <c r="C136" s="3" t="s">
        <v>6985</v>
      </c>
      <c r="D136" s="3" t="s">
        <v>6334</v>
      </c>
      <c r="E136" s="3">
        <v>135</v>
      </c>
      <c r="F136" s="3" t="s">
        <v>2573</v>
      </c>
      <c r="G136" s="3" t="s">
        <v>3842</v>
      </c>
      <c r="H136" s="3" t="str">
        <f t="shared" si="1"/>
        <v>Measured pressure value from Riser M PT4.</v>
      </c>
    </row>
    <row r="137" spans="1:8" x14ac:dyDescent="0.25">
      <c r="A137" s="3" t="s">
        <v>6983</v>
      </c>
      <c r="B137" s="3" t="s">
        <v>6989</v>
      </c>
      <c r="C137" s="3" t="s">
        <v>6985</v>
      </c>
      <c r="D137" s="3" t="s">
        <v>6334</v>
      </c>
      <c r="E137" s="3">
        <v>136</v>
      </c>
      <c r="F137" s="3" t="s">
        <v>2574</v>
      </c>
      <c r="G137" s="3" t="s">
        <v>3842</v>
      </c>
      <c r="H137" s="3" t="str">
        <f t="shared" si="1"/>
        <v>Measured pressure value from Riser N PT1.</v>
      </c>
    </row>
    <row r="138" spans="1:8" x14ac:dyDescent="0.25">
      <c r="A138" s="3" t="s">
        <v>6983</v>
      </c>
      <c r="B138" s="3" t="s">
        <v>6989</v>
      </c>
      <c r="C138" s="3" t="s">
        <v>6985</v>
      </c>
      <c r="D138" s="3" t="s">
        <v>6334</v>
      </c>
      <c r="E138" s="3">
        <v>137</v>
      </c>
      <c r="F138" s="3" t="s">
        <v>2575</v>
      </c>
      <c r="G138" s="3" t="s">
        <v>3842</v>
      </c>
      <c r="H138" s="3" t="str">
        <f t="shared" si="1"/>
        <v>Measured pressure value from Riser N PT2.</v>
      </c>
    </row>
    <row r="139" spans="1:8" x14ac:dyDescent="0.25">
      <c r="A139" s="3" t="s">
        <v>6983</v>
      </c>
      <c r="B139" s="3" t="s">
        <v>6989</v>
      </c>
      <c r="C139" s="3" t="s">
        <v>6985</v>
      </c>
      <c r="D139" s="3" t="s">
        <v>6334</v>
      </c>
      <c r="E139" s="3">
        <v>138</v>
      </c>
      <c r="F139" s="3" t="s">
        <v>2576</v>
      </c>
      <c r="G139" s="3" t="s">
        <v>3842</v>
      </c>
      <c r="H139" s="3" t="str">
        <f t="shared" si="1"/>
        <v>Measured pressure value from Riser N PT3.</v>
      </c>
    </row>
    <row r="140" spans="1:8" x14ac:dyDescent="0.25">
      <c r="A140" s="3" t="s">
        <v>6983</v>
      </c>
      <c r="B140" s="3" t="s">
        <v>6989</v>
      </c>
      <c r="C140" s="3" t="s">
        <v>6985</v>
      </c>
      <c r="D140" s="3" t="s">
        <v>6334</v>
      </c>
      <c r="E140" s="3">
        <v>139</v>
      </c>
      <c r="F140" s="3" t="s">
        <v>2577</v>
      </c>
      <c r="G140" s="3" t="s">
        <v>3842</v>
      </c>
      <c r="H140" s="3" t="str">
        <f t="shared" si="1"/>
        <v>Measured pressure value from Riser N PT4.</v>
      </c>
    </row>
    <row r="141" spans="1:8" x14ac:dyDescent="0.25">
      <c r="A141" s="3" t="s">
        <v>6983</v>
      </c>
      <c r="B141" s="3" t="s">
        <v>6989</v>
      </c>
      <c r="C141" s="3" t="s">
        <v>6985</v>
      </c>
      <c r="D141" s="3" t="s">
        <v>6334</v>
      </c>
      <c r="E141" s="3">
        <v>140</v>
      </c>
      <c r="F141" s="3" t="s">
        <v>2578</v>
      </c>
      <c r="G141" s="3" t="s">
        <v>3842</v>
      </c>
      <c r="H141" s="3" t="str">
        <f t="shared" si="1"/>
        <v>Measured pressure value from Riser N PT5.</v>
      </c>
    </row>
    <row r="142" spans="1:8" x14ac:dyDescent="0.25">
      <c r="A142" s="3" t="s">
        <v>6983</v>
      </c>
      <c r="B142" s="3" t="s">
        <v>6989</v>
      </c>
      <c r="C142" s="3" t="s">
        <v>6985</v>
      </c>
      <c r="D142" s="3" t="s">
        <v>6334</v>
      </c>
      <c r="E142" s="3">
        <v>141</v>
      </c>
      <c r="F142" s="3" t="s">
        <v>2579</v>
      </c>
      <c r="G142" s="3" t="s">
        <v>3842</v>
      </c>
      <c r="H142" s="3" t="str">
        <f t="shared" si="1"/>
        <v>Measured pressure value from Riser N PT6.</v>
      </c>
    </row>
    <row r="143" spans="1:8" x14ac:dyDescent="0.25">
      <c r="A143" s="3" t="s">
        <v>6983</v>
      </c>
      <c r="B143" s="3" t="s">
        <v>6989</v>
      </c>
      <c r="C143" s="3" t="s">
        <v>6985</v>
      </c>
      <c r="D143" s="3" t="s">
        <v>6334</v>
      </c>
      <c r="E143" s="3">
        <v>142</v>
      </c>
      <c r="F143" s="3" t="s">
        <v>2580</v>
      </c>
      <c r="G143" s="3" t="s">
        <v>3842</v>
      </c>
      <c r="H143" s="3" t="str">
        <f t="shared" si="1"/>
        <v>Measured pressure value from Riser N PT7.</v>
      </c>
    </row>
    <row r="144" spans="1:8" x14ac:dyDescent="0.25">
      <c r="A144" s="3" t="s">
        <v>6983</v>
      </c>
      <c r="B144" s="3" t="s">
        <v>6989</v>
      </c>
      <c r="C144" s="3" t="s">
        <v>6985</v>
      </c>
      <c r="D144" s="3" t="s">
        <v>6334</v>
      </c>
      <c r="E144" s="3">
        <v>143</v>
      </c>
      <c r="F144" s="3" t="s">
        <v>2581</v>
      </c>
      <c r="G144" s="3" t="s">
        <v>3842</v>
      </c>
      <c r="H144" s="3" t="str">
        <f t="shared" si="1"/>
        <v>Measured pressure value from Riser N PT8.</v>
      </c>
    </row>
    <row r="145" spans="1:8" x14ac:dyDescent="0.25">
      <c r="A145" s="3" t="s">
        <v>6983</v>
      </c>
      <c r="B145" s="3" t="s">
        <v>6989</v>
      </c>
      <c r="C145" s="3" t="s">
        <v>6985</v>
      </c>
      <c r="D145" s="3" t="s">
        <v>6334</v>
      </c>
      <c r="E145" s="3">
        <v>144</v>
      </c>
      <c r="F145" s="3" t="s">
        <v>2582</v>
      </c>
      <c r="G145" s="3" t="s">
        <v>3842</v>
      </c>
      <c r="H145" s="3" t="str">
        <f t="shared" si="1"/>
        <v>Measured pressure value from Riser O PT1.</v>
      </c>
    </row>
    <row r="146" spans="1:8" x14ac:dyDescent="0.25">
      <c r="A146" s="3" t="s">
        <v>6983</v>
      </c>
      <c r="B146" s="3" t="s">
        <v>6989</v>
      </c>
      <c r="C146" s="3" t="s">
        <v>6985</v>
      </c>
      <c r="D146" s="3" t="s">
        <v>6334</v>
      </c>
      <c r="E146" s="3">
        <v>145</v>
      </c>
      <c r="F146" s="3" t="s">
        <v>2583</v>
      </c>
      <c r="G146" s="3" t="s">
        <v>3842</v>
      </c>
      <c r="H146" s="3" t="str">
        <f t="shared" si="1"/>
        <v>Measured pressure value from Riser O PT2.</v>
      </c>
    </row>
    <row r="147" spans="1:8" x14ac:dyDescent="0.25">
      <c r="A147" s="3" t="s">
        <v>6983</v>
      </c>
      <c r="B147" s="3" t="s">
        <v>6989</v>
      </c>
      <c r="C147" s="3" t="s">
        <v>6985</v>
      </c>
      <c r="D147" s="3" t="s">
        <v>6334</v>
      </c>
      <c r="E147" s="3">
        <v>146</v>
      </c>
      <c r="F147" s="3" t="s">
        <v>2584</v>
      </c>
      <c r="G147" s="3" t="s">
        <v>3842</v>
      </c>
      <c r="H147" s="3" t="str">
        <f t="shared" si="1"/>
        <v>Measured pressure value from Riser O PT3.</v>
      </c>
    </row>
    <row r="148" spans="1:8" x14ac:dyDescent="0.25">
      <c r="A148" s="3" t="s">
        <v>6983</v>
      </c>
      <c r="B148" s="3" t="s">
        <v>6989</v>
      </c>
      <c r="C148" s="3" t="s">
        <v>6985</v>
      </c>
      <c r="D148" s="3" t="s">
        <v>6334</v>
      </c>
      <c r="E148" s="3">
        <v>147</v>
      </c>
      <c r="F148" s="3" t="s">
        <v>2585</v>
      </c>
      <c r="G148" s="3" t="s">
        <v>3842</v>
      </c>
      <c r="H148" s="3" t="str">
        <f t="shared" si="1"/>
        <v>Measured pressure value from Riser O PT4.</v>
      </c>
    </row>
    <row r="149" spans="1:8" x14ac:dyDescent="0.25">
      <c r="A149" s="3" t="s">
        <v>6983</v>
      </c>
      <c r="B149" s="3" t="s">
        <v>6989</v>
      </c>
      <c r="C149" s="3" t="s">
        <v>6985</v>
      </c>
      <c r="D149" s="3" t="s">
        <v>6334</v>
      </c>
      <c r="E149" s="3">
        <v>148</v>
      </c>
      <c r="F149" s="3" t="s">
        <v>2586</v>
      </c>
      <c r="G149" s="3" t="s">
        <v>3842</v>
      </c>
      <c r="H149" s="3" t="str">
        <f t="shared" si="1"/>
        <v>Measured pressure value from Riser O PT5.</v>
      </c>
    </row>
    <row r="150" spans="1:8" x14ac:dyDescent="0.25">
      <c r="A150" s="3" t="s">
        <v>6983</v>
      </c>
      <c r="B150" s="3" t="s">
        <v>6989</v>
      </c>
      <c r="C150" s="3" t="s">
        <v>6985</v>
      </c>
      <c r="D150" s="3" t="s">
        <v>6334</v>
      </c>
      <c r="E150" s="3">
        <v>149</v>
      </c>
      <c r="F150" s="3" t="s">
        <v>2587</v>
      </c>
      <c r="G150" s="3" t="s">
        <v>3842</v>
      </c>
      <c r="H150" s="3" t="str">
        <f t="shared" si="1"/>
        <v>Measured pressure value from Riser O PT6.</v>
      </c>
    </row>
    <row r="151" spans="1:8" x14ac:dyDescent="0.25">
      <c r="A151" s="3" t="s">
        <v>6983</v>
      </c>
      <c r="B151" s="3" t="s">
        <v>6989</v>
      </c>
      <c r="C151" s="3" t="s">
        <v>6985</v>
      </c>
      <c r="D151" s="3" t="s">
        <v>6334</v>
      </c>
      <c r="E151" s="3">
        <v>150</v>
      </c>
      <c r="F151" s="3" t="s">
        <v>2588</v>
      </c>
      <c r="G151" s="3" t="s">
        <v>3842</v>
      </c>
      <c r="H151" s="3" t="str">
        <f t="shared" si="1"/>
        <v>Measured pressure value from Riser O PT7.</v>
      </c>
    </row>
    <row r="152" spans="1:8" x14ac:dyDescent="0.25">
      <c r="A152" s="3" t="s">
        <v>6983</v>
      </c>
      <c r="B152" s="3" t="s">
        <v>6989</v>
      </c>
      <c r="C152" s="3" t="s">
        <v>6985</v>
      </c>
      <c r="D152" s="3" t="s">
        <v>6334</v>
      </c>
      <c r="E152" s="3">
        <v>151</v>
      </c>
      <c r="F152" s="3" t="s">
        <v>2589</v>
      </c>
      <c r="G152" s="3" t="s">
        <v>3842</v>
      </c>
      <c r="H152" s="3" t="str">
        <f t="shared" si="1"/>
        <v>Measured pressure value from Riser O PT8.</v>
      </c>
    </row>
    <row r="153" spans="1:8" x14ac:dyDescent="0.25">
      <c r="A153" s="3" t="s">
        <v>6983</v>
      </c>
      <c r="B153" s="3" t="s">
        <v>6989</v>
      </c>
      <c r="C153" s="3" t="s">
        <v>6985</v>
      </c>
      <c r="D153" s="3" t="s">
        <v>6334</v>
      </c>
      <c r="E153" s="3">
        <v>152</v>
      </c>
      <c r="F153" s="3" t="s">
        <v>2590</v>
      </c>
      <c r="G153" s="3" t="s">
        <v>3842</v>
      </c>
      <c r="H153" s="3" t="str">
        <f t="shared" si="1"/>
        <v>Measured pressure value from Riser P PT1.</v>
      </c>
    </row>
    <row r="154" spans="1:8" x14ac:dyDescent="0.25">
      <c r="A154" s="3" t="s">
        <v>6983</v>
      </c>
      <c r="B154" s="3" t="s">
        <v>6989</v>
      </c>
      <c r="C154" s="3" t="s">
        <v>6985</v>
      </c>
      <c r="D154" s="3" t="s">
        <v>6334</v>
      </c>
      <c r="E154" s="3">
        <v>153</v>
      </c>
      <c r="F154" s="3" t="s">
        <v>2591</v>
      </c>
      <c r="G154" s="3" t="s">
        <v>3842</v>
      </c>
      <c r="H154" s="3" t="str">
        <f t="shared" si="1"/>
        <v>Measured pressure value from Riser P PT2.</v>
      </c>
    </row>
    <row r="155" spans="1:8" x14ac:dyDescent="0.25">
      <c r="A155" s="3" t="s">
        <v>6983</v>
      </c>
      <c r="B155" s="3" t="s">
        <v>6989</v>
      </c>
      <c r="C155" s="3" t="s">
        <v>6985</v>
      </c>
      <c r="D155" s="3" t="s">
        <v>6334</v>
      </c>
      <c r="E155" s="3">
        <v>154</v>
      </c>
      <c r="F155" s="3" t="s">
        <v>2592</v>
      </c>
      <c r="G155" s="3" t="s">
        <v>3842</v>
      </c>
      <c r="H155" s="3" t="str">
        <f t="shared" si="1"/>
        <v>Measured pressure value from Riser P PT3.</v>
      </c>
    </row>
    <row r="156" spans="1:8" x14ac:dyDescent="0.25">
      <c r="A156" s="3" t="s">
        <v>6983</v>
      </c>
      <c r="B156" s="3" t="s">
        <v>6989</v>
      </c>
      <c r="C156" s="3" t="s">
        <v>6985</v>
      </c>
      <c r="D156" s="3" t="s">
        <v>6334</v>
      </c>
      <c r="E156" s="3">
        <v>155</v>
      </c>
      <c r="F156" s="3" t="s">
        <v>2593</v>
      </c>
      <c r="G156" s="3" t="s">
        <v>3842</v>
      </c>
      <c r="H156" s="3" t="str">
        <f t="shared" si="1"/>
        <v>Measured pressure value from Riser P PT4.</v>
      </c>
    </row>
    <row r="157" spans="1:8" x14ac:dyDescent="0.25">
      <c r="A157" s="3" t="s">
        <v>6983</v>
      </c>
      <c r="B157" s="3" t="s">
        <v>6989</v>
      </c>
      <c r="C157" s="3" t="s">
        <v>6985</v>
      </c>
      <c r="D157" s="3" t="s">
        <v>6334</v>
      </c>
      <c r="E157" s="3">
        <v>156</v>
      </c>
      <c r="F157" s="3" t="s">
        <v>2594</v>
      </c>
      <c r="G157" s="3" t="s">
        <v>3842</v>
      </c>
      <c r="H157" s="3" t="str">
        <f t="shared" si="1"/>
        <v>Measured pressure value from Riser R PT1.</v>
      </c>
    </row>
    <row r="158" spans="1:8" x14ac:dyDescent="0.25">
      <c r="A158" s="3" t="s">
        <v>6983</v>
      </c>
      <c r="B158" s="3" t="s">
        <v>6989</v>
      </c>
      <c r="C158" s="3" t="s">
        <v>6985</v>
      </c>
      <c r="D158" s="3" t="s">
        <v>6334</v>
      </c>
      <c r="E158" s="3">
        <v>157</v>
      </c>
      <c r="F158" s="3" t="s">
        <v>2595</v>
      </c>
      <c r="G158" s="3" t="s">
        <v>3842</v>
      </c>
      <c r="H158" s="3" t="str">
        <f t="shared" si="1"/>
        <v>Measured pressure value from Riser R PT2.</v>
      </c>
    </row>
    <row r="159" spans="1:8" x14ac:dyDescent="0.25">
      <c r="A159" s="3" t="s">
        <v>6983</v>
      </c>
      <c r="B159" s="3" t="s">
        <v>6989</v>
      </c>
      <c r="C159" s="3" t="s">
        <v>6985</v>
      </c>
      <c r="D159" s="3" t="s">
        <v>6334</v>
      </c>
      <c r="E159" s="3">
        <v>158</v>
      </c>
      <c r="F159" s="3" t="s">
        <v>2596</v>
      </c>
      <c r="G159" s="3" t="s">
        <v>3842</v>
      </c>
      <c r="H159" s="3" t="str">
        <f t="shared" si="1"/>
        <v>Measured pressure value from Riser R PT3.</v>
      </c>
    </row>
    <row r="160" spans="1:8" x14ac:dyDescent="0.25">
      <c r="A160" s="3" t="s">
        <v>6983</v>
      </c>
      <c r="B160" s="3" t="s">
        <v>6989</v>
      </c>
      <c r="C160" s="3" t="s">
        <v>6985</v>
      </c>
      <c r="D160" s="3" t="s">
        <v>6334</v>
      </c>
      <c r="E160" s="3">
        <v>159</v>
      </c>
      <c r="F160" s="3" t="s">
        <v>2597</v>
      </c>
      <c r="G160" s="3" t="s">
        <v>3842</v>
      </c>
      <c r="H160" s="3" t="str">
        <f t="shared" si="1"/>
        <v>Measured pressure value from Riser R PT4.</v>
      </c>
    </row>
    <row r="161" spans="1:8" x14ac:dyDescent="0.25">
      <c r="A161" s="3" t="s">
        <v>6983</v>
      </c>
      <c r="B161" s="3" t="s">
        <v>6989</v>
      </c>
      <c r="C161" s="3" t="s">
        <v>6985</v>
      </c>
      <c r="D161" s="3" t="s">
        <v>6334</v>
      </c>
      <c r="E161" s="3">
        <v>160</v>
      </c>
      <c r="F161" s="3" t="s">
        <v>2598</v>
      </c>
      <c r="G161" s="3" t="s">
        <v>3842</v>
      </c>
      <c r="H161" s="3" t="str">
        <f t="shared" si="1"/>
        <v>Measured pressure value from Riser S PT1.</v>
      </c>
    </row>
    <row r="162" spans="1:8" x14ac:dyDescent="0.25">
      <c r="A162" s="3" t="s">
        <v>6983</v>
      </c>
      <c r="B162" s="3" t="s">
        <v>6989</v>
      </c>
      <c r="C162" s="3" t="s">
        <v>6985</v>
      </c>
      <c r="D162" s="3" t="s">
        <v>6334</v>
      </c>
      <c r="E162" s="3">
        <v>161</v>
      </c>
      <c r="F162" s="3" t="s">
        <v>2599</v>
      </c>
      <c r="G162" s="3" t="s">
        <v>3842</v>
      </c>
      <c r="H162" s="3" t="str">
        <f t="shared" si="1"/>
        <v>Measured pressure value from Riser S PT2.</v>
      </c>
    </row>
    <row r="163" spans="1:8" x14ac:dyDescent="0.25">
      <c r="A163" s="3" t="s">
        <v>6983</v>
      </c>
      <c r="B163" s="3" t="s">
        <v>6989</v>
      </c>
      <c r="C163" s="3" t="s">
        <v>6985</v>
      </c>
      <c r="D163" s="3" t="s">
        <v>6334</v>
      </c>
      <c r="E163" s="3">
        <v>162</v>
      </c>
      <c r="F163" s="3" t="s">
        <v>2600</v>
      </c>
      <c r="G163" s="3" t="s">
        <v>3842</v>
      </c>
      <c r="H163" s="3" t="str">
        <f t="shared" si="1"/>
        <v>Measured pressure value from Riser S PT3.</v>
      </c>
    </row>
    <row r="164" spans="1:8" x14ac:dyDescent="0.25">
      <c r="A164" s="3" t="s">
        <v>6983</v>
      </c>
      <c r="B164" s="3" t="s">
        <v>6989</v>
      </c>
      <c r="C164" s="3" t="s">
        <v>6985</v>
      </c>
      <c r="D164" s="3" t="s">
        <v>6334</v>
      </c>
      <c r="E164" s="3">
        <v>163</v>
      </c>
      <c r="F164" s="3" t="s">
        <v>2601</v>
      </c>
      <c r="G164" s="3" t="s">
        <v>3842</v>
      </c>
      <c r="H164" s="3" t="str">
        <f t="shared" si="1"/>
        <v>Measured pressure value from Riser S PT4.</v>
      </c>
    </row>
    <row r="165" spans="1:8" x14ac:dyDescent="0.25">
      <c r="A165" s="3" t="s">
        <v>6983</v>
      </c>
      <c r="B165" s="3" t="s">
        <v>6989</v>
      </c>
      <c r="C165" s="3" t="s">
        <v>6985</v>
      </c>
      <c r="D165" s="3" t="s">
        <v>6334</v>
      </c>
      <c r="E165" s="3">
        <v>164</v>
      </c>
      <c r="F165" s="3" t="s">
        <v>2602</v>
      </c>
      <c r="G165" s="3" t="s">
        <v>3842</v>
      </c>
      <c r="H165" s="3" t="str">
        <f t="shared" si="1"/>
        <v>Measured pressure value from Riser S PT5.</v>
      </c>
    </row>
    <row r="166" spans="1:8" x14ac:dyDescent="0.25">
      <c r="A166" s="3" t="s">
        <v>6983</v>
      </c>
      <c r="B166" s="3" t="s">
        <v>6989</v>
      </c>
      <c r="C166" s="3" t="s">
        <v>6985</v>
      </c>
      <c r="D166" s="3" t="s">
        <v>6334</v>
      </c>
      <c r="E166" s="3">
        <v>165</v>
      </c>
      <c r="F166" s="3" t="s">
        <v>2603</v>
      </c>
      <c r="G166" s="3" t="s">
        <v>3842</v>
      </c>
      <c r="H166" s="3" t="str">
        <f t="shared" si="1"/>
        <v>Measured pressure value from Riser S PT6.</v>
      </c>
    </row>
    <row r="167" spans="1:8" x14ac:dyDescent="0.25">
      <c r="A167" s="3" t="s">
        <v>6983</v>
      </c>
      <c r="B167" s="3" t="s">
        <v>6989</v>
      </c>
      <c r="C167" s="3" t="s">
        <v>6985</v>
      </c>
      <c r="D167" s="3" t="s">
        <v>6334</v>
      </c>
      <c r="E167" s="3">
        <v>166</v>
      </c>
      <c r="F167" s="3" t="s">
        <v>2604</v>
      </c>
      <c r="G167" s="3" t="s">
        <v>3842</v>
      </c>
      <c r="H167" s="3" t="str">
        <f t="shared" si="1"/>
        <v>Measured pressure value from Riser S PT7.</v>
      </c>
    </row>
    <row r="168" spans="1:8" x14ac:dyDescent="0.25">
      <c r="A168" s="3" t="s">
        <v>6983</v>
      </c>
      <c r="B168" s="3" t="s">
        <v>6989</v>
      </c>
      <c r="C168" s="3" t="s">
        <v>6985</v>
      </c>
      <c r="D168" s="3" t="s">
        <v>6334</v>
      </c>
      <c r="E168" s="3">
        <v>167</v>
      </c>
      <c r="F168" s="3" t="s">
        <v>2605</v>
      </c>
      <c r="G168" s="3" t="s">
        <v>3842</v>
      </c>
      <c r="H168" s="3" t="str">
        <f t="shared" si="1"/>
        <v>Measured pressure value from Riser S PT8.</v>
      </c>
    </row>
    <row r="169" spans="1:8" x14ac:dyDescent="0.25">
      <c r="A169" s="3" t="s">
        <v>6983</v>
      </c>
      <c r="B169" s="3" t="s">
        <v>6989</v>
      </c>
      <c r="C169" s="3" t="s">
        <v>6985</v>
      </c>
      <c r="D169" s="3" t="s">
        <v>6334</v>
      </c>
      <c r="E169" s="3">
        <v>168</v>
      </c>
      <c r="F169" s="3" t="s">
        <v>2606</v>
      </c>
      <c r="G169" s="3" t="s">
        <v>3842</v>
      </c>
      <c r="H169" s="3" t="str">
        <f t="shared" si="1"/>
        <v>Measured pressure value from Riser T PT1.</v>
      </c>
    </row>
    <row r="170" spans="1:8" x14ac:dyDescent="0.25">
      <c r="A170" s="3" t="s">
        <v>6983</v>
      </c>
      <c r="B170" s="3" t="s">
        <v>6989</v>
      </c>
      <c r="C170" s="3" t="s">
        <v>6985</v>
      </c>
      <c r="D170" s="3" t="s">
        <v>6334</v>
      </c>
      <c r="E170" s="3">
        <v>169</v>
      </c>
      <c r="F170" s="3" t="s">
        <v>2607</v>
      </c>
      <c r="G170" s="3" t="s">
        <v>3842</v>
      </c>
      <c r="H170" s="3" t="str">
        <f t="shared" si="1"/>
        <v>Measured pressure value from Riser T PT2.</v>
      </c>
    </row>
    <row r="171" spans="1:8" x14ac:dyDescent="0.25">
      <c r="A171" s="3" t="s">
        <v>6983</v>
      </c>
      <c r="B171" s="3" t="s">
        <v>6989</v>
      </c>
      <c r="C171" s="3" t="s">
        <v>6985</v>
      </c>
      <c r="D171" s="3" t="s">
        <v>6334</v>
      </c>
      <c r="E171" s="3">
        <v>170</v>
      </c>
      <c r="F171" s="3" t="s">
        <v>2608</v>
      </c>
      <c r="G171" s="3" t="s">
        <v>3842</v>
      </c>
      <c r="H171" s="3" t="str">
        <f t="shared" si="1"/>
        <v>Measured pressure value from Riser T PT3.</v>
      </c>
    </row>
    <row r="172" spans="1:8" x14ac:dyDescent="0.25">
      <c r="A172" s="3" t="s">
        <v>6983</v>
      </c>
      <c r="B172" s="3" t="s">
        <v>6989</v>
      </c>
      <c r="C172" s="3" t="s">
        <v>6985</v>
      </c>
      <c r="D172" s="3" t="s">
        <v>6334</v>
      </c>
      <c r="E172" s="3">
        <v>171</v>
      </c>
      <c r="F172" s="3" t="s">
        <v>2609</v>
      </c>
      <c r="G172" s="3" t="s">
        <v>3842</v>
      </c>
      <c r="H172" s="3" t="str">
        <f t="shared" si="1"/>
        <v>Measured pressure value from Riser T PT4.</v>
      </c>
    </row>
    <row r="173" spans="1:8" x14ac:dyDescent="0.25">
      <c r="A173" s="3" t="s">
        <v>6983</v>
      </c>
      <c r="B173" s="3" t="s">
        <v>6989</v>
      </c>
      <c r="C173" s="3" t="s">
        <v>6985</v>
      </c>
      <c r="D173" s="3" t="s">
        <v>6334</v>
      </c>
      <c r="E173" s="3">
        <v>172</v>
      </c>
      <c r="F173" s="3" t="s">
        <v>2610</v>
      </c>
      <c r="G173" s="3" t="s">
        <v>3842</v>
      </c>
      <c r="H173" s="3" t="str">
        <f t="shared" si="1"/>
        <v>Measured pressure value from Riser T PT5.</v>
      </c>
    </row>
    <row r="174" spans="1:8" x14ac:dyDescent="0.25">
      <c r="A174" s="3" t="s">
        <v>6983</v>
      </c>
      <c r="B174" s="3" t="s">
        <v>6989</v>
      </c>
      <c r="C174" s="3" t="s">
        <v>6985</v>
      </c>
      <c r="D174" s="3" t="s">
        <v>6334</v>
      </c>
      <c r="E174" s="3">
        <v>173</v>
      </c>
      <c r="F174" s="3" t="s">
        <v>2611</v>
      </c>
      <c r="G174" s="3" t="s">
        <v>3842</v>
      </c>
      <c r="H174" s="3" t="str">
        <f t="shared" si="1"/>
        <v>Measured pressure value from Riser T PT6.</v>
      </c>
    </row>
    <row r="175" spans="1:8" x14ac:dyDescent="0.25">
      <c r="A175" s="3" t="s">
        <v>6983</v>
      </c>
      <c r="B175" s="3" t="s">
        <v>6989</v>
      </c>
      <c r="C175" s="3" t="s">
        <v>6985</v>
      </c>
      <c r="D175" s="3" t="s">
        <v>6334</v>
      </c>
      <c r="E175" s="3">
        <v>174</v>
      </c>
      <c r="F175" s="3" t="s">
        <v>2612</v>
      </c>
      <c r="G175" s="3" t="s">
        <v>3842</v>
      </c>
      <c r="H175" s="3" t="str">
        <f t="shared" si="1"/>
        <v>Measured pressure value from Riser T PT7.</v>
      </c>
    </row>
    <row r="176" spans="1:8" x14ac:dyDescent="0.25">
      <c r="A176" s="3" t="s">
        <v>6983</v>
      </c>
      <c r="B176" s="3" t="s">
        <v>6989</v>
      </c>
      <c r="C176" s="3" t="s">
        <v>6985</v>
      </c>
      <c r="D176" s="3" t="s">
        <v>6334</v>
      </c>
      <c r="E176" s="3">
        <v>175</v>
      </c>
      <c r="F176" s="3" t="s">
        <v>2613</v>
      </c>
      <c r="G176" s="3" t="s">
        <v>3842</v>
      </c>
      <c r="H176" s="3" t="str">
        <f t="shared" si="1"/>
        <v>Measured pressure value from Riser T PT8.</v>
      </c>
    </row>
    <row r="177" spans="1:8" x14ac:dyDescent="0.25">
      <c r="A177" s="3" t="s">
        <v>6983</v>
      </c>
      <c r="B177" s="3" t="s">
        <v>6989</v>
      </c>
      <c r="C177" s="3" t="s">
        <v>6985</v>
      </c>
      <c r="D177" s="3" t="s">
        <v>6334</v>
      </c>
      <c r="E177" s="3">
        <v>176</v>
      </c>
      <c r="F177" s="3" t="s">
        <v>2614</v>
      </c>
      <c r="G177" s="3" t="s">
        <v>3842</v>
      </c>
      <c r="H177" s="3" t="str">
        <f t="shared" si="1"/>
        <v>Measured pressure value from Riser U PT1.</v>
      </c>
    </row>
    <row r="178" spans="1:8" x14ac:dyDescent="0.25">
      <c r="A178" s="3" t="s">
        <v>6983</v>
      </c>
      <c r="B178" s="3" t="s">
        <v>6989</v>
      </c>
      <c r="C178" s="3" t="s">
        <v>6985</v>
      </c>
      <c r="D178" s="3" t="s">
        <v>6334</v>
      </c>
      <c r="E178" s="3">
        <v>177</v>
      </c>
      <c r="F178" s="3" t="s">
        <v>2615</v>
      </c>
      <c r="G178" s="3" t="s">
        <v>3842</v>
      </c>
      <c r="H178" s="3" t="str">
        <f t="shared" si="1"/>
        <v>Measured pressure value from Riser U PT2.</v>
      </c>
    </row>
    <row r="179" spans="1:8" x14ac:dyDescent="0.25">
      <c r="A179" s="3" t="s">
        <v>6983</v>
      </c>
      <c r="B179" s="3" t="s">
        <v>6989</v>
      </c>
      <c r="C179" s="3" t="s">
        <v>6985</v>
      </c>
      <c r="D179" s="3" t="s">
        <v>6334</v>
      </c>
      <c r="E179" s="3">
        <v>178</v>
      </c>
      <c r="F179" s="3" t="s">
        <v>2616</v>
      </c>
      <c r="G179" s="3" t="s">
        <v>3842</v>
      </c>
      <c r="H179" s="3" t="str">
        <f t="shared" si="1"/>
        <v>Measured pressure value from Riser U PT3.</v>
      </c>
    </row>
    <row r="180" spans="1:8" x14ac:dyDescent="0.25">
      <c r="A180" s="3" t="s">
        <v>6983</v>
      </c>
      <c r="B180" s="3" t="s">
        <v>6989</v>
      </c>
      <c r="C180" s="3" t="s">
        <v>6985</v>
      </c>
      <c r="D180" s="3" t="s">
        <v>6334</v>
      </c>
      <c r="E180" s="3">
        <v>179</v>
      </c>
      <c r="F180" s="3" t="s">
        <v>2617</v>
      </c>
      <c r="G180" s="3" t="s">
        <v>3842</v>
      </c>
      <c r="H180" s="3" t="str">
        <f t="shared" si="1"/>
        <v>Measured pressure value from Riser U PT4.</v>
      </c>
    </row>
    <row r="181" spans="1:8" x14ac:dyDescent="0.25">
      <c r="A181" s="3" t="s">
        <v>6983</v>
      </c>
      <c r="B181" s="3" t="s">
        <v>6989</v>
      </c>
      <c r="C181" s="3" t="s">
        <v>6985</v>
      </c>
      <c r="D181" s="3" t="s">
        <v>6334</v>
      </c>
      <c r="E181" s="3">
        <v>180</v>
      </c>
      <c r="F181" s="3" t="s">
        <v>2618</v>
      </c>
      <c r="G181" s="3" t="s">
        <v>3842</v>
      </c>
      <c r="H181" s="3" t="str">
        <f t="shared" si="1"/>
        <v>Measured pressure value from Riser V PT1.</v>
      </c>
    </row>
    <row r="182" spans="1:8" x14ac:dyDescent="0.25">
      <c r="A182" s="3" t="s">
        <v>6983</v>
      </c>
      <c r="B182" s="3" t="s">
        <v>6989</v>
      </c>
      <c r="C182" s="3" t="s">
        <v>6985</v>
      </c>
      <c r="D182" s="3" t="s">
        <v>6334</v>
      </c>
      <c r="E182" s="3">
        <v>181</v>
      </c>
      <c r="F182" s="3" t="s">
        <v>2619</v>
      </c>
      <c r="G182" s="3" t="s">
        <v>3842</v>
      </c>
      <c r="H182" s="3" t="str">
        <f t="shared" si="1"/>
        <v>Measured pressure value from Riser V PT2.</v>
      </c>
    </row>
    <row r="183" spans="1:8" x14ac:dyDescent="0.25">
      <c r="A183" s="3" t="s">
        <v>6983</v>
      </c>
      <c r="B183" s="3" t="s">
        <v>6989</v>
      </c>
      <c r="C183" s="3" t="s">
        <v>6985</v>
      </c>
      <c r="D183" s="3" t="s">
        <v>6334</v>
      </c>
      <c r="E183" s="3">
        <v>182</v>
      </c>
      <c r="F183" s="3" t="s">
        <v>2620</v>
      </c>
      <c r="G183" s="3" t="s">
        <v>3842</v>
      </c>
      <c r="H183" s="3" t="str">
        <f t="shared" si="1"/>
        <v>Measured pressure value from Riser V PT3.</v>
      </c>
    </row>
    <row r="184" spans="1:8" x14ac:dyDescent="0.25">
      <c r="A184" s="3" t="s">
        <v>6983</v>
      </c>
      <c r="B184" s="3" t="s">
        <v>6989</v>
      </c>
      <c r="C184" s="3" t="s">
        <v>6985</v>
      </c>
      <c r="D184" s="3" t="s">
        <v>6334</v>
      </c>
      <c r="E184" s="3">
        <v>183</v>
      </c>
      <c r="F184" s="3" t="s">
        <v>2621</v>
      </c>
      <c r="G184" s="3" t="s">
        <v>3842</v>
      </c>
      <c r="H184" s="3" t="str">
        <f t="shared" si="1"/>
        <v>Measured pressure value from Riser V PT4.</v>
      </c>
    </row>
    <row r="185" spans="1:8" x14ac:dyDescent="0.25">
      <c r="A185" s="3" t="s">
        <v>6983</v>
      </c>
      <c r="B185" s="3" t="s">
        <v>6989</v>
      </c>
      <c r="C185" s="3" t="s">
        <v>6985</v>
      </c>
      <c r="D185" s="3" t="s">
        <v>6334</v>
      </c>
      <c r="E185" s="3">
        <v>184</v>
      </c>
      <c r="F185" s="3" t="s">
        <v>2622</v>
      </c>
      <c r="G185" s="3" t="s">
        <v>3842</v>
      </c>
      <c r="H185" s="3" t="str">
        <f t="shared" si="1"/>
        <v>Measured pressure value from Riser W PT1.</v>
      </c>
    </row>
    <row r="186" spans="1:8" x14ac:dyDescent="0.25">
      <c r="A186" s="3" t="s">
        <v>6983</v>
      </c>
      <c r="B186" s="3" t="s">
        <v>6989</v>
      </c>
      <c r="C186" s="3" t="s">
        <v>6985</v>
      </c>
      <c r="D186" s="3" t="s">
        <v>6334</v>
      </c>
      <c r="E186" s="3">
        <v>185</v>
      </c>
      <c r="F186" s="3" t="s">
        <v>2623</v>
      </c>
      <c r="G186" s="3" t="s">
        <v>3842</v>
      </c>
      <c r="H186" s="3" t="str">
        <f t="shared" ref="H186:H192" si="2">_xlfn.CONCAT("Measured pressure value from ",F186, ".")</f>
        <v>Measured pressure value from Riser W PT2.</v>
      </c>
    </row>
    <row r="187" spans="1:8" x14ac:dyDescent="0.25">
      <c r="A187" s="3" t="s">
        <v>6983</v>
      </c>
      <c r="B187" s="3" t="s">
        <v>6989</v>
      </c>
      <c r="C187" s="3" t="s">
        <v>6985</v>
      </c>
      <c r="D187" s="3" t="s">
        <v>6334</v>
      </c>
      <c r="E187" s="3">
        <v>186</v>
      </c>
      <c r="F187" s="3" t="s">
        <v>2624</v>
      </c>
      <c r="G187" s="3" t="s">
        <v>3842</v>
      </c>
      <c r="H187" s="3" t="str">
        <f t="shared" si="2"/>
        <v>Measured pressure value from Riser W PT3.</v>
      </c>
    </row>
    <row r="188" spans="1:8" x14ac:dyDescent="0.25">
      <c r="A188" s="3" t="s">
        <v>6983</v>
      </c>
      <c r="B188" s="3" t="s">
        <v>6989</v>
      </c>
      <c r="C188" s="3" t="s">
        <v>6985</v>
      </c>
      <c r="D188" s="3" t="s">
        <v>6334</v>
      </c>
      <c r="E188" s="3">
        <v>187</v>
      </c>
      <c r="F188" s="3" t="s">
        <v>2625</v>
      </c>
      <c r="G188" s="3" t="s">
        <v>3842</v>
      </c>
      <c r="H188" s="3" t="str">
        <f t="shared" si="2"/>
        <v>Measured pressure value from Riser W PT4.</v>
      </c>
    </row>
    <row r="189" spans="1:8" x14ac:dyDescent="0.25">
      <c r="A189" s="3" t="s">
        <v>6983</v>
      </c>
      <c r="B189" s="3" t="s">
        <v>6989</v>
      </c>
      <c r="C189" s="3" t="s">
        <v>6985</v>
      </c>
      <c r="D189" s="3" t="s">
        <v>6334</v>
      </c>
      <c r="E189" s="3">
        <v>188</v>
      </c>
      <c r="F189" s="3" t="s">
        <v>2626</v>
      </c>
      <c r="G189" s="3" t="s">
        <v>3842</v>
      </c>
      <c r="H189" s="3" t="str">
        <f t="shared" si="2"/>
        <v>Measured pressure value from Riser X PT1.</v>
      </c>
    </row>
    <row r="190" spans="1:8" x14ac:dyDescent="0.25">
      <c r="A190" s="3" t="s">
        <v>6983</v>
      </c>
      <c r="B190" s="3" t="s">
        <v>6989</v>
      </c>
      <c r="C190" s="3" t="s">
        <v>6985</v>
      </c>
      <c r="D190" s="3" t="s">
        <v>6334</v>
      </c>
      <c r="E190" s="3">
        <v>189</v>
      </c>
      <c r="F190" s="3" t="s">
        <v>2627</v>
      </c>
      <c r="G190" s="3" t="s">
        <v>3842</v>
      </c>
      <c r="H190" s="3" t="str">
        <f t="shared" si="2"/>
        <v>Measured pressure value from Riser X PT2.</v>
      </c>
    </row>
    <row r="191" spans="1:8" x14ac:dyDescent="0.25">
      <c r="A191" s="3" t="s">
        <v>6983</v>
      </c>
      <c r="B191" s="3" t="s">
        <v>6989</v>
      </c>
      <c r="C191" s="3" t="s">
        <v>6985</v>
      </c>
      <c r="D191" s="3" t="s">
        <v>6334</v>
      </c>
      <c r="E191" s="3">
        <v>190</v>
      </c>
      <c r="F191" s="3" t="s">
        <v>2628</v>
      </c>
      <c r="G191" s="3" t="s">
        <v>3842</v>
      </c>
      <c r="H191" s="3" t="str">
        <f t="shared" si="2"/>
        <v>Measured pressure value from Riser X PT3.</v>
      </c>
    </row>
    <row r="192" spans="1:8" x14ac:dyDescent="0.25">
      <c r="A192" s="3" t="s">
        <v>6983</v>
      </c>
      <c r="B192" s="3" t="s">
        <v>6989</v>
      </c>
      <c r="C192" s="3" t="s">
        <v>6985</v>
      </c>
      <c r="D192" s="3" t="s">
        <v>6334</v>
      </c>
      <c r="E192" s="3">
        <v>191</v>
      </c>
      <c r="F192" s="3" t="s">
        <v>2629</v>
      </c>
      <c r="G192" s="3" t="s">
        <v>3842</v>
      </c>
      <c r="H192" s="3" t="str">
        <f t="shared" si="2"/>
        <v>Measured pressure value from Riser X PT4.</v>
      </c>
    </row>
    <row r="193" spans="1:8" x14ac:dyDescent="0.25">
      <c r="A193" s="3" t="s">
        <v>6983</v>
      </c>
      <c r="B193" s="3" t="s">
        <v>6989</v>
      </c>
      <c r="C193" s="3" t="s">
        <v>6985</v>
      </c>
      <c r="D193" s="3" t="s">
        <v>6334</v>
      </c>
      <c r="E193" s="3">
        <v>192</v>
      </c>
      <c r="F193" s="3" t="s">
        <v>2630</v>
      </c>
      <c r="G193" s="3" t="s">
        <v>1095</v>
      </c>
      <c r="H193" s="3" t="str">
        <f>_xlfn.CONCAT("Measured temperature from ",F193, ".")</f>
        <v>Measured temperature from Temp JB4700A.</v>
      </c>
    </row>
    <row r="194" spans="1:8" x14ac:dyDescent="0.25">
      <c r="A194" s="3" t="s">
        <v>6983</v>
      </c>
      <c r="B194" s="3" t="s">
        <v>6989</v>
      </c>
      <c r="C194" s="3" t="s">
        <v>6985</v>
      </c>
      <c r="D194" s="3" t="s">
        <v>6334</v>
      </c>
      <c r="E194" s="3">
        <v>193</v>
      </c>
      <c r="F194" s="3" t="s">
        <v>2631</v>
      </c>
      <c r="G194" s="3" t="s">
        <v>1095</v>
      </c>
      <c r="H194" s="3" t="str">
        <f>_xlfn.CONCAT("Measured temperature from ",F194, ".")</f>
        <v>Measured temperature from Temp JB4700B.</v>
      </c>
    </row>
    <row r="195" spans="1:8" x14ac:dyDescent="0.25">
      <c r="A195" s="3" t="s">
        <v>6983</v>
      </c>
      <c r="B195" s="3" t="s">
        <v>6989</v>
      </c>
      <c r="C195" s="3" t="s">
        <v>6985</v>
      </c>
      <c r="D195" s="3" t="s">
        <v>6335</v>
      </c>
      <c r="E195" s="3">
        <v>194</v>
      </c>
      <c r="F195" s="3" t="s">
        <v>2632</v>
      </c>
      <c r="G195" s="3" t="s">
        <v>1097</v>
      </c>
      <c r="H195" s="3" t="str">
        <f>_xlfn.CONCAT("Output ",F195, " , in percentage, from 3rd party DCS system.")</f>
        <v>Output ILST-100B1 FWKO , in percentage, from 3rd party DCS system.</v>
      </c>
    </row>
    <row r="196" spans="1:8" x14ac:dyDescent="0.25">
      <c r="A196" s="3" t="s">
        <v>6983</v>
      </c>
      <c r="B196" s="3" t="s">
        <v>6989</v>
      </c>
      <c r="C196" s="3" t="s">
        <v>6985</v>
      </c>
      <c r="D196" s="3" t="s">
        <v>6335</v>
      </c>
      <c r="E196" s="3">
        <v>195</v>
      </c>
      <c r="F196" s="3" t="s">
        <v>2633</v>
      </c>
      <c r="G196" s="3" t="s">
        <v>1097</v>
      </c>
      <c r="H196" s="3" t="str">
        <f t="shared" ref="H196:H259" si="3">_xlfn.CONCAT("Output ",F196, " , in percentage, from 3rd party DCS system.")</f>
        <v>Output ILST-100B2 FWKO , in percentage, from 3rd party DCS system.</v>
      </c>
    </row>
    <row r="197" spans="1:8" x14ac:dyDescent="0.25">
      <c r="A197" s="3" t="s">
        <v>6983</v>
      </c>
      <c r="B197" s="3" t="s">
        <v>6989</v>
      </c>
      <c r="C197" s="3" t="s">
        <v>6985</v>
      </c>
      <c r="D197" s="3" t="s">
        <v>6335</v>
      </c>
      <c r="E197" s="3">
        <v>196</v>
      </c>
      <c r="F197" s="3" t="s">
        <v>2634</v>
      </c>
      <c r="G197" s="3" t="s">
        <v>1097</v>
      </c>
      <c r="H197" s="3" t="str">
        <f t="shared" si="3"/>
        <v>Output ILST-100B3 FWKO , in percentage, from 3rd party DCS system.</v>
      </c>
    </row>
    <row r="198" spans="1:8" x14ac:dyDescent="0.25">
      <c r="A198" s="3" t="s">
        <v>6983</v>
      </c>
      <c r="B198" s="3" t="s">
        <v>6989</v>
      </c>
      <c r="C198" s="3" t="s">
        <v>6985</v>
      </c>
      <c r="D198" s="3" t="s">
        <v>6335</v>
      </c>
      <c r="E198" s="3">
        <v>197</v>
      </c>
      <c r="F198" s="3" t="s">
        <v>2635</v>
      </c>
      <c r="G198" s="3" t="s">
        <v>1097</v>
      </c>
      <c r="H198" s="3" t="str">
        <f t="shared" si="3"/>
        <v>Output ILST-300B BOT , in percentage, from 3rd party DCS system.</v>
      </c>
    </row>
    <row r="199" spans="1:8" x14ac:dyDescent="0.25">
      <c r="A199" s="3" t="s">
        <v>6983</v>
      </c>
      <c r="B199" s="3" t="s">
        <v>6989</v>
      </c>
      <c r="C199" s="3" t="s">
        <v>6985</v>
      </c>
      <c r="D199" s="3" t="s">
        <v>6335</v>
      </c>
      <c r="E199" s="3">
        <v>198</v>
      </c>
      <c r="F199" s="3" t="s">
        <v>2636</v>
      </c>
      <c r="G199" s="3" t="s">
        <v>1097</v>
      </c>
      <c r="H199" s="3" t="str">
        <f t="shared" si="3"/>
        <v>Output ILT-100B1 FWKO , in percentage, from 3rd party DCS system.</v>
      </c>
    </row>
    <row r="200" spans="1:8" x14ac:dyDescent="0.25">
      <c r="A200" s="3" t="s">
        <v>6983</v>
      </c>
      <c r="B200" s="3" t="s">
        <v>6989</v>
      </c>
      <c r="C200" s="3" t="s">
        <v>6985</v>
      </c>
      <c r="D200" s="3" t="s">
        <v>6335</v>
      </c>
      <c r="E200" s="3">
        <v>199</v>
      </c>
      <c r="F200" s="3" t="s">
        <v>2637</v>
      </c>
      <c r="G200" s="3" t="s">
        <v>1097</v>
      </c>
      <c r="H200" s="3" t="str">
        <f t="shared" si="3"/>
        <v>Output ILT-1150A1 SMP , in percentage, from 3rd party DCS system.</v>
      </c>
    </row>
    <row r="201" spans="1:8" x14ac:dyDescent="0.25">
      <c r="A201" s="3" t="s">
        <v>6983</v>
      </c>
      <c r="B201" s="3" t="s">
        <v>6989</v>
      </c>
      <c r="C201" s="3" t="s">
        <v>6985</v>
      </c>
      <c r="D201" s="3" t="s">
        <v>6335</v>
      </c>
      <c r="E201" s="3">
        <v>200</v>
      </c>
      <c r="F201" s="3" t="s">
        <v>2638</v>
      </c>
      <c r="G201" s="3" t="s">
        <v>1097</v>
      </c>
      <c r="H201" s="3" t="str">
        <f t="shared" si="3"/>
        <v>Output ILT-1166B1 SLOP TNK , in percentage, from 3rd party DCS system.</v>
      </c>
    </row>
    <row r="202" spans="1:8" x14ac:dyDescent="0.25">
      <c r="A202" s="3" t="s">
        <v>6983</v>
      </c>
      <c r="B202" s="3" t="s">
        <v>6989</v>
      </c>
      <c r="C202" s="3" t="s">
        <v>6985</v>
      </c>
      <c r="D202" s="3" t="s">
        <v>6335</v>
      </c>
      <c r="E202" s="3">
        <v>201</v>
      </c>
      <c r="F202" s="3" t="s">
        <v>2639</v>
      </c>
      <c r="G202" s="3" t="s">
        <v>1097</v>
      </c>
      <c r="H202" s="3" t="str">
        <f t="shared" si="3"/>
        <v>Output ILT-120B1 TEST SEP , in percentage, from 3rd party DCS system.</v>
      </c>
    </row>
    <row r="203" spans="1:8" x14ac:dyDescent="0.25">
      <c r="A203" s="3" t="s">
        <v>6983</v>
      </c>
      <c r="B203" s="3" t="s">
        <v>6989</v>
      </c>
      <c r="C203" s="3" t="s">
        <v>6985</v>
      </c>
      <c r="D203" s="3" t="s">
        <v>6335</v>
      </c>
      <c r="E203" s="3">
        <v>202</v>
      </c>
      <c r="F203" s="3" t="s">
        <v>2640</v>
      </c>
      <c r="G203" s="3" t="s">
        <v>1097</v>
      </c>
      <c r="H203" s="3" t="str">
        <f t="shared" si="3"/>
        <v>Output ILT-300B1 BOT , in percentage, from 3rd party DCS system.</v>
      </c>
    </row>
    <row r="204" spans="1:8" x14ac:dyDescent="0.25">
      <c r="A204" s="3" t="s">
        <v>6983</v>
      </c>
      <c r="B204" s="3" t="s">
        <v>6989</v>
      </c>
      <c r="C204" s="3" t="s">
        <v>6985</v>
      </c>
      <c r="D204" s="3" t="s">
        <v>6335</v>
      </c>
      <c r="E204" s="3">
        <v>203</v>
      </c>
      <c r="F204" s="3" t="s">
        <v>2641</v>
      </c>
      <c r="G204" s="3" t="s">
        <v>1097</v>
      </c>
      <c r="H204" s="3" t="str">
        <f t="shared" si="3"/>
        <v>Output ILT-320B1 WOT , in percentage, from 3rd party DCS system.</v>
      </c>
    </row>
    <row r="205" spans="1:8" x14ac:dyDescent="0.25">
      <c r="A205" s="3" t="s">
        <v>6983</v>
      </c>
      <c r="B205" s="3" t="s">
        <v>6989</v>
      </c>
      <c r="C205" s="3" t="s">
        <v>6985</v>
      </c>
      <c r="D205" s="3" t="s">
        <v>6335</v>
      </c>
      <c r="E205" s="3">
        <v>204</v>
      </c>
      <c r="F205" s="3" t="s">
        <v>2642</v>
      </c>
      <c r="G205" s="3" t="s">
        <v>1097</v>
      </c>
      <c r="H205" s="3" t="str">
        <f t="shared" si="3"/>
        <v>Output LST-1007A FGC A1 , in percentage, from 3rd party DCS system.</v>
      </c>
    </row>
    <row r="206" spans="1:8" x14ac:dyDescent="0.25">
      <c r="A206" s="3" t="s">
        <v>6983</v>
      </c>
      <c r="B206" s="3" t="s">
        <v>6989</v>
      </c>
      <c r="C206" s="3" t="s">
        <v>6985</v>
      </c>
      <c r="D206" s="3" t="s">
        <v>6335</v>
      </c>
      <c r="E206" s="3">
        <v>205</v>
      </c>
      <c r="F206" s="3" t="s">
        <v>2643</v>
      </c>
      <c r="G206" s="3" t="s">
        <v>1097</v>
      </c>
      <c r="H206" s="3" t="str">
        <f t="shared" si="3"/>
        <v>Output LST-100A FWKO , in percentage, from 3rd party DCS system.</v>
      </c>
    </row>
    <row r="207" spans="1:8" x14ac:dyDescent="0.25">
      <c r="A207" s="3" t="s">
        <v>6983</v>
      </c>
      <c r="B207" s="3" t="s">
        <v>6989</v>
      </c>
      <c r="C207" s="3" t="s">
        <v>6985</v>
      </c>
      <c r="D207" s="3" t="s">
        <v>6335</v>
      </c>
      <c r="E207" s="3">
        <v>206</v>
      </c>
      <c r="F207" s="3" t="s">
        <v>2644</v>
      </c>
      <c r="G207" s="3" t="s">
        <v>1097</v>
      </c>
      <c r="H207" s="3" t="str">
        <f t="shared" si="3"/>
        <v>Output LST-1016A FGC A2 , in percentage, from 3rd party DCS system.</v>
      </c>
    </row>
    <row r="208" spans="1:8" x14ac:dyDescent="0.25">
      <c r="A208" s="3" t="s">
        <v>6983</v>
      </c>
      <c r="B208" s="3" t="s">
        <v>6989</v>
      </c>
      <c r="C208" s="3" t="s">
        <v>6985</v>
      </c>
      <c r="D208" s="3" t="s">
        <v>6335</v>
      </c>
      <c r="E208" s="3">
        <v>207</v>
      </c>
      <c r="F208" s="3" t="s">
        <v>2645</v>
      </c>
      <c r="G208" s="3" t="s">
        <v>1097</v>
      </c>
      <c r="H208" s="3" t="str">
        <f t="shared" si="3"/>
        <v>Output LST-1057A FGC B1 , in percentage, from 3rd party DCS system.</v>
      </c>
    </row>
    <row r="209" spans="1:8" x14ac:dyDescent="0.25">
      <c r="A209" s="3" t="s">
        <v>6983</v>
      </c>
      <c r="B209" s="3" t="s">
        <v>6989</v>
      </c>
      <c r="C209" s="3" t="s">
        <v>6985</v>
      </c>
      <c r="D209" s="3" t="s">
        <v>6335</v>
      </c>
      <c r="E209" s="3">
        <v>208</v>
      </c>
      <c r="F209" s="3" t="s">
        <v>2646</v>
      </c>
      <c r="G209" s="3" t="s">
        <v>1097</v>
      </c>
      <c r="H209" s="3" t="str">
        <f t="shared" si="3"/>
        <v>Output LST-1066A FGC B2 , in percentage, from 3rd party DCS system.</v>
      </c>
    </row>
    <row r="210" spans="1:8" x14ac:dyDescent="0.25">
      <c r="A210" s="3" t="s">
        <v>6983</v>
      </c>
      <c r="B210" s="3" t="s">
        <v>6989</v>
      </c>
      <c r="C210" s="3" t="s">
        <v>6985</v>
      </c>
      <c r="D210" s="3" t="s">
        <v>6335</v>
      </c>
      <c r="E210" s="3">
        <v>209</v>
      </c>
      <c r="F210" s="3" t="s">
        <v>2647</v>
      </c>
      <c r="G210" s="3" t="s">
        <v>1097</v>
      </c>
      <c r="H210" s="3" t="str">
        <f t="shared" si="3"/>
        <v>Output LST-1091A SEAL GAS , in percentage, from 3rd party DCS system.</v>
      </c>
    </row>
    <row r="211" spans="1:8" x14ac:dyDescent="0.25">
      <c r="A211" s="3" t="s">
        <v>6983</v>
      </c>
      <c r="B211" s="3" t="s">
        <v>6989</v>
      </c>
      <c r="C211" s="3" t="s">
        <v>6985</v>
      </c>
      <c r="D211" s="3" t="s">
        <v>6335</v>
      </c>
      <c r="E211" s="3">
        <v>210</v>
      </c>
      <c r="F211" s="3" t="s">
        <v>2648</v>
      </c>
      <c r="G211" s="3" t="s">
        <v>1097</v>
      </c>
      <c r="H211" s="3" t="str">
        <f t="shared" si="3"/>
        <v>Output LST-1092A SEAL GAS , in percentage, from 3rd party DCS system.</v>
      </c>
    </row>
    <row r="212" spans="1:8" x14ac:dyDescent="0.25">
      <c r="A212" s="3" t="s">
        <v>6983</v>
      </c>
      <c r="B212" s="3" t="s">
        <v>6989</v>
      </c>
      <c r="C212" s="3" t="s">
        <v>6985</v>
      </c>
      <c r="D212" s="3" t="s">
        <v>6335</v>
      </c>
      <c r="E212" s="3">
        <v>211</v>
      </c>
      <c r="F212" s="3" t="s">
        <v>2649</v>
      </c>
      <c r="G212" s="3" t="s">
        <v>1097</v>
      </c>
      <c r="H212" s="3" t="str">
        <f t="shared" si="3"/>
        <v>Output LST-1101A GLC , in percentage, from 3rd party DCS system.</v>
      </c>
    </row>
    <row r="213" spans="1:8" x14ac:dyDescent="0.25">
      <c r="A213" s="3" t="s">
        <v>6983</v>
      </c>
      <c r="B213" s="3" t="s">
        <v>6989</v>
      </c>
      <c r="C213" s="3" t="s">
        <v>6985</v>
      </c>
      <c r="D213" s="3" t="s">
        <v>6335</v>
      </c>
      <c r="E213" s="3">
        <v>212</v>
      </c>
      <c r="F213" s="3" t="s">
        <v>2650</v>
      </c>
      <c r="G213" s="3" t="s">
        <v>1097</v>
      </c>
      <c r="H213" s="3" t="str">
        <f t="shared" si="3"/>
        <v>Output LST-110A HP SEP , in percentage, from 3rd party DCS system.</v>
      </c>
    </row>
    <row r="214" spans="1:8" x14ac:dyDescent="0.25">
      <c r="A214" s="3" t="s">
        <v>6983</v>
      </c>
      <c r="B214" s="3" t="s">
        <v>6989</v>
      </c>
      <c r="C214" s="3" t="s">
        <v>6985</v>
      </c>
      <c r="D214" s="3" t="s">
        <v>6335</v>
      </c>
      <c r="E214" s="3">
        <v>213</v>
      </c>
      <c r="F214" s="3" t="s">
        <v>2651</v>
      </c>
      <c r="G214" s="3" t="s">
        <v>1097</v>
      </c>
      <c r="H214" s="3" t="str">
        <f t="shared" si="3"/>
        <v>Output LST-1110A SEAL GAS , in percentage, from 3rd party DCS system.</v>
      </c>
    </row>
    <row r="215" spans="1:8" x14ac:dyDescent="0.25">
      <c r="A215" s="3" t="s">
        <v>6983</v>
      </c>
      <c r="B215" s="3" t="s">
        <v>6989</v>
      </c>
      <c r="C215" s="3" t="s">
        <v>6985</v>
      </c>
      <c r="D215" s="3" t="s">
        <v>6335</v>
      </c>
      <c r="E215" s="3">
        <v>214</v>
      </c>
      <c r="F215" s="3" t="s">
        <v>2652</v>
      </c>
      <c r="G215" s="3" t="s">
        <v>1097</v>
      </c>
      <c r="H215" s="3" t="str">
        <f t="shared" si="3"/>
        <v>Output LST-1150A SMP CAISSON , in percentage, from 3rd party DCS system.</v>
      </c>
    </row>
    <row r="216" spans="1:8" x14ac:dyDescent="0.25">
      <c r="A216" s="3" t="s">
        <v>6983</v>
      </c>
      <c r="B216" s="3" t="s">
        <v>6989</v>
      </c>
      <c r="C216" s="3" t="s">
        <v>6985</v>
      </c>
      <c r="D216" s="3" t="s">
        <v>6335</v>
      </c>
      <c r="E216" s="3">
        <v>215</v>
      </c>
      <c r="F216" s="3" t="s">
        <v>2653</v>
      </c>
      <c r="G216" s="3" t="s">
        <v>1097</v>
      </c>
      <c r="H216" s="3" t="str">
        <f t="shared" si="3"/>
        <v>Output LST-1153A PRE SMP OIL , in percentage, from 3rd party DCS system.</v>
      </c>
    </row>
    <row r="217" spans="1:8" x14ac:dyDescent="0.25">
      <c r="A217" s="3" t="s">
        <v>6983</v>
      </c>
      <c r="B217" s="3" t="s">
        <v>6989</v>
      </c>
      <c r="C217" s="3" t="s">
        <v>6985</v>
      </c>
      <c r="D217" s="3" t="s">
        <v>6335</v>
      </c>
      <c r="E217" s="3">
        <v>216</v>
      </c>
      <c r="F217" s="3" t="s">
        <v>2654</v>
      </c>
      <c r="G217" s="3" t="s">
        <v>1097</v>
      </c>
      <c r="H217" s="3" t="str">
        <f t="shared" si="3"/>
        <v>Output LST-1166A OIL BUCKET , in percentage, from 3rd party DCS system.</v>
      </c>
    </row>
    <row r="218" spans="1:8" x14ac:dyDescent="0.25">
      <c r="A218" s="3" t="s">
        <v>6983</v>
      </c>
      <c r="B218" s="3" t="s">
        <v>6989</v>
      </c>
      <c r="C218" s="3" t="s">
        <v>6985</v>
      </c>
      <c r="D218" s="3" t="s">
        <v>6335</v>
      </c>
      <c r="E218" s="3">
        <v>217</v>
      </c>
      <c r="F218" s="3" t="s">
        <v>2655</v>
      </c>
      <c r="G218" s="3" t="s">
        <v>1097</v>
      </c>
      <c r="H218" s="3" t="str">
        <f t="shared" si="3"/>
        <v>Output LST-1166C SLOP TNK , in percentage, from 3rd party DCS system.</v>
      </c>
    </row>
    <row r="219" spans="1:8" x14ac:dyDescent="0.25">
      <c r="A219" s="3" t="s">
        <v>6983</v>
      </c>
      <c r="B219" s="3" t="s">
        <v>6989</v>
      </c>
      <c r="C219" s="3" t="s">
        <v>6985</v>
      </c>
      <c r="D219" s="3" t="s">
        <v>6335</v>
      </c>
      <c r="E219" s="3">
        <v>218</v>
      </c>
      <c r="F219" s="3" t="s">
        <v>2656</v>
      </c>
      <c r="G219" s="3" t="s">
        <v>1097</v>
      </c>
      <c r="H219" s="3" t="str">
        <f t="shared" si="3"/>
        <v>Output LST-120A TEST SEP OIL , in percentage, from 3rd party DCS system.</v>
      </c>
    </row>
    <row r="220" spans="1:8" x14ac:dyDescent="0.25">
      <c r="A220" s="3" t="s">
        <v>6983</v>
      </c>
      <c r="B220" s="3" t="s">
        <v>6989</v>
      </c>
      <c r="C220" s="3" t="s">
        <v>6985</v>
      </c>
      <c r="D220" s="3" t="s">
        <v>6335</v>
      </c>
      <c r="E220" s="3">
        <v>219</v>
      </c>
      <c r="F220" s="3" t="s">
        <v>2657</v>
      </c>
      <c r="G220" s="3" t="s">
        <v>1097</v>
      </c>
      <c r="H220" s="3" t="str">
        <f t="shared" si="3"/>
        <v>Output LST-120B TEST SEP WTR , in percentage, from 3rd party DCS system.</v>
      </c>
    </row>
    <row r="221" spans="1:8" x14ac:dyDescent="0.25">
      <c r="A221" s="3" t="s">
        <v>6983</v>
      </c>
      <c r="B221" s="3" t="s">
        <v>6989</v>
      </c>
      <c r="C221" s="3" t="s">
        <v>6985</v>
      </c>
      <c r="D221" s="3" t="s">
        <v>6335</v>
      </c>
      <c r="E221" s="3">
        <v>220</v>
      </c>
      <c r="F221" s="3" t="s">
        <v>2658</v>
      </c>
      <c r="G221" s="3" t="s">
        <v>1097</v>
      </c>
      <c r="H221" s="3" t="str">
        <f t="shared" si="3"/>
        <v>Output LST-1901A Methanol , in percentage, from 3rd party DCS system.</v>
      </c>
    </row>
    <row r="222" spans="1:8" x14ac:dyDescent="0.25">
      <c r="A222" s="3" t="s">
        <v>6983</v>
      </c>
      <c r="B222" s="3" t="s">
        <v>6989</v>
      </c>
      <c r="C222" s="3" t="s">
        <v>6985</v>
      </c>
      <c r="D222" s="3" t="s">
        <v>6335</v>
      </c>
      <c r="E222" s="3">
        <v>221</v>
      </c>
      <c r="F222" s="3" t="s">
        <v>2659</v>
      </c>
      <c r="G222" s="3" t="s">
        <v>1097</v>
      </c>
      <c r="H222" s="3" t="str">
        <f t="shared" si="3"/>
        <v>Output LST-206A PL PMP LO , in percentage, from 3rd party DCS system.</v>
      </c>
    </row>
    <row r="223" spans="1:8" x14ac:dyDescent="0.25">
      <c r="A223" s="3" t="s">
        <v>6983</v>
      </c>
      <c r="B223" s="3" t="s">
        <v>6989</v>
      </c>
      <c r="C223" s="3" t="s">
        <v>6985</v>
      </c>
      <c r="D223" s="3" t="s">
        <v>6335</v>
      </c>
      <c r="E223" s="3">
        <v>222</v>
      </c>
      <c r="F223" s="3" t="s">
        <v>2660</v>
      </c>
      <c r="G223" s="3" t="s">
        <v>1097</v>
      </c>
      <c r="H223" s="3" t="str">
        <f t="shared" si="3"/>
        <v>Output LST-2084A FG SCRUB , in percentage, from 3rd party DCS system.</v>
      </c>
    </row>
    <row r="224" spans="1:8" x14ac:dyDescent="0.25">
      <c r="A224" s="3" t="s">
        <v>6983</v>
      </c>
      <c r="B224" s="3" t="s">
        <v>6989</v>
      </c>
      <c r="C224" s="3" t="s">
        <v>6985</v>
      </c>
      <c r="D224" s="3" t="s">
        <v>6335</v>
      </c>
      <c r="E224" s="3">
        <v>223</v>
      </c>
      <c r="F224" s="3" t="s">
        <v>2661</v>
      </c>
      <c r="G224" s="3" t="s">
        <v>1097</v>
      </c>
      <c r="H224" s="3" t="str">
        <f t="shared" si="3"/>
        <v>Output LST-2086A FG FLTR , in percentage, from 3rd party DCS system.</v>
      </c>
    </row>
    <row r="225" spans="1:8" x14ac:dyDescent="0.25">
      <c r="A225" s="3" t="s">
        <v>6983</v>
      </c>
      <c r="B225" s="3" t="s">
        <v>6989</v>
      </c>
      <c r="C225" s="3" t="s">
        <v>6985</v>
      </c>
      <c r="D225" s="3" t="s">
        <v>6335</v>
      </c>
      <c r="E225" s="3">
        <v>224</v>
      </c>
      <c r="F225" s="3" t="s">
        <v>2662</v>
      </c>
      <c r="G225" s="3" t="s">
        <v>1097</v>
      </c>
      <c r="H225" s="3" t="str">
        <f t="shared" si="3"/>
        <v>Output LST-2087A FG FLTR , in percentage, from 3rd party DCS system.</v>
      </c>
    </row>
    <row r="226" spans="1:8" x14ac:dyDescent="0.25">
      <c r="A226" s="3" t="s">
        <v>6983</v>
      </c>
      <c r="B226" s="3" t="s">
        <v>6989</v>
      </c>
      <c r="C226" s="3" t="s">
        <v>6985</v>
      </c>
      <c r="D226" s="3" t="s">
        <v>6335</v>
      </c>
      <c r="E226" s="3">
        <v>225</v>
      </c>
      <c r="F226" s="3" t="s">
        <v>2663</v>
      </c>
      <c r="G226" s="3" t="s">
        <v>1097</v>
      </c>
      <c r="H226" s="3" t="str">
        <f t="shared" si="3"/>
        <v>Output LST-2170A DSL FUEL , in percentage, from 3rd party DCS system.</v>
      </c>
    </row>
    <row r="227" spans="1:8" x14ac:dyDescent="0.25">
      <c r="A227" s="3" t="s">
        <v>6983</v>
      </c>
      <c r="B227" s="3" t="s">
        <v>6989</v>
      </c>
      <c r="C227" s="3" t="s">
        <v>6985</v>
      </c>
      <c r="D227" s="3" t="s">
        <v>6335</v>
      </c>
      <c r="E227" s="3">
        <v>226</v>
      </c>
      <c r="F227" s="3" t="s">
        <v>2664</v>
      </c>
      <c r="G227" s="3" t="s">
        <v>1097</v>
      </c>
      <c r="H227" s="3" t="str">
        <f t="shared" si="3"/>
        <v>Output LST-2230A STEAM SEP , in percentage, from 3rd party DCS system.</v>
      </c>
    </row>
    <row r="228" spans="1:8" x14ac:dyDescent="0.25">
      <c r="A228" s="3" t="s">
        <v>6983</v>
      </c>
      <c r="B228" s="3" t="s">
        <v>6989</v>
      </c>
      <c r="C228" s="3" t="s">
        <v>6985</v>
      </c>
      <c r="D228" s="3" t="s">
        <v>6335</v>
      </c>
      <c r="E228" s="3">
        <v>227</v>
      </c>
      <c r="F228" s="3" t="s">
        <v>2665</v>
      </c>
      <c r="G228" s="3" t="s">
        <v>1097</v>
      </c>
      <c r="H228" s="3" t="str">
        <f t="shared" si="3"/>
        <v>Output LST-2251A MAKE-UP WTR , in percentage, from 3rd party DCS system.</v>
      </c>
    </row>
    <row r="229" spans="1:8" x14ac:dyDescent="0.25">
      <c r="A229" s="3" t="s">
        <v>6983</v>
      </c>
      <c r="B229" s="3" t="s">
        <v>6989</v>
      </c>
      <c r="C229" s="3" t="s">
        <v>6985</v>
      </c>
      <c r="D229" s="3" t="s">
        <v>6335</v>
      </c>
      <c r="E229" s="3">
        <v>228</v>
      </c>
      <c r="F229" s="3" t="s">
        <v>2666</v>
      </c>
      <c r="G229" s="3" t="s">
        <v>1097</v>
      </c>
      <c r="H229" s="3" t="str">
        <f t="shared" si="3"/>
        <v>Output LST-226A PL PMP LO , in percentage, from 3rd party DCS system.</v>
      </c>
    </row>
    <row r="230" spans="1:8" x14ac:dyDescent="0.25">
      <c r="A230" s="3" t="s">
        <v>6983</v>
      </c>
      <c r="B230" s="3" t="s">
        <v>6989</v>
      </c>
      <c r="C230" s="3" t="s">
        <v>6985</v>
      </c>
      <c r="D230" s="3" t="s">
        <v>6335</v>
      </c>
      <c r="E230" s="3">
        <v>229</v>
      </c>
      <c r="F230" s="3" t="s">
        <v>2667</v>
      </c>
      <c r="G230" s="3" t="s">
        <v>1097</v>
      </c>
      <c r="H230" s="3" t="str">
        <f t="shared" si="3"/>
        <v>Output LST-246A PL PMP LO , in percentage, from 3rd party DCS system.</v>
      </c>
    </row>
    <row r="231" spans="1:8" x14ac:dyDescent="0.25">
      <c r="A231" s="3" t="s">
        <v>6983</v>
      </c>
      <c r="B231" s="3" t="s">
        <v>6989</v>
      </c>
      <c r="C231" s="3" t="s">
        <v>6985</v>
      </c>
      <c r="D231" s="3" t="s">
        <v>6335</v>
      </c>
      <c r="E231" s="3">
        <v>230</v>
      </c>
      <c r="F231" s="3" t="s">
        <v>2668</v>
      </c>
      <c r="G231" s="3" t="s">
        <v>1097</v>
      </c>
      <c r="H231" s="3" t="str">
        <f t="shared" si="3"/>
        <v>Output LST-2491A DRILL RIG , in percentage, from 3rd party DCS system.</v>
      </c>
    </row>
    <row r="232" spans="1:8" x14ac:dyDescent="0.25">
      <c r="A232" s="3" t="s">
        <v>6983</v>
      </c>
      <c r="B232" s="3" t="s">
        <v>6989</v>
      </c>
      <c r="C232" s="3" t="s">
        <v>6985</v>
      </c>
      <c r="D232" s="3" t="s">
        <v>6335</v>
      </c>
      <c r="E232" s="3">
        <v>231</v>
      </c>
      <c r="F232" s="3" t="s">
        <v>2669</v>
      </c>
      <c r="G232" s="3" t="s">
        <v>1097</v>
      </c>
      <c r="H232" s="3" t="str">
        <f t="shared" si="3"/>
        <v>Output LST-2605A LDHI TNK , in percentage, from 3rd party DCS system.</v>
      </c>
    </row>
    <row r="233" spans="1:8" x14ac:dyDescent="0.25">
      <c r="A233" s="3" t="s">
        <v>6983</v>
      </c>
      <c r="B233" s="3" t="s">
        <v>6989</v>
      </c>
      <c r="C233" s="3" t="s">
        <v>6985</v>
      </c>
      <c r="D233" s="3" t="s">
        <v>6335</v>
      </c>
      <c r="E233" s="3">
        <v>232</v>
      </c>
      <c r="F233" s="3" t="s">
        <v>2670</v>
      </c>
      <c r="G233" s="3" t="s">
        <v>1097</v>
      </c>
      <c r="H233" s="3" t="str">
        <f t="shared" si="3"/>
        <v>Output LST-2831A Glycol , in percentage, from 3rd party DCS system.</v>
      </c>
    </row>
    <row r="234" spans="1:8" x14ac:dyDescent="0.25">
      <c r="A234" s="3" t="s">
        <v>6983</v>
      </c>
      <c r="B234" s="3" t="s">
        <v>6989</v>
      </c>
      <c r="C234" s="3" t="s">
        <v>6985</v>
      </c>
      <c r="D234" s="3" t="s">
        <v>6335</v>
      </c>
      <c r="E234" s="3">
        <v>233</v>
      </c>
      <c r="F234" s="3" t="s">
        <v>2671</v>
      </c>
      <c r="G234" s="3" t="s">
        <v>1097</v>
      </c>
      <c r="H234" s="3" t="str">
        <f t="shared" si="3"/>
        <v>Output LST-2840A GLY COND , in percentage, from 3rd party DCS system.</v>
      </c>
    </row>
    <row r="235" spans="1:8" x14ac:dyDescent="0.25">
      <c r="A235" s="3" t="s">
        <v>6983</v>
      </c>
      <c r="B235" s="3" t="s">
        <v>6989</v>
      </c>
      <c r="C235" s="3" t="s">
        <v>6985</v>
      </c>
      <c r="D235" s="3" t="s">
        <v>6335</v>
      </c>
      <c r="E235" s="3">
        <v>234</v>
      </c>
      <c r="F235" s="3" t="s">
        <v>2672</v>
      </c>
      <c r="G235" s="3" t="s">
        <v>1097</v>
      </c>
      <c r="H235" s="3" t="str">
        <f t="shared" si="3"/>
        <v>Output LST-300A BOT GAS SIDE , in percentage, from 3rd party DCS system.</v>
      </c>
    </row>
    <row r="236" spans="1:8" x14ac:dyDescent="0.25">
      <c r="A236" s="3" t="s">
        <v>6983</v>
      </c>
      <c r="B236" s="3" t="s">
        <v>6989</v>
      </c>
      <c r="C236" s="3" t="s">
        <v>6985</v>
      </c>
      <c r="D236" s="3" t="s">
        <v>6335</v>
      </c>
      <c r="E236" s="3">
        <v>235</v>
      </c>
      <c r="F236" s="3" t="s">
        <v>2673</v>
      </c>
      <c r="G236" s="3" t="s">
        <v>1097</v>
      </c>
      <c r="H236" s="3" t="str">
        <f t="shared" si="3"/>
        <v>Output LST-300C BOT GRID , in percentage, from 3rd party DCS system.</v>
      </c>
    </row>
    <row r="237" spans="1:8" x14ac:dyDescent="0.25">
      <c r="A237" s="3" t="s">
        <v>6983</v>
      </c>
      <c r="B237" s="3" t="s">
        <v>6989</v>
      </c>
      <c r="C237" s="3" t="s">
        <v>6985</v>
      </c>
      <c r="D237" s="3" t="s">
        <v>6335</v>
      </c>
      <c r="E237" s="3">
        <v>236</v>
      </c>
      <c r="F237" s="3" t="s">
        <v>2674</v>
      </c>
      <c r="G237" s="3" t="s">
        <v>1097</v>
      </c>
      <c r="H237" s="3" t="str">
        <f t="shared" si="3"/>
        <v>Output LST-320A WOT , in percentage, from 3rd party DCS system.</v>
      </c>
    </row>
    <row r="238" spans="1:8" x14ac:dyDescent="0.25">
      <c r="A238" s="3" t="s">
        <v>6983</v>
      </c>
      <c r="B238" s="3" t="s">
        <v>6989</v>
      </c>
      <c r="C238" s="3" t="s">
        <v>6985</v>
      </c>
      <c r="D238" s="3" t="s">
        <v>6335</v>
      </c>
      <c r="E238" s="3">
        <v>237</v>
      </c>
      <c r="F238" s="3" t="s">
        <v>2675</v>
      </c>
      <c r="G238" s="3" t="s">
        <v>1097</v>
      </c>
      <c r="H238" s="3" t="str">
        <f t="shared" si="3"/>
        <v>Output LST-330A DOT , in percentage, from 3rd party DCS system.</v>
      </c>
    </row>
    <row r="239" spans="1:8" x14ac:dyDescent="0.25">
      <c r="A239" s="3" t="s">
        <v>6983</v>
      </c>
      <c r="B239" s="3" t="s">
        <v>6989</v>
      </c>
      <c r="C239" s="3" t="s">
        <v>6985</v>
      </c>
      <c r="D239" s="3" t="s">
        <v>6335</v>
      </c>
      <c r="E239" s="3">
        <v>238</v>
      </c>
      <c r="F239" s="3" t="s">
        <v>2676</v>
      </c>
      <c r="G239" s="3" t="s">
        <v>1097</v>
      </c>
      <c r="H239" s="3" t="str">
        <f t="shared" si="3"/>
        <v>Output LST-410A FU , in percentage, from 3rd party DCS system.</v>
      </c>
    </row>
    <row r="240" spans="1:8" x14ac:dyDescent="0.25">
      <c r="A240" s="3" t="s">
        <v>6983</v>
      </c>
      <c r="B240" s="3" t="s">
        <v>6989</v>
      </c>
      <c r="C240" s="3" t="s">
        <v>6985</v>
      </c>
      <c r="D240" s="3" t="s">
        <v>6335</v>
      </c>
      <c r="E240" s="3">
        <v>239</v>
      </c>
      <c r="F240" s="3" t="s">
        <v>2677</v>
      </c>
      <c r="G240" s="3" t="s">
        <v>1097</v>
      </c>
      <c r="H240" s="3" t="str">
        <f t="shared" si="3"/>
        <v>Output LST-410B FU OIL , in percentage, from 3rd party DCS system.</v>
      </c>
    </row>
    <row r="241" spans="1:8" x14ac:dyDescent="0.25">
      <c r="A241" s="3" t="s">
        <v>6983</v>
      </c>
      <c r="B241" s="3" t="s">
        <v>6989</v>
      </c>
      <c r="C241" s="3" t="s">
        <v>6985</v>
      </c>
      <c r="D241" s="3" t="s">
        <v>6335</v>
      </c>
      <c r="E241" s="3">
        <v>240</v>
      </c>
      <c r="F241" s="3" t="s">
        <v>2678</v>
      </c>
      <c r="G241" s="3" t="s">
        <v>1097</v>
      </c>
      <c r="H241" s="3" t="str">
        <f t="shared" si="3"/>
        <v>Output LST-420A FU , in percentage, from 3rd party DCS system.</v>
      </c>
    </row>
    <row r="242" spans="1:8" x14ac:dyDescent="0.25">
      <c r="A242" s="3" t="s">
        <v>6983</v>
      </c>
      <c r="B242" s="3" t="s">
        <v>6989</v>
      </c>
      <c r="C242" s="3" t="s">
        <v>6985</v>
      </c>
      <c r="D242" s="3" t="s">
        <v>6335</v>
      </c>
      <c r="E242" s="3">
        <v>241</v>
      </c>
      <c r="F242" s="3" t="s">
        <v>2679</v>
      </c>
      <c r="G242" s="3" t="s">
        <v>1097</v>
      </c>
      <c r="H242" s="3" t="str">
        <f t="shared" si="3"/>
        <v>Output LST-420B FU , in percentage, from 3rd party DCS system.</v>
      </c>
    </row>
    <row r="243" spans="1:8" x14ac:dyDescent="0.25">
      <c r="A243" s="3" t="s">
        <v>6983</v>
      </c>
      <c r="B243" s="3" t="s">
        <v>6989</v>
      </c>
      <c r="C243" s="3" t="s">
        <v>6985</v>
      </c>
      <c r="D243" s="3" t="s">
        <v>6335</v>
      </c>
      <c r="E243" s="3">
        <v>242</v>
      </c>
      <c r="F243" s="3" t="s">
        <v>2680</v>
      </c>
      <c r="G243" s="3" t="s">
        <v>1097</v>
      </c>
      <c r="H243" s="3" t="str">
        <f t="shared" si="3"/>
        <v>Output LST-500A1 FLARE , in percentage, from 3rd party DCS system.</v>
      </c>
    </row>
    <row r="244" spans="1:8" x14ac:dyDescent="0.25">
      <c r="A244" s="3" t="s">
        <v>6983</v>
      </c>
      <c r="B244" s="3" t="s">
        <v>6989</v>
      </c>
      <c r="C244" s="3" t="s">
        <v>6985</v>
      </c>
      <c r="D244" s="3" t="s">
        <v>6335</v>
      </c>
      <c r="E244" s="3">
        <v>243</v>
      </c>
      <c r="F244" s="3" t="s">
        <v>2681</v>
      </c>
      <c r="G244" s="3" t="s">
        <v>1097</v>
      </c>
      <c r="H244" s="3" t="str">
        <f t="shared" si="3"/>
        <v>Output LST-500A2 FLARE , in percentage, from 3rd party DCS system.</v>
      </c>
    </row>
    <row r="245" spans="1:8" x14ac:dyDescent="0.25">
      <c r="A245" s="3" t="s">
        <v>6983</v>
      </c>
      <c r="B245" s="3" t="s">
        <v>6989</v>
      </c>
      <c r="C245" s="3" t="s">
        <v>6985</v>
      </c>
      <c r="D245" s="3" t="s">
        <v>6335</v>
      </c>
      <c r="E245" s="3">
        <v>244</v>
      </c>
      <c r="F245" s="3" t="s">
        <v>2682</v>
      </c>
      <c r="G245" s="3" t="s">
        <v>1097</v>
      </c>
      <c r="H245" s="3" t="str">
        <f t="shared" si="3"/>
        <v>Output LST-500A3 FLARE , in percentage, from 3rd party DCS system.</v>
      </c>
    </row>
    <row r="246" spans="1:8" x14ac:dyDescent="0.25">
      <c r="A246" s="3" t="s">
        <v>6983</v>
      </c>
      <c r="B246" s="3" t="s">
        <v>6989</v>
      </c>
      <c r="C246" s="3" t="s">
        <v>6985</v>
      </c>
      <c r="D246" s="3" t="s">
        <v>6335</v>
      </c>
      <c r="E246" s="3">
        <v>245</v>
      </c>
      <c r="F246" s="3" t="s">
        <v>2683</v>
      </c>
      <c r="G246" s="3" t="s">
        <v>1097</v>
      </c>
      <c r="H246" s="3" t="str">
        <f t="shared" si="3"/>
        <v>Output LST-5360A DSL TNK , in percentage, from 3rd party DCS system.</v>
      </c>
    </row>
    <row r="247" spans="1:8" x14ac:dyDescent="0.25">
      <c r="A247" s="3" t="s">
        <v>6983</v>
      </c>
      <c r="B247" s="3" t="s">
        <v>6989</v>
      </c>
      <c r="C247" s="3" t="s">
        <v>6985</v>
      </c>
      <c r="D247" s="3" t="s">
        <v>6335</v>
      </c>
      <c r="E247" s="3">
        <v>246</v>
      </c>
      <c r="F247" s="3" t="s">
        <v>2684</v>
      </c>
      <c r="G247" s="3" t="s">
        <v>1097</v>
      </c>
      <c r="H247" s="3" t="str">
        <f t="shared" si="3"/>
        <v>Output LST-600A HP CLSCNG , in percentage, from 3rd party DCS system.</v>
      </c>
    </row>
    <row r="248" spans="1:8" x14ac:dyDescent="0.25">
      <c r="A248" s="3" t="s">
        <v>6983</v>
      </c>
      <c r="B248" s="3" t="s">
        <v>6989</v>
      </c>
      <c r="C248" s="3" t="s">
        <v>6985</v>
      </c>
      <c r="D248" s="3" t="s">
        <v>6335</v>
      </c>
      <c r="E248" s="3">
        <v>247</v>
      </c>
      <c r="F248" s="3" t="s">
        <v>2685</v>
      </c>
      <c r="G248" s="3" t="s">
        <v>1097</v>
      </c>
      <c r="H248" s="3" t="str">
        <f t="shared" si="3"/>
        <v>Output LST-610A GLY CNTCR , in percentage, from 3rd party DCS system.</v>
      </c>
    </row>
    <row r="249" spans="1:8" x14ac:dyDescent="0.25">
      <c r="A249" s="3" t="s">
        <v>6983</v>
      </c>
      <c r="B249" s="3" t="s">
        <v>6989</v>
      </c>
      <c r="C249" s="3" t="s">
        <v>6985</v>
      </c>
      <c r="D249" s="3" t="s">
        <v>6335</v>
      </c>
      <c r="E249" s="3">
        <v>248</v>
      </c>
      <c r="F249" s="3" t="s">
        <v>2686</v>
      </c>
      <c r="G249" s="3" t="s">
        <v>1097</v>
      </c>
      <c r="H249" s="3" t="str">
        <f t="shared" si="3"/>
        <v>Output LST-903A VRU A1 , in percentage, from 3rd party DCS system.</v>
      </c>
    </row>
    <row r="250" spans="1:8" x14ac:dyDescent="0.25">
      <c r="A250" s="3" t="s">
        <v>6983</v>
      </c>
      <c r="B250" s="3" t="s">
        <v>6989</v>
      </c>
      <c r="C250" s="3" t="s">
        <v>6985</v>
      </c>
      <c r="D250" s="3" t="s">
        <v>6335</v>
      </c>
      <c r="E250" s="3">
        <v>249</v>
      </c>
      <c r="F250" s="3" t="s">
        <v>2687</v>
      </c>
      <c r="G250" s="3" t="s">
        <v>1097</v>
      </c>
      <c r="H250" s="3" t="str">
        <f t="shared" si="3"/>
        <v>Output LST-907A VRU A1 DSCH , in percentage, from 3rd party DCS system.</v>
      </c>
    </row>
    <row r="251" spans="1:8" x14ac:dyDescent="0.25">
      <c r="A251" s="3" t="s">
        <v>6983</v>
      </c>
      <c r="B251" s="3" t="s">
        <v>6989</v>
      </c>
      <c r="C251" s="3" t="s">
        <v>6985</v>
      </c>
      <c r="D251" s="3" t="s">
        <v>6335</v>
      </c>
      <c r="E251" s="3">
        <v>250</v>
      </c>
      <c r="F251" s="3" t="s">
        <v>2688</v>
      </c>
      <c r="G251" s="3" t="s">
        <v>1097</v>
      </c>
      <c r="H251" s="3" t="str">
        <f t="shared" si="3"/>
        <v>Output LST-908A VRU A2 , in percentage, from 3rd party DCS system.</v>
      </c>
    </row>
    <row r="252" spans="1:8" x14ac:dyDescent="0.25">
      <c r="A252" s="3" t="s">
        <v>6983</v>
      </c>
      <c r="B252" s="3" t="s">
        <v>6989</v>
      </c>
      <c r="C252" s="3" t="s">
        <v>6985</v>
      </c>
      <c r="D252" s="3" t="s">
        <v>6335</v>
      </c>
      <c r="E252" s="3">
        <v>251</v>
      </c>
      <c r="F252" s="3" t="s">
        <v>2689</v>
      </c>
      <c r="G252" s="3" t="s">
        <v>1097</v>
      </c>
      <c r="H252" s="3" t="str">
        <f t="shared" si="3"/>
        <v>Output LST-913A VRU A2 DSCH , in percentage, from 3rd party DCS system.</v>
      </c>
    </row>
    <row r="253" spans="1:8" x14ac:dyDescent="0.25">
      <c r="A253" s="3" t="s">
        <v>6983</v>
      </c>
      <c r="B253" s="3" t="s">
        <v>6989</v>
      </c>
      <c r="C253" s="3" t="s">
        <v>6985</v>
      </c>
      <c r="D253" s="3" t="s">
        <v>6335</v>
      </c>
      <c r="E253" s="3">
        <v>252</v>
      </c>
      <c r="F253" s="3" t="s">
        <v>2690</v>
      </c>
      <c r="G253" s="3" t="s">
        <v>1097</v>
      </c>
      <c r="H253" s="3" t="str">
        <f t="shared" si="3"/>
        <v>Output LST-920A VRU A LO , in percentage, from 3rd party DCS system.</v>
      </c>
    </row>
    <row r="254" spans="1:8" x14ac:dyDescent="0.25">
      <c r="A254" s="3" t="s">
        <v>6983</v>
      </c>
      <c r="B254" s="3" t="s">
        <v>6989</v>
      </c>
      <c r="C254" s="3" t="s">
        <v>6985</v>
      </c>
      <c r="D254" s="3" t="s">
        <v>6335</v>
      </c>
      <c r="E254" s="3">
        <v>253</v>
      </c>
      <c r="F254" s="3" t="s">
        <v>2691</v>
      </c>
      <c r="G254" s="3" t="s">
        <v>1097</v>
      </c>
      <c r="H254" s="3" t="str">
        <f t="shared" si="3"/>
        <v>Output LST-953A VRU B1 , in percentage, from 3rd party DCS system.</v>
      </c>
    </row>
    <row r="255" spans="1:8" x14ac:dyDescent="0.25">
      <c r="A255" s="3" t="s">
        <v>6983</v>
      </c>
      <c r="B255" s="3" t="s">
        <v>6989</v>
      </c>
      <c r="C255" s="3" t="s">
        <v>6985</v>
      </c>
      <c r="D255" s="3" t="s">
        <v>6335</v>
      </c>
      <c r="E255" s="3">
        <v>254</v>
      </c>
      <c r="F255" s="3" t="s">
        <v>2692</v>
      </c>
      <c r="G255" s="3" t="s">
        <v>1097</v>
      </c>
      <c r="H255" s="3" t="str">
        <f t="shared" si="3"/>
        <v>Output LST-957A VRU B1 DSCH , in percentage, from 3rd party DCS system.</v>
      </c>
    </row>
    <row r="256" spans="1:8" x14ac:dyDescent="0.25">
      <c r="A256" s="3" t="s">
        <v>6983</v>
      </c>
      <c r="B256" s="3" t="s">
        <v>6989</v>
      </c>
      <c r="C256" s="3" t="s">
        <v>6985</v>
      </c>
      <c r="D256" s="3" t="s">
        <v>6335</v>
      </c>
      <c r="E256" s="3">
        <v>255</v>
      </c>
      <c r="F256" s="3" t="s">
        <v>2693</v>
      </c>
      <c r="G256" s="3" t="s">
        <v>1097</v>
      </c>
      <c r="H256" s="3" t="str">
        <f t="shared" si="3"/>
        <v>Output LST-958A VRU B2 , in percentage, from 3rd party DCS system.</v>
      </c>
    </row>
    <row r="257" spans="1:8" x14ac:dyDescent="0.25">
      <c r="A257" s="3" t="s">
        <v>6983</v>
      </c>
      <c r="B257" s="3" t="s">
        <v>6989</v>
      </c>
      <c r="C257" s="3" t="s">
        <v>6985</v>
      </c>
      <c r="D257" s="3" t="s">
        <v>6335</v>
      </c>
      <c r="E257" s="3">
        <v>256</v>
      </c>
      <c r="F257" s="3" t="s">
        <v>2694</v>
      </c>
      <c r="G257" s="3" t="s">
        <v>1097</v>
      </c>
      <c r="H257" s="3" t="str">
        <f t="shared" si="3"/>
        <v>Output LST-963A VRU B2 DSCH , in percentage, from 3rd party DCS system.</v>
      </c>
    </row>
    <row r="258" spans="1:8" x14ac:dyDescent="0.25">
      <c r="A258" s="3" t="s">
        <v>6983</v>
      </c>
      <c r="B258" s="3" t="s">
        <v>6989</v>
      </c>
      <c r="C258" s="3" t="s">
        <v>6985</v>
      </c>
      <c r="D258" s="3" t="s">
        <v>6335</v>
      </c>
      <c r="E258" s="3">
        <v>257</v>
      </c>
      <c r="F258" s="3" t="s">
        <v>2695</v>
      </c>
      <c r="G258" s="3" t="s">
        <v>1097</v>
      </c>
      <c r="H258" s="3" t="str">
        <f t="shared" si="3"/>
        <v>Output LST-970A VRU B LO , in percentage, from 3rd party DCS system.</v>
      </c>
    </row>
    <row r="259" spans="1:8" x14ac:dyDescent="0.25">
      <c r="A259" s="3" t="s">
        <v>6983</v>
      </c>
      <c r="B259" s="3" t="s">
        <v>6989</v>
      </c>
      <c r="C259" s="3" t="s">
        <v>6985</v>
      </c>
      <c r="D259" s="3" t="s">
        <v>6335</v>
      </c>
      <c r="E259" s="3">
        <v>258</v>
      </c>
      <c r="F259" s="3" t="s">
        <v>2696</v>
      </c>
      <c r="G259" s="3" t="s">
        <v>1097</v>
      </c>
      <c r="H259" s="3" t="str">
        <f t="shared" si="3"/>
        <v>Output LT-1007A1 FGC A1 , in percentage, from 3rd party DCS system.</v>
      </c>
    </row>
    <row r="260" spans="1:8" x14ac:dyDescent="0.25">
      <c r="A260" s="3" t="s">
        <v>6983</v>
      </c>
      <c r="B260" s="3" t="s">
        <v>6989</v>
      </c>
      <c r="C260" s="3" t="s">
        <v>6985</v>
      </c>
      <c r="D260" s="3" t="s">
        <v>6335</v>
      </c>
      <c r="E260" s="3">
        <v>259</v>
      </c>
      <c r="F260" s="3" t="s">
        <v>2697</v>
      </c>
      <c r="G260" s="3" t="s">
        <v>1097</v>
      </c>
      <c r="H260" s="3" t="str">
        <f t="shared" ref="H260:H323" si="4">_xlfn.CONCAT("Output ",F260, " , in percentage, from 3rd party DCS system.")</f>
        <v>Output LT-100A1 Freewtr , in percentage, from 3rd party DCS system.</v>
      </c>
    </row>
    <row r="261" spans="1:8" x14ac:dyDescent="0.25">
      <c r="A261" s="3" t="s">
        <v>6983</v>
      </c>
      <c r="B261" s="3" t="s">
        <v>6989</v>
      </c>
      <c r="C261" s="3" t="s">
        <v>6985</v>
      </c>
      <c r="D261" s="3" t="s">
        <v>6335</v>
      </c>
      <c r="E261" s="3">
        <v>260</v>
      </c>
      <c r="F261" s="3" t="s">
        <v>2698</v>
      </c>
      <c r="G261" s="3" t="s">
        <v>1097</v>
      </c>
      <c r="H261" s="3" t="str">
        <f t="shared" si="4"/>
        <v>Output LT-1016A1 FGC A2 , in percentage, from 3rd party DCS system.</v>
      </c>
    </row>
    <row r="262" spans="1:8" x14ac:dyDescent="0.25">
      <c r="A262" s="3" t="s">
        <v>6983</v>
      </c>
      <c r="B262" s="3" t="s">
        <v>6989</v>
      </c>
      <c r="C262" s="3" t="s">
        <v>6985</v>
      </c>
      <c r="D262" s="3" t="s">
        <v>6335</v>
      </c>
      <c r="E262" s="3">
        <v>261</v>
      </c>
      <c r="F262" s="3" t="s">
        <v>2699</v>
      </c>
      <c r="G262" s="3" t="s">
        <v>1097</v>
      </c>
      <c r="H262" s="3" t="str">
        <f t="shared" si="4"/>
        <v>Output LT-1057A1 FGC B1 , in percentage, from 3rd party DCS system.</v>
      </c>
    </row>
    <row r="263" spans="1:8" x14ac:dyDescent="0.25">
      <c r="A263" s="3" t="s">
        <v>6983</v>
      </c>
      <c r="B263" s="3" t="s">
        <v>6989</v>
      </c>
      <c r="C263" s="3" t="s">
        <v>6985</v>
      </c>
      <c r="D263" s="3" t="s">
        <v>6335</v>
      </c>
      <c r="E263" s="3">
        <v>262</v>
      </c>
      <c r="F263" s="3" t="s">
        <v>2700</v>
      </c>
      <c r="G263" s="3" t="s">
        <v>1097</v>
      </c>
      <c r="H263" s="3" t="str">
        <f t="shared" si="4"/>
        <v>Output LT-1066A1 FGC B2 , in percentage, from 3rd party DCS system.</v>
      </c>
    </row>
    <row r="264" spans="1:8" x14ac:dyDescent="0.25">
      <c r="A264" s="3" t="s">
        <v>6983</v>
      </c>
      <c r="B264" s="3" t="s">
        <v>6989</v>
      </c>
      <c r="C264" s="3" t="s">
        <v>6985</v>
      </c>
      <c r="D264" s="3" t="s">
        <v>6335</v>
      </c>
      <c r="E264" s="3">
        <v>263</v>
      </c>
      <c r="F264" s="3" t="s">
        <v>2701</v>
      </c>
      <c r="G264" s="3" t="s">
        <v>1097</v>
      </c>
      <c r="H264" s="3" t="str">
        <f t="shared" si="4"/>
        <v>Output LT-1101A1 GLC , in percentage, from 3rd party DCS system.</v>
      </c>
    </row>
    <row r="265" spans="1:8" x14ac:dyDescent="0.25">
      <c r="A265" s="3" t="s">
        <v>6983</v>
      </c>
      <c r="B265" s="3" t="s">
        <v>6989</v>
      </c>
      <c r="C265" s="3" t="s">
        <v>6985</v>
      </c>
      <c r="D265" s="3" t="s">
        <v>6335</v>
      </c>
      <c r="E265" s="3">
        <v>264</v>
      </c>
      <c r="F265" s="3" t="s">
        <v>2702</v>
      </c>
      <c r="G265" s="3" t="s">
        <v>1097</v>
      </c>
      <c r="H265" s="3" t="str">
        <f t="shared" si="4"/>
        <v>Output LT-110A1 HP Sep , in percentage, from 3rd party DCS system.</v>
      </c>
    </row>
    <row r="266" spans="1:8" x14ac:dyDescent="0.25">
      <c r="A266" s="3" t="s">
        <v>6983</v>
      </c>
      <c r="B266" s="3" t="s">
        <v>6989</v>
      </c>
      <c r="C266" s="3" t="s">
        <v>6985</v>
      </c>
      <c r="D266" s="3" t="s">
        <v>6335</v>
      </c>
      <c r="E266" s="3">
        <v>265</v>
      </c>
      <c r="F266" s="3" t="s">
        <v>2703</v>
      </c>
      <c r="G266" s="3" t="s">
        <v>1097</v>
      </c>
      <c r="H266" s="3" t="str">
        <f t="shared" si="4"/>
        <v>Output LT-1153A1 PRE SMP OIL , in percentage, from 3rd party DCS system.</v>
      </c>
    </row>
    <row r="267" spans="1:8" x14ac:dyDescent="0.25">
      <c r="A267" s="3" t="s">
        <v>6983</v>
      </c>
      <c r="B267" s="3" t="s">
        <v>6989</v>
      </c>
      <c r="C267" s="3" t="s">
        <v>6985</v>
      </c>
      <c r="D267" s="3" t="s">
        <v>6335</v>
      </c>
      <c r="E267" s="3">
        <v>266</v>
      </c>
      <c r="F267" s="3" t="s">
        <v>2704</v>
      </c>
      <c r="G267" s="3" t="s">
        <v>1097</v>
      </c>
      <c r="H267" s="3" t="str">
        <f t="shared" si="4"/>
        <v>Output LT-1153B1 PRE SMP , in percentage, from 3rd party DCS system.</v>
      </c>
    </row>
    <row r="268" spans="1:8" x14ac:dyDescent="0.25">
      <c r="A268" s="3" t="s">
        <v>6983</v>
      </c>
      <c r="B268" s="3" t="s">
        <v>6989</v>
      </c>
      <c r="C268" s="3" t="s">
        <v>6985</v>
      </c>
      <c r="D268" s="3" t="s">
        <v>6335</v>
      </c>
      <c r="E268" s="3">
        <v>267</v>
      </c>
      <c r="F268" s="3" t="s">
        <v>2705</v>
      </c>
      <c r="G268" s="3" t="s">
        <v>1097</v>
      </c>
      <c r="H268" s="3" t="str">
        <f t="shared" si="4"/>
        <v>Output LT-1166A1 Dry Oil , in percentage, from 3rd party DCS system.</v>
      </c>
    </row>
    <row r="269" spans="1:8" x14ac:dyDescent="0.25">
      <c r="A269" s="3" t="s">
        <v>6983</v>
      </c>
      <c r="B269" s="3" t="s">
        <v>6989</v>
      </c>
      <c r="C269" s="3" t="s">
        <v>6985</v>
      </c>
      <c r="D269" s="3" t="s">
        <v>6335</v>
      </c>
      <c r="E269" s="3">
        <v>268</v>
      </c>
      <c r="F269" s="3" t="s">
        <v>2706</v>
      </c>
      <c r="G269" s="3" t="s">
        <v>1097</v>
      </c>
      <c r="H269" s="3" t="str">
        <f t="shared" si="4"/>
        <v>Output LT-120A1 Well Test , in percentage, from 3rd party DCS system.</v>
      </c>
    </row>
    <row r="270" spans="1:8" x14ac:dyDescent="0.25">
      <c r="A270" s="3" t="s">
        <v>6983</v>
      </c>
      <c r="B270" s="3" t="s">
        <v>6989</v>
      </c>
      <c r="C270" s="3" t="s">
        <v>6985</v>
      </c>
      <c r="D270" s="3" t="s">
        <v>6335</v>
      </c>
      <c r="E270" s="3">
        <v>269</v>
      </c>
      <c r="F270" s="3" t="s">
        <v>2707</v>
      </c>
      <c r="G270" s="3" t="s">
        <v>1097</v>
      </c>
      <c r="H270" s="3" t="str">
        <f t="shared" si="4"/>
        <v>Output LT-130A WB HYD , in percentage, from 3rd party DCS system.</v>
      </c>
    </row>
    <row r="271" spans="1:8" x14ac:dyDescent="0.25">
      <c r="A271" s="3" t="s">
        <v>6983</v>
      </c>
      <c r="B271" s="3" t="s">
        <v>6989</v>
      </c>
      <c r="C271" s="3" t="s">
        <v>6985</v>
      </c>
      <c r="D271" s="3" t="s">
        <v>6335</v>
      </c>
      <c r="E271" s="3">
        <v>270</v>
      </c>
      <c r="F271" s="3" t="s">
        <v>2708</v>
      </c>
      <c r="G271" s="3" t="s">
        <v>1097</v>
      </c>
      <c r="H271" s="3" t="str">
        <f t="shared" si="4"/>
        <v>Output LT-130B PT BLKG PNL , in percentage, from 3rd party DCS system.</v>
      </c>
    </row>
    <row r="272" spans="1:8" x14ac:dyDescent="0.25">
      <c r="A272" s="3" t="s">
        <v>6983</v>
      </c>
      <c r="B272" s="3" t="s">
        <v>6989</v>
      </c>
      <c r="C272" s="3" t="s">
        <v>6985</v>
      </c>
      <c r="D272" s="3" t="s">
        <v>6335</v>
      </c>
      <c r="E272" s="3">
        <v>271</v>
      </c>
      <c r="F272" s="3" t="s">
        <v>2709</v>
      </c>
      <c r="G272" s="3" t="s">
        <v>1097</v>
      </c>
      <c r="H272" s="3" t="str">
        <f t="shared" si="4"/>
        <v>Output LT-2084A1 FG SCRUB , in percentage, from 3rd party DCS system.</v>
      </c>
    </row>
    <row r="273" spans="1:8" x14ac:dyDescent="0.25">
      <c r="A273" s="3" t="s">
        <v>6983</v>
      </c>
      <c r="B273" s="3" t="s">
        <v>6989</v>
      </c>
      <c r="C273" s="3" t="s">
        <v>6985</v>
      </c>
      <c r="D273" s="3" t="s">
        <v>6335</v>
      </c>
      <c r="E273" s="3">
        <v>272</v>
      </c>
      <c r="F273" s="3" t="s">
        <v>2710</v>
      </c>
      <c r="G273" s="3" t="s">
        <v>1097</v>
      </c>
      <c r="H273" s="3" t="str">
        <f t="shared" si="4"/>
        <v>Output LT-2086A1 FG FLTR , in percentage, from 3rd party DCS system.</v>
      </c>
    </row>
    <row r="274" spans="1:8" x14ac:dyDescent="0.25">
      <c r="A274" s="3" t="s">
        <v>6983</v>
      </c>
      <c r="B274" s="3" t="s">
        <v>6989</v>
      </c>
      <c r="C274" s="3" t="s">
        <v>6985</v>
      </c>
      <c r="D274" s="3" t="s">
        <v>6335</v>
      </c>
      <c r="E274" s="3">
        <v>273</v>
      </c>
      <c r="F274" s="3" t="s">
        <v>2711</v>
      </c>
      <c r="G274" s="3" t="s">
        <v>1097</v>
      </c>
      <c r="H274" s="3" t="str">
        <f t="shared" si="4"/>
        <v>Output LT-2086B1 FG FLTR , in percentage, from 3rd party DCS system.</v>
      </c>
    </row>
    <row r="275" spans="1:8" x14ac:dyDescent="0.25">
      <c r="A275" s="3" t="s">
        <v>6983</v>
      </c>
      <c r="B275" s="3" t="s">
        <v>6989</v>
      </c>
      <c r="C275" s="3" t="s">
        <v>6985</v>
      </c>
      <c r="D275" s="3" t="s">
        <v>6335</v>
      </c>
      <c r="E275" s="3">
        <v>274</v>
      </c>
      <c r="F275" s="3" t="s">
        <v>2712</v>
      </c>
      <c r="G275" s="3" t="s">
        <v>1097</v>
      </c>
      <c r="H275" s="3" t="str">
        <f t="shared" si="4"/>
        <v>Output LT-2087A1 FG FLTR , in percentage, from 3rd party DCS system.</v>
      </c>
    </row>
    <row r="276" spans="1:8" x14ac:dyDescent="0.25">
      <c r="A276" s="3" t="s">
        <v>6983</v>
      </c>
      <c r="B276" s="3" t="s">
        <v>6989</v>
      </c>
      <c r="C276" s="3" t="s">
        <v>6985</v>
      </c>
      <c r="D276" s="3" t="s">
        <v>6335</v>
      </c>
      <c r="E276" s="3">
        <v>275</v>
      </c>
      <c r="F276" s="3" t="s">
        <v>2713</v>
      </c>
      <c r="G276" s="3" t="s">
        <v>1097</v>
      </c>
      <c r="H276" s="3" t="str">
        <f t="shared" si="4"/>
        <v>Output LT-2087B1 FG FLTR , in percentage, from 3rd party DCS system.</v>
      </c>
    </row>
    <row r="277" spans="1:8" x14ac:dyDescent="0.25">
      <c r="A277" s="3" t="s">
        <v>6983</v>
      </c>
      <c r="B277" s="3" t="s">
        <v>6989</v>
      </c>
      <c r="C277" s="3" t="s">
        <v>6985</v>
      </c>
      <c r="D277" s="3" t="s">
        <v>6335</v>
      </c>
      <c r="E277" s="3">
        <v>276</v>
      </c>
      <c r="F277" s="3" t="s">
        <v>2714</v>
      </c>
      <c r="G277" s="3" t="s">
        <v>1097</v>
      </c>
      <c r="H277" s="3" t="str">
        <f t="shared" si="4"/>
        <v>Output LT-2170A1 Diesel Fuel , in percentage, from 3rd party DCS system.</v>
      </c>
    </row>
    <row r="278" spans="1:8" x14ac:dyDescent="0.25">
      <c r="A278" s="3" t="s">
        <v>6983</v>
      </c>
      <c r="B278" s="3" t="s">
        <v>6989</v>
      </c>
      <c r="C278" s="3" t="s">
        <v>6985</v>
      </c>
      <c r="D278" s="3" t="s">
        <v>6335</v>
      </c>
      <c r="E278" s="3">
        <v>277</v>
      </c>
      <c r="F278" s="3" t="s">
        <v>2715</v>
      </c>
      <c r="G278" s="3" t="s">
        <v>1097</v>
      </c>
      <c r="H278" s="3" t="str">
        <f t="shared" si="4"/>
        <v>Output LT-2601A1 Water , in percentage, from 3rd party DCS system.</v>
      </c>
    </row>
    <row r="279" spans="1:8" x14ac:dyDescent="0.25">
      <c r="A279" s="3" t="s">
        <v>6983</v>
      </c>
      <c r="B279" s="3" t="s">
        <v>6989</v>
      </c>
      <c r="C279" s="3" t="s">
        <v>6985</v>
      </c>
      <c r="D279" s="3" t="s">
        <v>6335</v>
      </c>
      <c r="E279" s="3">
        <v>278</v>
      </c>
      <c r="F279" s="3" t="s">
        <v>2716</v>
      </c>
      <c r="G279" s="3" t="s">
        <v>1097</v>
      </c>
      <c r="H279" s="3" t="str">
        <f t="shared" si="4"/>
        <v>Output LT-2602A1 Biocide , in percentage, from 3rd party DCS system.</v>
      </c>
    </row>
    <row r="280" spans="1:8" x14ac:dyDescent="0.25">
      <c r="A280" s="3" t="s">
        <v>6983</v>
      </c>
      <c r="B280" s="3" t="s">
        <v>6989</v>
      </c>
      <c r="C280" s="3" t="s">
        <v>6985</v>
      </c>
      <c r="D280" s="3" t="s">
        <v>6335</v>
      </c>
      <c r="E280" s="3">
        <v>279</v>
      </c>
      <c r="F280" s="3" t="s">
        <v>2717</v>
      </c>
      <c r="G280" s="3" t="s">
        <v>1097</v>
      </c>
      <c r="H280" s="3" t="str">
        <f t="shared" si="4"/>
        <v>Output LT-2603A1 Asphaltn , in percentage, from 3rd party DCS system.</v>
      </c>
    </row>
    <row r="281" spans="1:8" x14ac:dyDescent="0.25">
      <c r="A281" s="3" t="s">
        <v>6983</v>
      </c>
      <c r="B281" s="3" t="s">
        <v>6989</v>
      </c>
      <c r="C281" s="3" t="s">
        <v>6985</v>
      </c>
      <c r="D281" s="3" t="s">
        <v>6335</v>
      </c>
      <c r="E281" s="3">
        <v>280</v>
      </c>
      <c r="F281" s="3" t="s">
        <v>2718</v>
      </c>
      <c r="G281" s="3" t="s">
        <v>1097</v>
      </c>
      <c r="H281" s="3" t="str">
        <f t="shared" si="4"/>
        <v>Output LT-2604A1 SCALE INH , in percentage, from 3rd party DCS system.</v>
      </c>
    </row>
    <row r="282" spans="1:8" x14ac:dyDescent="0.25">
      <c r="A282" s="3" t="s">
        <v>6983</v>
      </c>
      <c r="B282" s="3" t="s">
        <v>6989</v>
      </c>
      <c r="C282" s="3" t="s">
        <v>6985</v>
      </c>
      <c r="D282" s="3" t="s">
        <v>6335</v>
      </c>
      <c r="E282" s="3">
        <v>281</v>
      </c>
      <c r="F282" s="3" t="s">
        <v>2719</v>
      </c>
      <c r="G282" s="3" t="s">
        <v>1097</v>
      </c>
      <c r="H282" s="3" t="str">
        <f t="shared" si="4"/>
        <v>Output LT-2606A1 Sili Def , in percentage, from 3rd party DCS system.</v>
      </c>
    </row>
    <row r="283" spans="1:8" x14ac:dyDescent="0.25">
      <c r="A283" s="3" t="s">
        <v>6983</v>
      </c>
      <c r="B283" s="3" t="s">
        <v>6989</v>
      </c>
      <c r="C283" s="3" t="s">
        <v>6985</v>
      </c>
      <c r="D283" s="3" t="s">
        <v>6335</v>
      </c>
      <c r="E283" s="3">
        <v>282</v>
      </c>
      <c r="F283" s="3" t="s">
        <v>2720</v>
      </c>
      <c r="G283" s="3" t="s">
        <v>1097</v>
      </c>
      <c r="H283" s="3" t="str">
        <f t="shared" si="4"/>
        <v>Output LT-2607A1 Asphaltn , in percentage, from 3rd party DCS system.</v>
      </c>
    </row>
    <row r="284" spans="1:8" x14ac:dyDescent="0.25">
      <c r="A284" s="3" t="s">
        <v>6983</v>
      </c>
      <c r="B284" s="3" t="s">
        <v>6989</v>
      </c>
      <c r="C284" s="3" t="s">
        <v>6985</v>
      </c>
      <c r="D284" s="3" t="s">
        <v>6335</v>
      </c>
      <c r="E284" s="3">
        <v>283</v>
      </c>
      <c r="F284" s="3" t="s">
        <v>2721</v>
      </c>
      <c r="G284" s="3" t="s">
        <v>1097</v>
      </c>
      <c r="H284" s="3" t="str">
        <f t="shared" si="4"/>
        <v>Output LT-2608A1 Asphaltn , in percentage, from 3rd party DCS system.</v>
      </c>
    </row>
    <row r="285" spans="1:8" x14ac:dyDescent="0.25">
      <c r="A285" s="3" t="s">
        <v>6983</v>
      </c>
      <c r="B285" s="3" t="s">
        <v>6989</v>
      </c>
      <c r="C285" s="3" t="s">
        <v>6985</v>
      </c>
      <c r="D285" s="3" t="s">
        <v>6335</v>
      </c>
      <c r="E285" s="3">
        <v>284</v>
      </c>
      <c r="F285" s="3" t="s">
        <v>2722</v>
      </c>
      <c r="G285" s="3" t="s">
        <v>1097</v>
      </c>
      <c r="H285" s="3" t="str">
        <f t="shared" si="4"/>
        <v>Output LT-2609A1 Asphaltn , in percentage, from 3rd party DCS system.</v>
      </c>
    </row>
    <row r="286" spans="1:8" x14ac:dyDescent="0.25">
      <c r="A286" s="3" t="s">
        <v>6983</v>
      </c>
      <c r="B286" s="3" t="s">
        <v>6989</v>
      </c>
      <c r="C286" s="3" t="s">
        <v>6985</v>
      </c>
      <c r="D286" s="3" t="s">
        <v>6335</v>
      </c>
      <c r="E286" s="3">
        <v>285</v>
      </c>
      <c r="F286" s="3" t="s">
        <v>2723</v>
      </c>
      <c r="G286" s="3" t="s">
        <v>1097</v>
      </c>
      <c r="H286" s="3" t="str">
        <f t="shared" si="4"/>
        <v>Output LT-2610A1 Fluor Def , in percentage, from 3rd party DCS system.</v>
      </c>
    </row>
    <row r="287" spans="1:8" x14ac:dyDescent="0.25">
      <c r="A287" s="3" t="s">
        <v>6983</v>
      </c>
      <c r="B287" s="3" t="s">
        <v>6989</v>
      </c>
      <c r="C287" s="3" t="s">
        <v>6985</v>
      </c>
      <c r="D287" s="3" t="s">
        <v>6335</v>
      </c>
      <c r="E287" s="3">
        <v>286</v>
      </c>
      <c r="F287" s="3" t="s">
        <v>2724</v>
      </c>
      <c r="G287" s="3" t="s">
        <v>1097</v>
      </c>
      <c r="H287" s="3" t="str">
        <f t="shared" si="4"/>
        <v>Output LT-2611A1 CORR INH , in percentage, from 3rd party DCS system.</v>
      </c>
    </row>
    <row r="288" spans="1:8" x14ac:dyDescent="0.25">
      <c r="A288" s="3" t="s">
        <v>6983</v>
      </c>
      <c r="B288" s="3" t="s">
        <v>6989</v>
      </c>
      <c r="C288" s="3" t="s">
        <v>6985</v>
      </c>
      <c r="D288" s="3" t="s">
        <v>6335</v>
      </c>
      <c r="E288" s="3">
        <v>287</v>
      </c>
      <c r="F288" s="3" t="s">
        <v>2725</v>
      </c>
      <c r="G288" s="3" t="s">
        <v>1097</v>
      </c>
      <c r="H288" s="3" t="str">
        <f t="shared" si="4"/>
        <v>Output LT-2612A1 CORR INH , in percentage, from 3rd party DCS system.</v>
      </c>
    </row>
    <row r="289" spans="1:8" x14ac:dyDescent="0.25">
      <c r="A289" s="3" t="s">
        <v>6983</v>
      </c>
      <c r="B289" s="3" t="s">
        <v>6989</v>
      </c>
      <c r="C289" s="3" t="s">
        <v>6985</v>
      </c>
      <c r="D289" s="3" t="s">
        <v>6335</v>
      </c>
      <c r="E289" s="3">
        <v>288</v>
      </c>
      <c r="F289" s="3" t="s">
        <v>2726</v>
      </c>
      <c r="G289" s="3" t="s">
        <v>1097</v>
      </c>
      <c r="H289" s="3" t="str">
        <f t="shared" si="4"/>
        <v>Output LT-2613A1 Demulsifier , in percentage, from 3rd party DCS system.</v>
      </c>
    </row>
    <row r="290" spans="1:8" x14ac:dyDescent="0.25">
      <c r="A290" s="3" t="s">
        <v>6983</v>
      </c>
      <c r="B290" s="3" t="s">
        <v>6989</v>
      </c>
      <c r="C290" s="3" t="s">
        <v>6985</v>
      </c>
      <c r="D290" s="3" t="s">
        <v>6335</v>
      </c>
      <c r="E290" s="3">
        <v>289</v>
      </c>
      <c r="F290" s="3" t="s">
        <v>2727</v>
      </c>
      <c r="G290" s="3" t="s">
        <v>1097</v>
      </c>
      <c r="H290" s="3" t="str">
        <f t="shared" si="4"/>
        <v>Output LT-2721A1 Heli Fuel , in percentage, from 3rd party DCS system.</v>
      </c>
    </row>
    <row r="291" spans="1:8" x14ac:dyDescent="0.25">
      <c r="A291" s="3" t="s">
        <v>6983</v>
      </c>
      <c r="B291" s="3" t="s">
        <v>6989</v>
      </c>
      <c r="C291" s="3" t="s">
        <v>6985</v>
      </c>
      <c r="D291" s="3" t="s">
        <v>6335</v>
      </c>
      <c r="E291" s="3">
        <v>290</v>
      </c>
      <c r="F291" s="3" t="s">
        <v>2728</v>
      </c>
      <c r="G291" s="3" t="s">
        <v>1097</v>
      </c>
      <c r="H291" s="3" t="str">
        <f t="shared" si="4"/>
        <v>Output LT-2722A1 Heli Fuel , in percentage, from 3rd party DCS system.</v>
      </c>
    </row>
    <row r="292" spans="1:8" x14ac:dyDescent="0.25">
      <c r="A292" s="3" t="s">
        <v>6983</v>
      </c>
      <c r="B292" s="3" t="s">
        <v>6989</v>
      </c>
      <c r="C292" s="3" t="s">
        <v>6985</v>
      </c>
      <c r="D292" s="3" t="s">
        <v>6335</v>
      </c>
      <c r="E292" s="3">
        <v>291</v>
      </c>
      <c r="F292" s="3" t="s">
        <v>2729</v>
      </c>
      <c r="G292" s="3" t="s">
        <v>1097</v>
      </c>
      <c r="H292" s="3" t="str">
        <f t="shared" si="4"/>
        <v>Output LT-2723A1 Heli Fuel , in percentage, from 3rd party DCS system.</v>
      </c>
    </row>
    <row r="293" spans="1:8" x14ac:dyDescent="0.25">
      <c r="A293" s="3" t="s">
        <v>6983</v>
      </c>
      <c r="B293" s="3" t="s">
        <v>6989</v>
      </c>
      <c r="C293" s="3" t="s">
        <v>6985</v>
      </c>
      <c r="D293" s="3" t="s">
        <v>6335</v>
      </c>
      <c r="E293" s="3">
        <v>292</v>
      </c>
      <c r="F293" s="3" t="s">
        <v>2730</v>
      </c>
      <c r="G293" s="3" t="s">
        <v>1097</v>
      </c>
      <c r="H293" s="3" t="str">
        <f t="shared" si="4"/>
        <v>Output LT-2825A1 GLY RBL , in percentage, from 3rd party DCS system.</v>
      </c>
    </row>
    <row r="294" spans="1:8" x14ac:dyDescent="0.25">
      <c r="A294" s="3" t="s">
        <v>6983</v>
      </c>
      <c r="B294" s="3" t="s">
        <v>6989</v>
      </c>
      <c r="C294" s="3" t="s">
        <v>6985</v>
      </c>
      <c r="D294" s="3" t="s">
        <v>6335</v>
      </c>
      <c r="E294" s="3">
        <v>293</v>
      </c>
      <c r="F294" s="3" t="s">
        <v>2731</v>
      </c>
      <c r="G294" s="3" t="s">
        <v>1097</v>
      </c>
      <c r="H294" s="3" t="str">
        <f t="shared" si="4"/>
        <v>Output LT-2840A1 Separator , in percentage, from 3rd party DCS system.</v>
      </c>
    </row>
    <row r="295" spans="1:8" x14ac:dyDescent="0.25">
      <c r="A295" s="3" t="s">
        <v>6983</v>
      </c>
      <c r="B295" s="3" t="s">
        <v>6989</v>
      </c>
      <c r="C295" s="3" t="s">
        <v>6985</v>
      </c>
      <c r="D295" s="3" t="s">
        <v>6335</v>
      </c>
      <c r="E295" s="3">
        <v>294</v>
      </c>
      <c r="F295" s="3" t="s">
        <v>2732</v>
      </c>
      <c r="G295" s="3" t="s">
        <v>1097</v>
      </c>
      <c r="H295" s="3" t="str">
        <f t="shared" si="4"/>
        <v>Output LT-2840B1 GLY COND , in percentage, from 3rd party DCS system.</v>
      </c>
    </row>
    <row r="296" spans="1:8" x14ac:dyDescent="0.25">
      <c r="A296" s="3" t="s">
        <v>6983</v>
      </c>
      <c r="B296" s="3" t="s">
        <v>6989</v>
      </c>
      <c r="C296" s="3" t="s">
        <v>6985</v>
      </c>
      <c r="D296" s="3" t="s">
        <v>6335</v>
      </c>
      <c r="E296" s="3">
        <v>295</v>
      </c>
      <c r="F296" s="3" t="s">
        <v>2733</v>
      </c>
      <c r="G296" s="3" t="s">
        <v>1097</v>
      </c>
      <c r="H296" s="3" t="str">
        <f t="shared" si="4"/>
        <v>Output LT-2881A1 Pot Water , in percentage, from 3rd party DCS system.</v>
      </c>
    </row>
    <row r="297" spans="1:8" x14ac:dyDescent="0.25">
      <c r="A297" s="3" t="s">
        <v>6983</v>
      </c>
      <c r="B297" s="3" t="s">
        <v>6989</v>
      </c>
      <c r="C297" s="3" t="s">
        <v>6985</v>
      </c>
      <c r="D297" s="3" t="s">
        <v>6335</v>
      </c>
      <c r="E297" s="3">
        <v>296</v>
      </c>
      <c r="F297" s="3" t="s">
        <v>2734</v>
      </c>
      <c r="G297" s="3" t="s">
        <v>1097</v>
      </c>
      <c r="H297" s="3" t="str">
        <f t="shared" si="4"/>
        <v>Output LT-2882A1 Pot Water , in percentage, from 3rd party DCS system.</v>
      </c>
    </row>
    <row r="298" spans="1:8" x14ac:dyDescent="0.25">
      <c r="A298" s="3" t="s">
        <v>6983</v>
      </c>
      <c r="B298" s="3" t="s">
        <v>6989</v>
      </c>
      <c r="C298" s="3" t="s">
        <v>6985</v>
      </c>
      <c r="D298" s="3" t="s">
        <v>6335</v>
      </c>
      <c r="E298" s="3">
        <v>297</v>
      </c>
      <c r="F298" s="3" t="s">
        <v>2735</v>
      </c>
      <c r="G298" s="3" t="s">
        <v>1097</v>
      </c>
      <c r="H298" s="3" t="str">
        <f t="shared" si="4"/>
        <v>Output LT-2883A1 Pot Water , in percentage, from 3rd party DCS system.</v>
      </c>
    </row>
    <row r="299" spans="1:8" x14ac:dyDescent="0.25">
      <c r="A299" s="3" t="s">
        <v>6983</v>
      </c>
      <c r="B299" s="3" t="s">
        <v>6989</v>
      </c>
      <c r="C299" s="3" t="s">
        <v>6985</v>
      </c>
      <c r="D299" s="3" t="s">
        <v>6335</v>
      </c>
      <c r="E299" s="3">
        <v>298</v>
      </c>
      <c r="F299" s="3" t="s">
        <v>2736</v>
      </c>
      <c r="G299" s="3" t="s">
        <v>1097</v>
      </c>
      <c r="H299" s="3" t="str">
        <f t="shared" si="4"/>
        <v>Output LT-300A1 Oil Treater , in percentage, from 3rd party DCS system.</v>
      </c>
    </row>
    <row r="300" spans="1:8" x14ac:dyDescent="0.25">
      <c r="A300" s="3" t="s">
        <v>6983</v>
      </c>
      <c r="B300" s="3" t="s">
        <v>6989</v>
      </c>
      <c r="C300" s="3" t="s">
        <v>6985</v>
      </c>
      <c r="D300" s="3" t="s">
        <v>6335</v>
      </c>
      <c r="E300" s="3">
        <v>299</v>
      </c>
      <c r="F300" s="3" t="s">
        <v>2737</v>
      </c>
      <c r="G300" s="3" t="s">
        <v>1097</v>
      </c>
      <c r="H300" s="3" t="str">
        <f t="shared" si="4"/>
        <v>Output LT-320A1 Wet Oil , in percentage, from 3rd party DCS system.</v>
      </c>
    </row>
    <row r="301" spans="1:8" x14ac:dyDescent="0.25">
      <c r="A301" s="3" t="s">
        <v>6983</v>
      </c>
      <c r="B301" s="3" t="s">
        <v>6989</v>
      </c>
      <c r="C301" s="3" t="s">
        <v>6985</v>
      </c>
      <c r="D301" s="3" t="s">
        <v>6335</v>
      </c>
      <c r="E301" s="3">
        <v>300</v>
      </c>
      <c r="F301" s="3" t="s">
        <v>2738</v>
      </c>
      <c r="G301" s="3" t="s">
        <v>1097</v>
      </c>
      <c r="H301" s="3" t="str">
        <f t="shared" si="4"/>
        <v>Output LT-330A1 Dry Oil , in percentage, from 3rd party DCS system.</v>
      </c>
    </row>
    <row r="302" spans="1:8" x14ac:dyDescent="0.25">
      <c r="A302" s="3" t="s">
        <v>6983</v>
      </c>
      <c r="B302" s="3" t="s">
        <v>6989</v>
      </c>
      <c r="C302" s="3" t="s">
        <v>6985</v>
      </c>
      <c r="D302" s="3" t="s">
        <v>6335</v>
      </c>
      <c r="E302" s="3">
        <v>301</v>
      </c>
      <c r="F302" s="3" t="s">
        <v>2739</v>
      </c>
      <c r="G302" s="3" t="s">
        <v>1097</v>
      </c>
      <c r="H302" s="3" t="str">
        <f t="shared" si="4"/>
        <v>Output LT-410A1 Flotation , in percentage, from 3rd party DCS system.</v>
      </c>
    </row>
    <row r="303" spans="1:8" x14ac:dyDescent="0.25">
      <c r="A303" s="3" t="s">
        <v>6983</v>
      </c>
      <c r="B303" s="3" t="s">
        <v>6989</v>
      </c>
      <c r="C303" s="3" t="s">
        <v>6985</v>
      </c>
      <c r="D303" s="3" t="s">
        <v>6335</v>
      </c>
      <c r="E303" s="3">
        <v>302</v>
      </c>
      <c r="F303" s="3" t="s">
        <v>2740</v>
      </c>
      <c r="G303" s="3" t="s">
        <v>1097</v>
      </c>
      <c r="H303" s="3" t="str">
        <f t="shared" si="4"/>
        <v>Output LT-410B1  OIL OUT , in percentage, from 3rd party DCS system.</v>
      </c>
    </row>
    <row r="304" spans="1:8" x14ac:dyDescent="0.25">
      <c r="A304" s="3" t="s">
        <v>6983</v>
      </c>
      <c r="B304" s="3" t="s">
        <v>6989</v>
      </c>
      <c r="C304" s="3" t="s">
        <v>6985</v>
      </c>
      <c r="D304" s="3" t="s">
        <v>6335</v>
      </c>
      <c r="E304" s="3">
        <v>303</v>
      </c>
      <c r="F304" s="3" t="s">
        <v>2741</v>
      </c>
      <c r="G304" s="3" t="s">
        <v>1097</v>
      </c>
      <c r="H304" s="3" t="str">
        <f t="shared" si="4"/>
        <v>Output LT-420A1 WTR OVERBRD , in percentage, from 3rd party DCS system.</v>
      </c>
    </row>
    <row r="305" spans="1:8" x14ac:dyDescent="0.25">
      <c r="A305" s="3" t="s">
        <v>6983</v>
      </c>
      <c r="B305" s="3" t="s">
        <v>6989</v>
      </c>
      <c r="C305" s="3" t="s">
        <v>6985</v>
      </c>
      <c r="D305" s="3" t="s">
        <v>6335</v>
      </c>
      <c r="E305" s="3">
        <v>304</v>
      </c>
      <c r="F305" s="3" t="s">
        <v>2742</v>
      </c>
      <c r="G305" s="3" t="s">
        <v>1097</v>
      </c>
      <c r="H305" s="3" t="str">
        <f t="shared" si="4"/>
        <v>Output LT-420B1 OIL TO WOT , in percentage, from 3rd party DCS system.</v>
      </c>
    </row>
    <row r="306" spans="1:8" x14ac:dyDescent="0.25">
      <c r="A306" s="3" t="s">
        <v>6983</v>
      </c>
      <c r="B306" s="3" t="s">
        <v>6989</v>
      </c>
      <c r="C306" s="3" t="s">
        <v>6985</v>
      </c>
      <c r="D306" s="3" t="s">
        <v>6335</v>
      </c>
      <c r="E306" s="3">
        <v>305</v>
      </c>
      <c r="F306" s="3" t="s">
        <v>2743</v>
      </c>
      <c r="G306" s="3" t="s">
        <v>1097</v>
      </c>
      <c r="H306" s="3" t="str">
        <f t="shared" si="4"/>
        <v>Output LT-500A1 FLR SCRUB , in percentage, from 3rd party DCS system.</v>
      </c>
    </row>
    <row r="307" spans="1:8" x14ac:dyDescent="0.25">
      <c r="A307" s="3" t="s">
        <v>6983</v>
      </c>
      <c r="B307" s="3" t="s">
        <v>6989</v>
      </c>
      <c r="C307" s="3" t="s">
        <v>6985</v>
      </c>
      <c r="D307" s="3" t="s">
        <v>6335</v>
      </c>
      <c r="E307" s="3">
        <v>306</v>
      </c>
      <c r="F307" s="3" t="s">
        <v>2744</v>
      </c>
      <c r="G307" s="3" t="s">
        <v>1093</v>
      </c>
      <c r="H307" s="3" t="str">
        <f t="shared" si="4"/>
        <v>Output LT-5121A1 De-Watering , in percentage, from 3rd party DCS system.</v>
      </c>
    </row>
    <row r="308" spans="1:8" x14ac:dyDescent="0.25">
      <c r="A308" s="3" t="s">
        <v>6983</v>
      </c>
      <c r="B308" s="3" t="s">
        <v>6989</v>
      </c>
      <c r="C308" s="3" t="s">
        <v>6985</v>
      </c>
      <c r="D308" s="3" t="s">
        <v>6335</v>
      </c>
      <c r="E308" s="3">
        <v>307</v>
      </c>
      <c r="F308" s="3" t="s">
        <v>2745</v>
      </c>
      <c r="G308" s="3" t="s">
        <v>1097</v>
      </c>
      <c r="H308" s="3" t="str">
        <f t="shared" si="4"/>
        <v>Output LT-5160A1 Methanol , in percentage, from 3rd party DCS system.</v>
      </c>
    </row>
    <row r="309" spans="1:8" x14ac:dyDescent="0.25">
      <c r="A309" s="3" t="s">
        <v>6983</v>
      </c>
      <c r="B309" s="3" t="s">
        <v>6989</v>
      </c>
      <c r="C309" s="3" t="s">
        <v>6985</v>
      </c>
      <c r="D309" s="3" t="s">
        <v>6335</v>
      </c>
      <c r="E309" s="3">
        <v>308</v>
      </c>
      <c r="F309" s="3" t="s">
        <v>2746</v>
      </c>
      <c r="G309" s="3" t="s">
        <v>1097</v>
      </c>
      <c r="H309" s="3" t="str">
        <f t="shared" si="4"/>
        <v>Output LT-5161A1 Methanol , in percentage, from 3rd party DCS system.</v>
      </c>
    </row>
    <row r="310" spans="1:8" x14ac:dyDescent="0.25">
      <c r="A310" s="3" t="s">
        <v>6983</v>
      </c>
      <c r="B310" s="3" t="s">
        <v>6989</v>
      </c>
      <c r="C310" s="3" t="s">
        <v>6985</v>
      </c>
      <c r="D310" s="3" t="s">
        <v>6335</v>
      </c>
      <c r="E310" s="3">
        <v>309</v>
      </c>
      <c r="F310" s="3" t="s">
        <v>2747</v>
      </c>
      <c r="G310" s="3" t="s">
        <v>1093</v>
      </c>
      <c r="H310" s="3" t="str">
        <f t="shared" si="4"/>
        <v>Output LT-5221A1 De-Watering , in percentage, from 3rd party DCS system.</v>
      </c>
    </row>
    <row r="311" spans="1:8" x14ac:dyDescent="0.25">
      <c r="A311" s="3" t="s">
        <v>6983</v>
      </c>
      <c r="B311" s="3" t="s">
        <v>6989</v>
      </c>
      <c r="C311" s="3" t="s">
        <v>6985</v>
      </c>
      <c r="D311" s="3" t="s">
        <v>6335</v>
      </c>
      <c r="E311" s="3">
        <v>310</v>
      </c>
      <c r="F311" s="3" t="s">
        <v>2748</v>
      </c>
      <c r="G311" s="3" t="s">
        <v>1093</v>
      </c>
      <c r="H311" s="3" t="str">
        <f t="shared" si="4"/>
        <v>Output LT-5321A1 De-Watering , in percentage, from 3rd party DCS system.</v>
      </c>
    </row>
    <row r="312" spans="1:8" x14ac:dyDescent="0.25">
      <c r="A312" s="3" t="s">
        <v>6983</v>
      </c>
      <c r="B312" s="3" t="s">
        <v>6989</v>
      </c>
      <c r="C312" s="3" t="s">
        <v>6985</v>
      </c>
      <c r="D312" s="3" t="s">
        <v>6335</v>
      </c>
      <c r="E312" s="3">
        <v>311</v>
      </c>
      <c r="F312" s="3" t="s">
        <v>2749</v>
      </c>
      <c r="G312" s="3" t="s">
        <v>1097</v>
      </c>
      <c r="H312" s="3" t="str">
        <f t="shared" si="4"/>
        <v>Output LT-5360A1 Diesel Tnk , in percentage, from 3rd party DCS system.</v>
      </c>
    </row>
    <row r="313" spans="1:8" x14ac:dyDescent="0.25">
      <c r="A313" s="3" t="s">
        <v>6983</v>
      </c>
      <c r="B313" s="3" t="s">
        <v>6989</v>
      </c>
      <c r="C313" s="3" t="s">
        <v>6985</v>
      </c>
      <c r="D313" s="3" t="s">
        <v>6335</v>
      </c>
      <c r="E313" s="3">
        <v>312</v>
      </c>
      <c r="F313" s="3" t="s">
        <v>2750</v>
      </c>
      <c r="G313" s="3" t="s">
        <v>1093</v>
      </c>
      <c r="H313" s="3" t="str">
        <f t="shared" si="4"/>
        <v>Output LT-5421A1 De-Watering , in percentage, from 3rd party DCS system.</v>
      </c>
    </row>
    <row r="314" spans="1:8" x14ac:dyDescent="0.25">
      <c r="A314" s="3" t="s">
        <v>6983</v>
      </c>
      <c r="B314" s="3" t="s">
        <v>6989</v>
      </c>
      <c r="C314" s="3" t="s">
        <v>6985</v>
      </c>
      <c r="D314" s="3" t="s">
        <v>6335</v>
      </c>
      <c r="E314" s="3">
        <v>313</v>
      </c>
      <c r="F314" s="3" t="s">
        <v>2751</v>
      </c>
      <c r="G314" s="3" t="s">
        <v>1097</v>
      </c>
      <c r="H314" s="3" t="str">
        <f t="shared" si="4"/>
        <v>Output LT-5460A1 Drill Water , in percentage, from 3rd party DCS system.</v>
      </c>
    </row>
    <row r="315" spans="1:8" x14ac:dyDescent="0.25">
      <c r="A315" s="3" t="s">
        <v>6983</v>
      </c>
      <c r="B315" s="3" t="s">
        <v>6989</v>
      </c>
      <c r="C315" s="3" t="s">
        <v>6985</v>
      </c>
      <c r="D315" s="3" t="s">
        <v>6335</v>
      </c>
      <c r="E315" s="3">
        <v>314</v>
      </c>
      <c r="F315" s="3" t="s">
        <v>2752</v>
      </c>
      <c r="G315" s="3" t="s">
        <v>1097</v>
      </c>
      <c r="H315" s="3" t="str">
        <f t="shared" si="4"/>
        <v>Output LT-600A1 HP CLSCNG , in percentage, from 3rd party DCS system.</v>
      </c>
    </row>
    <row r="316" spans="1:8" x14ac:dyDescent="0.25">
      <c r="A316" s="3" t="s">
        <v>6983</v>
      </c>
      <c r="B316" s="3" t="s">
        <v>6989</v>
      </c>
      <c r="C316" s="3" t="s">
        <v>6985</v>
      </c>
      <c r="D316" s="3" t="s">
        <v>6335</v>
      </c>
      <c r="E316" s="3">
        <v>315</v>
      </c>
      <c r="F316" s="3" t="s">
        <v>2753</v>
      </c>
      <c r="G316" s="3" t="s">
        <v>1097</v>
      </c>
      <c r="H316" s="3" t="str">
        <f t="shared" si="4"/>
        <v>Output LT-610A1 GLY CNTCR , in percentage, from 3rd party DCS system.</v>
      </c>
    </row>
    <row r="317" spans="1:8" x14ac:dyDescent="0.25">
      <c r="A317" s="3" t="s">
        <v>6983</v>
      </c>
      <c r="B317" s="3" t="s">
        <v>6989</v>
      </c>
      <c r="C317" s="3" t="s">
        <v>6985</v>
      </c>
      <c r="D317" s="3" t="s">
        <v>6335</v>
      </c>
      <c r="E317" s="3">
        <v>316</v>
      </c>
      <c r="F317" s="3" t="s">
        <v>2754</v>
      </c>
      <c r="G317" s="3" t="s">
        <v>1097</v>
      </c>
      <c r="H317" s="3" t="str">
        <f t="shared" si="4"/>
        <v>Output LT-7101A1 SCSSV HYD , in percentage, from 3rd party DCS system.</v>
      </c>
    </row>
    <row r="318" spans="1:8" x14ac:dyDescent="0.25">
      <c r="A318" s="3" t="s">
        <v>6983</v>
      </c>
      <c r="B318" s="3" t="s">
        <v>6989</v>
      </c>
      <c r="C318" s="3" t="s">
        <v>6985</v>
      </c>
      <c r="D318" s="3" t="s">
        <v>6335</v>
      </c>
      <c r="E318" s="3">
        <v>317</v>
      </c>
      <c r="F318" s="3" t="s">
        <v>2755</v>
      </c>
      <c r="G318" s="3" t="s">
        <v>1097</v>
      </c>
      <c r="H318" s="3" t="str">
        <f t="shared" si="4"/>
        <v>Output LT-7101B1 LP HYD , in percentage, from 3rd party DCS system.</v>
      </c>
    </row>
    <row r="319" spans="1:8" x14ac:dyDescent="0.25">
      <c r="A319" s="3" t="s">
        <v>6983</v>
      </c>
      <c r="B319" s="3" t="s">
        <v>6989</v>
      </c>
      <c r="C319" s="3" t="s">
        <v>6985</v>
      </c>
      <c r="D319" s="3" t="s">
        <v>6335</v>
      </c>
      <c r="E319" s="3">
        <v>318</v>
      </c>
      <c r="F319" s="3" t="s">
        <v>2756</v>
      </c>
      <c r="G319" s="3" t="s">
        <v>1097</v>
      </c>
      <c r="H319" s="3" t="str">
        <f t="shared" si="4"/>
        <v>Output LT-7102A1 SCSSV HYD , in percentage, from 3rd party DCS system.</v>
      </c>
    </row>
    <row r="320" spans="1:8" x14ac:dyDescent="0.25">
      <c r="A320" s="3" t="s">
        <v>6983</v>
      </c>
      <c r="B320" s="3" t="s">
        <v>6989</v>
      </c>
      <c r="C320" s="3" t="s">
        <v>6985</v>
      </c>
      <c r="D320" s="3" t="s">
        <v>6335</v>
      </c>
      <c r="E320" s="3">
        <v>319</v>
      </c>
      <c r="F320" s="3" t="s">
        <v>2757</v>
      </c>
      <c r="G320" s="3" t="s">
        <v>1097</v>
      </c>
      <c r="H320" s="3" t="str">
        <f t="shared" si="4"/>
        <v>Output LT-7102B1 LP HYD , in percentage, from 3rd party DCS system.</v>
      </c>
    </row>
    <row r="321" spans="1:8" x14ac:dyDescent="0.25">
      <c r="A321" s="3" t="s">
        <v>6983</v>
      </c>
      <c r="B321" s="3" t="s">
        <v>6989</v>
      </c>
      <c r="C321" s="3" t="s">
        <v>6985</v>
      </c>
      <c r="D321" s="3" t="s">
        <v>6335</v>
      </c>
      <c r="E321" s="3">
        <v>320</v>
      </c>
      <c r="F321" s="3" t="s">
        <v>2758</v>
      </c>
      <c r="G321" s="3" t="s">
        <v>1097</v>
      </c>
      <c r="H321" s="3" t="str">
        <f t="shared" si="4"/>
        <v>Output LT-7103A1 SCSSV HYD , in percentage, from 3rd party DCS system.</v>
      </c>
    </row>
    <row r="322" spans="1:8" x14ac:dyDescent="0.25">
      <c r="A322" s="3" t="s">
        <v>6983</v>
      </c>
      <c r="B322" s="3" t="s">
        <v>6989</v>
      </c>
      <c r="C322" s="3" t="s">
        <v>6985</v>
      </c>
      <c r="D322" s="3" t="s">
        <v>6335</v>
      </c>
      <c r="E322" s="3">
        <v>321</v>
      </c>
      <c r="F322" s="3" t="s">
        <v>2759</v>
      </c>
      <c r="G322" s="3" t="s">
        <v>1097</v>
      </c>
      <c r="H322" s="3" t="str">
        <f t="shared" si="4"/>
        <v>Output LT-7103B1 LP HYD , in percentage, from 3rd party DCS system.</v>
      </c>
    </row>
    <row r="323" spans="1:8" x14ac:dyDescent="0.25">
      <c r="A323" s="3" t="s">
        <v>6983</v>
      </c>
      <c r="B323" s="3" t="s">
        <v>6989</v>
      </c>
      <c r="C323" s="3" t="s">
        <v>6985</v>
      </c>
      <c r="D323" s="3" t="s">
        <v>6335</v>
      </c>
      <c r="E323" s="3">
        <v>322</v>
      </c>
      <c r="F323" s="3" t="s">
        <v>2760</v>
      </c>
      <c r="G323" s="3" t="s">
        <v>1097</v>
      </c>
      <c r="H323" s="3" t="str">
        <f t="shared" si="4"/>
        <v>Output LT-7104A1 SCSSV HYD , in percentage, from 3rd party DCS system.</v>
      </c>
    </row>
    <row r="324" spans="1:8" x14ac:dyDescent="0.25">
      <c r="A324" s="3" t="s">
        <v>6983</v>
      </c>
      <c r="B324" s="3" t="s">
        <v>6989</v>
      </c>
      <c r="C324" s="3" t="s">
        <v>6985</v>
      </c>
      <c r="D324" s="3" t="s">
        <v>6335</v>
      </c>
      <c r="E324" s="3">
        <v>323</v>
      </c>
      <c r="F324" s="3" t="s">
        <v>2761</v>
      </c>
      <c r="G324" s="3" t="s">
        <v>1097</v>
      </c>
      <c r="H324" s="3" t="str">
        <f t="shared" ref="H324:H331" si="5">_xlfn.CONCAT("Output ",F324, " , in percentage, from 3rd party DCS system.")</f>
        <v>Output LT-7104B1 LP HYD , in percentage, from 3rd party DCS system.</v>
      </c>
    </row>
    <row r="325" spans="1:8" x14ac:dyDescent="0.25">
      <c r="A325" s="3" t="s">
        <v>6983</v>
      </c>
      <c r="B325" s="3" t="s">
        <v>6989</v>
      </c>
      <c r="C325" s="3" t="s">
        <v>6985</v>
      </c>
      <c r="D325" s="3" t="s">
        <v>6335</v>
      </c>
      <c r="E325" s="3">
        <v>324</v>
      </c>
      <c r="F325" s="3" t="s">
        <v>2762</v>
      </c>
      <c r="G325" s="3" t="s">
        <v>1097</v>
      </c>
      <c r="H325" s="3" t="str">
        <f t="shared" si="5"/>
        <v>Output LT-907A1 VRU A1 DSCH , in percentage, from 3rd party DCS system.</v>
      </c>
    </row>
    <row r="326" spans="1:8" x14ac:dyDescent="0.25">
      <c r="A326" s="3" t="s">
        <v>6983</v>
      </c>
      <c r="B326" s="3" t="s">
        <v>6989</v>
      </c>
      <c r="C326" s="3" t="s">
        <v>6985</v>
      </c>
      <c r="D326" s="3" t="s">
        <v>6335</v>
      </c>
      <c r="E326" s="3">
        <v>325</v>
      </c>
      <c r="F326" s="3" t="s">
        <v>2763</v>
      </c>
      <c r="G326" s="3" t="s">
        <v>1097</v>
      </c>
      <c r="H326" s="3" t="str">
        <f t="shared" si="5"/>
        <v>Output LT-908A1 VRU A2 , in percentage, from 3rd party DCS system.</v>
      </c>
    </row>
    <row r="327" spans="1:8" x14ac:dyDescent="0.25">
      <c r="A327" s="3" t="s">
        <v>6983</v>
      </c>
      <c r="B327" s="3" t="s">
        <v>6989</v>
      </c>
      <c r="C327" s="3" t="s">
        <v>6985</v>
      </c>
      <c r="D327" s="3" t="s">
        <v>6335</v>
      </c>
      <c r="E327" s="3">
        <v>326</v>
      </c>
      <c r="F327" s="3" t="s">
        <v>2764</v>
      </c>
      <c r="G327" s="3" t="s">
        <v>1097</v>
      </c>
      <c r="H327" s="3" t="str">
        <f t="shared" si="5"/>
        <v>Output LT-913A1 VRU A2 DSCH , in percentage, from 3rd party DCS system.</v>
      </c>
    </row>
    <row r="328" spans="1:8" x14ac:dyDescent="0.25">
      <c r="A328" s="3" t="s">
        <v>6983</v>
      </c>
      <c r="B328" s="3" t="s">
        <v>6989</v>
      </c>
      <c r="C328" s="3" t="s">
        <v>6985</v>
      </c>
      <c r="D328" s="3" t="s">
        <v>6335</v>
      </c>
      <c r="E328" s="3">
        <v>327</v>
      </c>
      <c r="F328" s="3" t="s">
        <v>2765</v>
      </c>
      <c r="G328" s="3" t="s">
        <v>1097</v>
      </c>
      <c r="H328" s="3" t="str">
        <f t="shared" si="5"/>
        <v>Output LT-957A1 VRU B1 DSCH , in percentage, from 3rd party DCS system.</v>
      </c>
    </row>
    <row r="329" spans="1:8" x14ac:dyDescent="0.25">
      <c r="A329" s="3" t="s">
        <v>6983</v>
      </c>
      <c r="B329" s="3" t="s">
        <v>6989</v>
      </c>
      <c r="C329" s="3" t="s">
        <v>6985</v>
      </c>
      <c r="D329" s="3" t="s">
        <v>6335</v>
      </c>
      <c r="E329" s="3">
        <v>328</v>
      </c>
      <c r="F329" s="3" t="s">
        <v>2766</v>
      </c>
      <c r="G329" s="3" t="s">
        <v>1097</v>
      </c>
      <c r="H329" s="3" t="str">
        <f t="shared" si="5"/>
        <v>Output LT-958A1 VRU B2 , in percentage, from 3rd party DCS system.</v>
      </c>
    </row>
    <row r="330" spans="1:8" x14ac:dyDescent="0.25">
      <c r="A330" s="3" t="s">
        <v>6983</v>
      </c>
      <c r="B330" s="3" t="s">
        <v>6989</v>
      </c>
      <c r="C330" s="3" t="s">
        <v>6985</v>
      </c>
      <c r="D330" s="3" t="s">
        <v>6335</v>
      </c>
      <c r="E330" s="3">
        <v>329</v>
      </c>
      <c r="F330" s="3" t="s">
        <v>2767</v>
      </c>
      <c r="G330" s="3" t="s">
        <v>1097</v>
      </c>
      <c r="H330" s="3" t="str">
        <f t="shared" si="5"/>
        <v>Output LT-963A1 VRU B2 DSCH , in percentage, from 3rd party DCS system.</v>
      </c>
    </row>
    <row r="331" spans="1:8" x14ac:dyDescent="0.25">
      <c r="A331" s="3" t="s">
        <v>6983</v>
      </c>
      <c r="B331" s="3" t="s">
        <v>6989</v>
      </c>
      <c r="C331" s="3" t="s">
        <v>6985</v>
      </c>
      <c r="D331" s="3" t="s">
        <v>6335</v>
      </c>
      <c r="E331" s="3">
        <v>330</v>
      </c>
      <c r="F331" s="3" t="s">
        <v>2768</v>
      </c>
      <c r="G331" s="3" t="s">
        <v>1097</v>
      </c>
      <c r="H331" s="3" t="str">
        <f t="shared" si="5"/>
        <v>Output LT-X4300 PNL HYD RSVR , in percentage, from 3rd party DCS system.</v>
      </c>
    </row>
    <row r="332" spans="1:8" x14ac:dyDescent="0.25">
      <c r="A332" s="3" t="s">
        <v>6983</v>
      </c>
      <c r="B332" s="3" t="s">
        <v>6989</v>
      </c>
      <c r="C332" s="3" t="s">
        <v>6985</v>
      </c>
      <c r="D332" s="3" t="s">
        <v>6335</v>
      </c>
      <c r="E332" s="3">
        <v>331</v>
      </c>
      <c r="F332" s="3" t="s">
        <v>2769</v>
      </c>
      <c r="G332" s="3" t="s">
        <v>1093</v>
      </c>
      <c r="H332" s="3" t="str">
        <f>_xlfn.CONCAT("Output ",F332, " from 3rd party DCS system.")</f>
        <v>Output LT-EPNB Ballast from 3rd party DCS system.</v>
      </c>
    </row>
    <row r="333" spans="1:8" x14ac:dyDescent="0.25">
      <c r="A333" s="3" t="s">
        <v>6983</v>
      </c>
      <c r="B333" s="3" t="s">
        <v>6989</v>
      </c>
      <c r="C333" s="3" t="s">
        <v>6985</v>
      </c>
      <c r="D333" s="3" t="s">
        <v>6335</v>
      </c>
      <c r="E333" s="3">
        <v>332</v>
      </c>
      <c r="F333" s="3" t="s">
        <v>2770</v>
      </c>
      <c r="G333" s="3" t="s">
        <v>1093</v>
      </c>
      <c r="H333" s="3" t="str">
        <f t="shared" ref="H333:H384" si="6">_xlfn.CONCAT("Output ",F333, " from 3rd party DCS system.")</f>
        <v>Output LT-EPSB Ballast from 3rd party DCS system.</v>
      </c>
    </row>
    <row r="334" spans="1:8" x14ac:dyDescent="0.25">
      <c r="A334" s="3" t="s">
        <v>6983</v>
      </c>
      <c r="B334" s="3" t="s">
        <v>6989</v>
      </c>
      <c r="C334" s="3" t="s">
        <v>6985</v>
      </c>
      <c r="D334" s="3" t="s">
        <v>6335</v>
      </c>
      <c r="E334" s="3">
        <v>333</v>
      </c>
      <c r="F334" s="3" t="s">
        <v>2771</v>
      </c>
      <c r="G334" s="3" t="s">
        <v>1093</v>
      </c>
      <c r="H334" s="3" t="str">
        <f t="shared" si="6"/>
        <v>Output LT-NE0BNE Ballast from 3rd party DCS system.</v>
      </c>
    </row>
    <row r="335" spans="1:8" x14ac:dyDescent="0.25">
      <c r="A335" s="3" t="s">
        <v>6983</v>
      </c>
      <c r="B335" s="3" t="s">
        <v>6989</v>
      </c>
      <c r="C335" s="3" t="s">
        <v>6985</v>
      </c>
      <c r="D335" s="3" t="s">
        <v>6335</v>
      </c>
      <c r="E335" s="3">
        <v>334</v>
      </c>
      <c r="F335" s="3" t="s">
        <v>2772</v>
      </c>
      <c r="G335" s="3" t="s">
        <v>1093</v>
      </c>
      <c r="H335" s="3" t="str">
        <f t="shared" si="6"/>
        <v>Output LT-NE0BSW Ballast from 3rd party DCS system.</v>
      </c>
    </row>
    <row r="336" spans="1:8" x14ac:dyDescent="0.25">
      <c r="A336" s="3" t="s">
        <v>6983</v>
      </c>
      <c r="B336" s="3" t="s">
        <v>6989</v>
      </c>
      <c r="C336" s="3" t="s">
        <v>6985</v>
      </c>
      <c r="D336" s="3" t="s">
        <v>6335</v>
      </c>
      <c r="E336" s="3">
        <v>335</v>
      </c>
      <c r="F336" s="3" t="s">
        <v>2773</v>
      </c>
      <c r="G336" s="3" t="s">
        <v>1093</v>
      </c>
      <c r="H336" s="3" t="str">
        <f t="shared" si="6"/>
        <v>Output LT-NE1TE Ballast from 3rd party DCS system.</v>
      </c>
    </row>
    <row r="337" spans="1:8" x14ac:dyDescent="0.25">
      <c r="A337" s="3" t="s">
        <v>6983</v>
      </c>
      <c r="B337" s="3" t="s">
        <v>6989</v>
      </c>
      <c r="C337" s="3" t="s">
        <v>6985</v>
      </c>
      <c r="D337" s="3" t="s">
        <v>6335</v>
      </c>
      <c r="E337" s="3">
        <v>336</v>
      </c>
      <c r="F337" s="3" t="s">
        <v>2774</v>
      </c>
      <c r="G337" s="3" t="s">
        <v>1093</v>
      </c>
      <c r="H337" s="3" t="str">
        <f t="shared" si="6"/>
        <v>Output LT-NE1TN_Ballast from 3rd party DCS system.</v>
      </c>
    </row>
    <row r="338" spans="1:8" x14ac:dyDescent="0.25">
      <c r="A338" s="3" t="s">
        <v>6983</v>
      </c>
      <c r="B338" s="3" t="s">
        <v>6989</v>
      </c>
      <c r="C338" s="3" t="s">
        <v>6985</v>
      </c>
      <c r="D338" s="3" t="s">
        <v>6335</v>
      </c>
      <c r="E338" s="3">
        <v>337</v>
      </c>
      <c r="F338" s="3" t="s">
        <v>2775</v>
      </c>
      <c r="G338" s="3" t="s">
        <v>1093</v>
      </c>
      <c r="H338" s="3" t="str">
        <f t="shared" si="6"/>
        <v>Output LT-NE1VS Void from 3rd party DCS system.</v>
      </c>
    </row>
    <row r="339" spans="1:8" x14ac:dyDescent="0.25">
      <c r="A339" s="3" t="s">
        <v>6983</v>
      </c>
      <c r="B339" s="3" t="s">
        <v>6989</v>
      </c>
      <c r="C339" s="3" t="s">
        <v>6985</v>
      </c>
      <c r="D339" s="3" t="s">
        <v>6335</v>
      </c>
      <c r="E339" s="3">
        <v>338</v>
      </c>
      <c r="F339" s="3" t="s">
        <v>2776</v>
      </c>
      <c r="G339" s="3" t="s">
        <v>1093</v>
      </c>
      <c r="H339" s="3" t="str">
        <f t="shared" si="6"/>
        <v>Output LT-NE1VW Void from 3rd party DCS system.</v>
      </c>
    </row>
    <row r="340" spans="1:8" x14ac:dyDescent="0.25">
      <c r="A340" s="3" t="s">
        <v>6983</v>
      </c>
      <c r="B340" s="3" t="s">
        <v>6989</v>
      </c>
      <c r="C340" s="3" t="s">
        <v>6985</v>
      </c>
      <c r="D340" s="3" t="s">
        <v>6335</v>
      </c>
      <c r="E340" s="3">
        <v>339</v>
      </c>
      <c r="F340" s="3" t="s">
        <v>2777</v>
      </c>
      <c r="G340" s="3" t="s">
        <v>1093</v>
      </c>
      <c r="H340" s="3" t="str">
        <f t="shared" si="6"/>
        <v>Output LT-NE2VE Void from 3rd party DCS system.</v>
      </c>
    </row>
    <row r="341" spans="1:8" x14ac:dyDescent="0.25">
      <c r="A341" s="3" t="s">
        <v>6983</v>
      </c>
      <c r="B341" s="3" t="s">
        <v>6989</v>
      </c>
      <c r="C341" s="3" t="s">
        <v>6985</v>
      </c>
      <c r="D341" s="3" t="s">
        <v>6335</v>
      </c>
      <c r="E341" s="3">
        <v>340</v>
      </c>
      <c r="F341" s="3" t="s">
        <v>2778</v>
      </c>
      <c r="G341" s="3" t="s">
        <v>1093</v>
      </c>
      <c r="H341" s="3" t="str">
        <f t="shared" si="6"/>
        <v>Output LT-NE2VN Void from 3rd party DCS system.</v>
      </c>
    </row>
    <row r="342" spans="1:8" x14ac:dyDescent="0.25">
      <c r="A342" s="3" t="s">
        <v>6983</v>
      </c>
      <c r="B342" s="3" t="s">
        <v>6989</v>
      </c>
      <c r="C342" s="3" t="s">
        <v>6985</v>
      </c>
      <c r="D342" s="3" t="s">
        <v>6335</v>
      </c>
      <c r="E342" s="3">
        <v>341</v>
      </c>
      <c r="F342" s="3" t="s">
        <v>2779</v>
      </c>
      <c r="G342" s="3" t="s">
        <v>1093</v>
      </c>
      <c r="H342" s="3" t="str">
        <f t="shared" si="6"/>
        <v>Output LT-NE2VS Void from 3rd party DCS system.</v>
      </c>
    </row>
    <row r="343" spans="1:8" x14ac:dyDescent="0.25">
      <c r="A343" s="3" t="s">
        <v>6983</v>
      </c>
      <c r="B343" s="3" t="s">
        <v>6989</v>
      </c>
      <c r="C343" s="3" t="s">
        <v>6985</v>
      </c>
      <c r="D343" s="3" t="s">
        <v>6335</v>
      </c>
      <c r="E343" s="3">
        <v>342</v>
      </c>
      <c r="F343" s="3" t="s">
        <v>2780</v>
      </c>
      <c r="G343" s="3" t="s">
        <v>1093</v>
      </c>
      <c r="H343" s="3" t="str">
        <f t="shared" si="6"/>
        <v>Output LT-NE2VW Void from 3rd party DCS system.</v>
      </c>
    </row>
    <row r="344" spans="1:8" x14ac:dyDescent="0.25">
      <c r="A344" s="3" t="s">
        <v>6983</v>
      </c>
      <c r="B344" s="3" t="s">
        <v>6989</v>
      </c>
      <c r="C344" s="3" t="s">
        <v>6985</v>
      </c>
      <c r="D344" s="3" t="s">
        <v>6335</v>
      </c>
      <c r="E344" s="3">
        <v>343</v>
      </c>
      <c r="F344" s="3" t="s">
        <v>2781</v>
      </c>
      <c r="G344" s="3" t="s">
        <v>1093</v>
      </c>
      <c r="H344" s="3" t="str">
        <f t="shared" si="6"/>
        <v>Output LT-NEAEC Center Void from 3rd party DCS system.</v>
      </c>
    </row>
    <row r="345" spans="1:8" x14ac:dyDescent="0.25">
      <c r="A345" s="3" t="s">
        <v>6983</v>
      </c>
      <c r="B345" s="3" t="s">
        <v>6989</v>
      </c>
      <c r="C345" s="3" t="s">
        <v>6985</v>
      </c>
      <c r="D345" s="3" t="s">
        <v>6335</v>
      </c>
      <c r="E345" s="3">
        <v>344</v>
      </c>
      <c r="F345" s="3" t="s">
        <v>2782</v>
      </c>
      <c r="G345" s="3" t="s">
        <v>1093</v>
      </c>
      <c r="H345" s="3" t="str">
        <f t="shared" si="6"/>
        <v>Output LT-NPEB Ballast from 3rd party DCS system.</v>
      </c>
    </row>
    <row r="346" spans="1:8" x14ac:dyDescent="0.25">
      <c r="A346" s="3" t="s">
        <v>6983</v>
      </c>
      <c r="B346" s="3" t="s">
        <v>6989</v>
      </c>
      <c r="C346" s="3" t="s">
        <v>6985</v>
      </c>
      <c r="D346" s="3" t="s">
        <v>6335</v>
      </c>
      <c r="E346" s="3">
        <v>345</v>
      </c>
      <c r="F346" s="3" t="s">
        <v>2783</v>
      </c>
      <c r="G346" s="3" t="s">
        <v>1093</v>
      </c>
      <c r="H346" s="3" t="str">
        <f t="shared" si="6"/>
        <v>Output LT-NPWB Ballast from 3rd party DCS system.</v>
      </c>
    </row>
    <row r="347" spans="1:8" x14ac:dyDescent="0.25">
      <c r="A347" s="3" t="s">
        <v>6983</v>
      </c>
      <c r="B347" s="3" t="s">
        <v>6989</v>
      </c>
      <c r="C347" s="3" t="s">
        <v>6985</v>
      </c>
      <c r="D347" s="3" t="s">
        <v>6335</v>
      </c>
      <c r="E347" s="3">
        <v>346</v>
      </c>
      <c r="F347" s="3" t="s">
        <v>2784</v>
      </c>
      <c r="G347" s="3" t="s">
        <v>1093</v>
      </c>
      <c r="H347" s="3" t="str">
        <f t="shared" si="6"/>
        <v>Output LT-NW0BNW Ballast from 3rd party DCS system.</v>
      </c>
    </row>
    <row r="348" spans="1:8" x14ac:dyDescent="0.25">
      <c r="A348" s="3" t="s">
        <v>6983</v>
      </c>
      <c r="B348" s="3" t="s">
        <v>6989</v>
      </c>
      <c r="C348" s="3" t="s">
        <v>6985</v>
      </c>
      <c r="D348" s="3" t="s">
        <v>6335</v>
      </c>
      <c r="E348" s="3">
        <v>347</v>
      </c>
      <c r="F348" s="3" t="s">
        <v>2785</v>
      </c>
      <c r="G348" s="3" t="s">
        <v>1093</v>
      </c>
      <c r="H348" s="3" t="str">
        <f t="shared" si="6"/>
        <v>Output LT-NW0BSE Ballast from 3rd party DCS system.</v>
      </c>
    </row>
    <row r="349" spans="1:8" x14ac:dyDescent="0.25">
      <c r="A349" s="3" t="s">
        <v>6983</v>
      </c>
      <c r="B349" s="3" t="s">
        <v>6989</v>
      </c>
      <c r="C349" s="3" t="s">
        <v>6985</v>
      </c>
      <c r="D349" s="3" t="s">
        <v>6335</v>
      </c>
      <c r="E349" s="3">
        <v>348</v>
      </c>
      <c r="F349" s="3" t="s">
        <v>2786</v>
      </c>
      <c r="G349" s="3" t="s">
        <v>1093</v>
      </c>
      <c r="H349" s="3" t="str">
        <f t="shared" si="6"/>
        <v>Output LT-NW1TN Ballast from 3rd party DCS system.</v>
      </c>
    </row>
    <row r="350" spans="1:8" x14ac:dyDescent="0.25">
      <c r="A350" s="3" t="s">
        <v>6983</v>
      </c>
      <c r="B350" s="3" t="s">
        <v>6989</v>
      </c>
      <c r="C350" s="3" t="s">
        <v>6985</v>
      </c>
      <c r="D350" s="3" t="s">
        <v>6335</v>
      </c>
      <c r="E350" s="3">
        <v>349</v>
      </c>
      <c r="F350" s="3" t="s">
        <v>2787</v>
      </c>
      <c r="G350" s="3" t="s">
        <v>1093</v>
      </c>
      <c r="H350" s="3" t="str">
        <f t="shared" si="6"/>
        <v>Output LT-NW1TW Ballast from 3rd party DCS system.</v>
      </c>
    </row>
    <row r="351" spans="1:8" x14ac:dyDescent="0.25">
      <c r="A351" s="3" t="s">
        <v>6983</v>
      </c>
      <c r="B351" s="3" t="s">
        <v>6989</v>
      </c>
      <c r="C351" s="3" t="s">
        <v>6985</v>
      </c>
      <c r="D351" s="3" t="s">
        <v>6335</v>
      </c>
      <c r="E351" s="3">
        <v>350</v>
      </c>
      <c r="F351" s="3" t="s">
        <v>2788</v>
      </c>
      <c r="G351" s="3" t="s">
        <v>1093</v>
      </c>
      <c r="H351" s="3" t="str">
        <f t="shared" si="6"/>
        <v>Output LT-NW1VE Void from 3rd party DCS system.</v>
      </c>
    </row>
    <row r="352" spans="1:8" x14ac:dyDescent="0.25">
      <c r="A352" s="3" t="s">
        <v>6983</v>
      </c>
      <c r="B352" s="3" t="s">
        <v>6989</v>
      </c>
      <c r="C352" s="3" t="s">
        <v>6985</v>
      </c>
      <c r="D352" s="3" t="s">
        <v>6335</v>
      </c>
      <c r="E352" s="3">
        <v>351</v>
      </c>
      <c r="F352" s="3" t="s">
        <v>2789</v>
      </c>
      <c r="G352" s="3" t="s">
        <v>1093</v>
      </c>
      <c r="H352" s="3" t="str">
        <f t="shared" si="6"/>
        <v>Output LT-NW1VS Void from 3rd party DCS system.</v>
      </c>
    </row>
    <row r="353" spans="1:8" x14ac:dyDescent="0.25">
      <c r="A353" s="3" t="s">
        <v>6983</v>
      </c>
      <c r="B353" s="3" t="s">
        <v>6989</v>
      </c>
      <c r="C353" s="3" t="s">
        <v>6985</v>
      </c>
      <c r="D353" s="3" t="s">
        <v>6335</v>
      </c>
      <c r="E353" s="3">
        <v>352</v>
      </c>
      <c r="F353" s="3" t="s">
        <v>2790</v>
      </c>
      <c r="G353" s="3" t="s">
        <v>1093</v>
      </c>
      <c r="H353" s="3" t="str">
        <f t="shared" si="6"/>
        <v>Output LT-NW2VE Void from 3rd party DCS system.</v>
      </c>
    </row>
    <row r="354" spans="1:8" x14ac:dyDescent="0.25">
      <c r="A354" s="3" t="s">
        <v>6983</v>
      </c>
      <c r="B354" s="3" t="s">
        <v>6989</v>
      </c>
      <c r="C354" s="3" t="s">
        <v>6985</v>
      </c>
      <c r="D354" s="3" t="s">
        <v>6335</v>
      </c>
      <c r="E354" s="3">
        <v>353</v>
      </c>
      <c r="F354" s="3" t="s">
        <v>2791</v>
      </c>
      <c r="G354" s="3" t="s">
        <v>1093</v>
      </c>
      <c r="H354" s="3" t="str">
        <f t="shared" si="6"/>
        <v>Output LT-NW2VN Void from 3rd party DCS system.</v>
      </c>
    </row>
    <row r="355" spans="1:8" x14ac:dyDescent="0.25">
      <c r="A355" s="3" t="s">
        <v>6983</v>
      </c>
      <c r="B355" s="3" t="s">
        <v>6989</v>
      </c>
      <c r="C355" s="3" t="s">
        <v>6985</v>
      </c>
      <c r="D355" s="3" t="s">
        <v>6335</v>
      </c>
      <c r="E355" s="3">
        <v>354</v>
      </c>
      <c r="F355" s="3" t="s">
        <v>2792</v>
      </c>
      <c r="G355" s="3" t="s">
        <v>1093</v>
      </c>
      <c r="H355" s="3" t="str">
        <f t="shared" si="6"/>
        <v>Output LT-NW2VS Void from 3rd party DCS system.</v>
      </c>
    </row>
    <row r="356" spans="1:8" x14ac:dyDescent="0.25">
      <c r="A356" s="3" t="s">
        <v>6983</v>
      </c>
      <c r="B356" s="3" t="s">
        <v>6989</v>
      </c>
      <c r="C356" s="3" t="s">
        <v>6985</v>
      </c>
      <c r="D356" s="3" t="s">
        <v>6335</v>
      </c>
      <c r="E356" s="3">
        <v>355</v>
      </c>
      <c r="F356" s="3" t="s">
        <v>2793</v>
      </c>
      <c r="G356" s="3" t="s">
        <v>1093</v>
      </c>
      <c r="H356" s="3" t="str">
        <f t="shared" si="6"/>
        <v>Output LT-NW2VW Void from 3rd party DCS system.</v>
      </c>
    </row>
    <row r="357" spans="1:8" x14ac:dyDescent="0.25">
      <c r="A357" s="3" t="s">
        <v>6983</v>
      </c>
      <c r="B357" s="3" t="s">
        <v>6989</v>
      </c>
      <c r="C357" s="3" t="s">
        <v>6985</v>
      </c>
      <c r="D357" s="3" t="s">
        <v>6335</v>
      </c>
      <c r="E357" s="3">
        <v>356</v>
      </c>
      <c r="F357" s="3" t="s">
        <v>2794</v>
      </c>
      <c r="G357" s="3" t="s">
        <v>1093</v>
      </c>
      <c r="H357" s="3" t="str">
        <f t="shared" si="6"/>
        <v>Output LT-NWAEC Center Void from 3rd party DCS system.</v>
      </c>
    </row>
    <row r="358" spans="1:8" x14ac:dyDescent="0.25">
      <c r="A358" s="3" t="s">
        <v>6983</v>
      </c>
      <c r="B358" s="3" t="s">
        <v>6989</v>
      </c>
      <c r="C358" s="3" t="s">
        <v>6985</v>
      </c>
      <c r="D358" s="3" t="s">
        <v>6335</v>
      </c>
      <c r="E358" s="3">
        <v>357</v>
      </c>
      <c r="F358" s="3" t="s">
        <v>2795</v>
      </c>
      <c r="G358" s="3" t="s">
        <v>1093</v>
      </c>
      <c r="H358" s="3" t="str">
        <f t="shared" si="6"/>
        <v>Output LT-SE0BNW Ballast from 3rd party DCS system.</v>
      </c>
    </row>
    <row r="359" spans="1:8" x14ac:dyDescent="0.25">
      <c r="A359" s="3" t="s">
        <v>6983</v>
      </c>
      <c r="B359" s="3" t="s">
        <v>6989</v>
      </c>
      <c r="C359" s="3" t="s">
        <v>6985</v>
      </c>
      <c r="D359" s="3" t="s">
        <v>6335</v>
      </c>
      <c r="E359" s="3">
        <v>358</v>
      </c>
      <c r="F359" s="3" t="s">
        <v>2796</v>
      </c>
      <c r="G359" s="3" t="s">
        <v>1093</v>
      </c>
      <c r="H359" s="3" t="str">
        <f t="shared" si="6"/>
        <v>Output LT-SE0BSE Ballast from 3rd party DCS system.</v>
      </c>
    </row>
    <row r="360" spans="1:8" x14ac:dyDescent="0.25">
      <c r="A360" s="3" t="s">
        <v>6983</v>
      </c>
      <c r="B360" s="3" t="s">
        <v>6989</v>
      </c>
      <c r="C360" s="3" t="s">
        <v>6985</v>
      </c>
      <c r="D360" s="3" t="s">
        <v>6335</v>
      </c>
      <c r="E360" s="3">
        <v>359</v>
      </c>
      <c r="F360" s="3" t="s">
        <v>2797</v>
      </c>
      <c r="G360" s="3" t="s">
        <v>1093</v>
      </c>
      <c r="H360" s="3" t="str">
        <f t="shared" si="6"/>
        <v>Output LT-SE1TE Ballast from 3rd party DCS system.</v>
      </c>
    </row>
    <row r="361" spans="1:8" x14ac:dyDescent="0.25">
      <c r="A361" s="3" t="s">
        <v>6983</v>
      </c>
      <c r="B361" s="3" t="s">
        <v>6989</v>
      </c>
      <c r="C361" s="3" t="s">
        <v>6985</v>
      </c>
      <c r="D361" s="3" t="s">
        <v>6335</v>
      </c>
      <c r="E361" s="3">
        <v>360</v>
      </c>
      <c r="F361" s="3" t="s">
        <v>2798</v>
      </c>
      <c r="G361" s="3" t="s">
        <v>1093</v>
      </c>
      <c r="H361" s="3" t="str">
        <f t="shared" si="6"/>
        <v>Output LT-SE1TS Ballast from 3rd party DCS system.</v>
      </c>
    </row>
    <row r="362" spans="1:8" x14ac:dyDescent="0.25">
      <c r="A362" s="3" t="s">
        <v>6983</v>
      </c>
      <c r="B362" s="3" t="s">
        <v>6989</v>
      </c>
      <c r="C362" s="3" t="s">
        <v>6985</v>
      </c>
      <c r="D362" s="3" t="s">
        <v>6335</v>
      </c>
      <c r="E362" s="3">
        <v>361</v>
      </c>
      <c r="F362" s="3" t="s">
        <v>2799</v>
      </c>
      <c r="G362" s="3" t="s">
        <v>1093</v>
      </c>
      <c r="H362" s="3" t="str">
        <f t="shared" si="6"/>
        <v>Output LT-SE1VN Void from 3rd party DCS system.</v>
      </c>
    </row>
    <row r="363" spans="1:8" x14ac:dyDescent="0.25">
      <c r="A363" s="3" t="s">
        <v>6983</v>
      </c>
      <c r="B363" s="3" t="s">
        <v>6989</v>
      </c>
      <c r="C363" s="3" t="s">
        <v>6985</v>
      </c>
      <c r="D363" s="3" t="s">
        <v>6335</v>
      </c>
      <c r="E363" s="3">
        <v>362</v>
      </c>
      <c r="F363" s="3" t="s">
        <v>2800</v>
      </c>
      <c r="G363" s="3" t="s">
        <v>1093</v>
      </c>
      <c r="H363" s="3" t="str">
        <f t="shared" si="6"/>
        <v>Output LT-SE1VW Void from 3rd party DCS system.</v>
      </c>
    </row>
    <row r="364" spans="1:8" x14ac:dyDescent="0.25">
      <c r="A364" s="3" t="s">
        <v>6983</v>
      </c>
      <c r="B364" s="3" t="s">
        <v>6989</v>
      </c>
      <c r="C364" s="3" t="s">
        <v>6985</v>
      </c>
      <c r="D364" s="3" t="s">
        <v>6335</v>
      </c>
      <c r="E364" s="3">
        <v>363</v>
      </c>
      <c r="F364" s="3" t="s">
        <v>2801</v>
      </c>
      <c r="G364" s="3" t="s">
        <v>1093</v>
      </c>
      <c r="H364" s="3" t="str">
        <f t="shared" si="6"/>
        <v>Output LT-SE2VE Void from 3rd party DCS system.</v>
      </c>
    </row>
    <row r="365" spans="1:8" x14ac:dyDescent="0.25">
      <c r="A365" s="3" t="s">
        <v>6983</v>
      </c>
      <c r="B365" s="3" t="s">
        <v>6989</v>
      </c>
      <c r="C365" s="3" t="s">
        <v>6985</v>
      </c>
      <c r="D365" s="3" t="s">
        <v>6335</v>
      </c>
      <c r="E365" s="3">
        <v>364</v>
      </c>
      <c r="F365" s="3" t="s">
        <v>2802</v>
      </c>
      <c r="G365" s="3" t="s">
        <v>1093</v>
      </c>
      <c r="H365" s="3" t="str">
        <f t="shared" si="6"/>
        <v>Output LT-SE2VN Void from 3rd party DCS system.</v>
      </c>
    </row>
    <row r="366" spans="1:8" x14ac:dyDescent="0.25">
      <c r="A366" s="3" t="s">
        <v>6983</v>
      </c>
      <c r="B366" s="3" t="s">
        <v>6989</v>
      </c>
      <c r="C366" s="3" t="s">
        <v>6985</v>
      </c>
      <c r="D366" s="3" t="s">
        <v>6335</v>
      </c>
      <c r="E366" s="3">
        <v>365</v>
      </c>
      <c r="F366" s="3" t="s">
        <v>2803</v>
      </c>
      <c r="G366" s="3" t="s">
        <v>1093</v>
      </c>
      <c r="H366" s="3" t="str">
        <f t="shared" si="6"/>
        <v>Output LT-SE2VS Void from 3rd party DCS system.</v>
      </c>
    </row>
    <row r="367" spans="1:8" x14ac:dyDescent="0.25">
      <c r="A367" s="3" t="s">
        <v>6983</v>
      </c>
      <c r="B367" s="3" t="s">
        <v>6989</v>
      </c>
      <c r="C367" s="3" t="s">
        <v>6985</v>
      </c>
      <c r="D367" s="3" t="s">
        <v>6335</v>
      </c>
      <c r="E367" s="3">
        <v>366</v>
      </c>
      <c r="F367" s="3" t="s">
        <v>2804</v>
      </c>
      <c r="G367" s="3" t="s">
        <v>1093</v>
      </c>
      <c r="H367" s="3" t="str">
        <f t="shared" si="6"/>
        <v>Output LT-SE2VW Void from 3rd party DCS system.</v>
      </c>
    </row>
    <row r="368" spans="1:8" x14ac:dyDescent="0.25">
      <c r="A368" s="3" t="s">
        <v>6983</v>
      </c>
      <c r="B368" s="3" t="s">
        <v>6989</v>
      </c>
      <c r="C368" s="3" t="s">
        <v>6985</v>
      </c>
      <c r="D368" s="3" t="s">
        <v>6335</v>
      </c>
      <c r="E368" s="3">
        <v>367</v>
      </c>
      <c r="F368" s="3" t="s">
        <v>2805</v>
      </c>
      <c r="G368" s="3" t="s">
        <v>1093</v>
      </c>
      <c r="H368" s="3" t="str">
        <f t="shared" si="6"/>
        <v>Output LT-SEAEC Center Void from 3rd party DCS system.</v>
      </c>
    </row>
    <row r="369" spans="1:8" x14ac:dyDescent="0.25">
      <c r="A369" s="3" t="s">
        <v>6983</v>
      </c>
      <c r="B369" s="3" t="s">
        <v>6989</v>
      </c>
      <c r="C369" s="3" t="s">
        <v>6985</v>
      </c>
      <c r="D369" s="3" t="s">
        <v>6335</v>
      </c>
      <c r="E369" s="3">
        <v>368</v>
      </c>
      <c r="F369" s="3" t="s">
        <v>2806</v>
      </c>
      <c r="G369" s="3" t="s">
        <v>1093</v>
      </c>
      <c r="H369" s="3" t="str">
        <f t="shared" si="6"/>
        <v>Output LT-SPEB Ballast from 3rd party DCS system.</v>
      </c>
    </row>
    <row r="370" spans="1:8" x14ac:dyDescent="0.25">
      <c r="A370" s="3" t="s">
        <v>6983</v>
      </c>
      <c r="B370" s="3" t="s">
        <v>6989</v>
      </c>
      <c r="C370" s="3" t="s">
        <v>6985</v>
      </c>
      <c r="D370" s="3" t="s">
        <v>6335</v>
      </c>
      <c r="E370" s="3">
        <v>369</v>
      </c>
      <c r="F370" s="3" t="s">
        <v>2807</v>
      </c>
      <c r="G370" s="3" t="s">
        <v>1093</v>
      </c>
      <c r="H370" s="3" t="str">
        <f t="shared" si="6"/>
        <v>Output LT-SPWB Ballast from 3rd party DCS system.</v>
      </c>
    </row>
    <row r="371" spans="1:8" x14ac:dyDescent="0.25">
      <c r="A371" s="3" t="s">
        <v>6983</v>
      </c>
      <c r="B371" s="3" t="s">
        <v>6989</v>
      </c>
      <c r="C371" s="3" t="s">
        <v>6985</v>
      </c>
      <c r="D371" s="3" t="s">
        <v>6335</v>
      </c>
      <c r="E371" s="3">
        <v>370</v>
      </c>
      <c r="F371" s="3" t="s">
        <v>2808</v>
      </c>
      <c r="G371" s="3" t="s">
        <v>1093</v>
      </c>
      <c r="H371" s="3" t="str">
        <f t="shared" si="6"/>
        <v>Output LT-SW0BNE Ballast from 3rd party DCS system.</v>
      </c>
    </row>
    <row r="372" spans="1:8" x14ac:dyDescent="0.25">
      <c r="A372" s="3" t="s">
        <v>6983</v>
      </c>
      <c r="B372" s="3" t="s">
        <v>6989</v>
      </c>
      <c r="C372" s="3" t="s">
        <v>6985</v>
      </c>
      <c r="D372" s="3" t="s">
        <v>6335</v>
      </c>
      <c r="E372" s="3">
        <v>371</v>
      </c>
      <c r="F372" s="3" t="s">
        <v>2809</v>
      </c>
      <c r="G372" s="3" t="s">
        <v>1093</v>
      </c>
      <c r="H372" s="3" t="str">
        <f t="shared" si="6"/>
        <v>Output LT-SW0BSW Ballast from 3rd party DCS system.</v>
      </c>
    </row>
    <row r="373" spans="1:8" x14ac:dyDescent="0.25">
      <c r="A373" s="3" t="s">
        <v>6983</v>
      </c>
      <c r="B373" s="3" t="s">
        <v>6989</v>
      </c>
      <c r="C373" s="3" t="s">
        <v>6985</v>
      </c>
      <c r="D373" s="3" t="s">
        <v>6335</v>
      </c>
      <c r="E373" s="3">
        <v>372</v>
      </c>
      <c r="F373" s="3" t="s">
        <v>2810</v>
      </c>
      <c r="G373" s="3" t="s">
        <v>1093</v>
      </c>
      <c r="H373" s="3" t="str">
        <f t="shared" si="6"/>
        <v>Output LT-SW1TS Ballast from 3rd party DCS system.</v>
      </c>
    </row>
    <row r="374" spans="1:8" x14ac:dyDescent="0.25">
      <c r="A374" s="3" t="s">
        <v>6983</v>
      </c>
      <c r="B374" s="3" t="s">
        <v>6989</v>
      </c>
      <c r="C374" s="3" t="s">
        <v>6985</v>
      </c>
      <c r="D374" s="3" t="s">
        <v>6335</v>
      </c>
      <c r="E374" s="3">
        <v>373</v>
      </c>
      <c r="F374" s="3" t="s">
        <v>2811</v>
      </c>
      <c r="G374" s="3" t="s">
        <v>1093</v>
      </c>
      <c r="H374" s="3" t="str">
        <f t="shared" si="6"/>
        <v>Output LT-SW1TW Ballast from 3rd party DCS system.</v>
      </c>
    </row>
    <row r="375" spans="1:8" x14ac:dyDescent="0.25">
      <c r="A375" s="3" t="s">
        <v>6983</v>
      </c>
      <c r="B375" s="3" t="s">
        <v>6989</v>
      </c>
      <c r="C375" s="3" t="s">
        <v>6985</v>
      </c>
      <c r="D375" s="3" t="s">
        <v>6335</v>
      </c>
      <c r="E375" s="3">
        <v>374</v>
      </c>
      <c r="F375" s="3" t="s">
        <v>2812</v>
      </c>
      <c r="G375" s="3" t="s">
        <v>1093</v>
      </c>
      <c r="H375" s="3" t="str">
        <f t="shared" si="6"/>
        <v>Output LT-SW1VE Void from 3rd party DCS system.</v>
      </c>
    </row>
    <row r="376" spans="1:8" x14ac:dyDescent="0.25">
      <c r="A376" s="3" t="s">
        <v>6983</v>
      </c>
      <c r="B376" s="3" t="s">
        <v>6989</v>
      </c>
      <c r="C376" s="3" t="s">
        <v>6985</v>
      </c>
      <c r="D376" s="3" t="s">
        <v>6335</v>
      </c>
      <c r="E376" s="3">
        <v>375</v>
      </c>
      <c r="F376" s="3" t="s">
        <v>2813</v>
      </c>
      <c r="G376" s="3" t="s">
        <v>1093</v>
      </c>
      <c r="H376" s="3" t="str">
        <f t="shared" si="6"/>
        <v>Output LT-SW1VN Void from 3rd party DCS system.</v>
      </c>
    </row>
    <row r="377" spans="1:8" x14ac:dyDescent="0.25">
      <c r="A377" s="3" t="s">
        <v>6983</v>
      </c>
      <c r="B377" s="3" t="s">
        <v>6989</v>
      </c>
      <c r="C377" s="3" t="s">
        <v>6985</v>
      </c>
      <c r="D377" s="3" t="s">
        <v>6335</v>
      </c>
      <c r="E377" s="3">
        <v>376</v>
      </c>
      <c r="F377" s="3" t="s">
        <v>2814</v>
      </c>
      <c r="G377" s="3" t="s">
        <v>1093</v>
      </c>
      <c r="H377" s="3" t="str">
        <f t="shared" si="6"/>
        <v>Output LT-SW2VE Void from 3rd party DCS system.</v>
      </c>
    </row>
    <row r="378" spans="1:8" x14ac:dyDescent="0.25">
      <c r="A378" s="3" t="s">
        <v>6983</v>
      </c>
      <c r="B378" s="3" t="s">
        <v>6989</v>
      </c>
      <c r="C378" s="3" t="s">
        <v>6985</v>
      </c>
      <c r="D378" s="3" t="s">
        <v>6335</v>
      </c>
      <c r="E378" s="3">
        <v>377</v>
      </c>
      <c r="F378" s="3" t="s">
        <v>2815</v>
      </c>
      <c r="G378" s="3" t="s">
        <v>1093</v>
      </c>
      <c r="H378" s="3" t="str">
        <f t="shared" si="6"/>
        <v>Output LT-SW2VN Void from 3rd party DCS system.</v>
      </c>
    </row>
    <row r="379" spans="1:8" x14ac:dyDescent="0.25">
      <c r="A379" s="3" t="s">
        <v>6983</v>
      </c>
      <c r="B379" s="3" t="s">
        <v>6989</v>
      </c>
      <c r="C379" s="3" t="s">
        <v>6985</v>
      </c>
      <c r="D379" s="3" t="s">
        <v>6335</v>
      </c>
      <c r="E379" s="3">
        <v>378</v>
      </c>
      <c r="F379" s="3" t="s">
        <v>2816</v>
      </c>
      <c r="G379" s="3" t="s">
        <v>1093</v>
      </c>
      <c r="H379" s="3" t="str">
        <f t="shared" si="6"/>
        <v>Output LT-SW2VS Void from 3rd party DCS system.</v>
      </c>
    </row>
    <row r="380" spans="1:8" x14ac:dyDescent="0.25">
      <c r="A380" s="3" t="s">
        <v>6983</v>
      </c>
      <c r="B380" s="3" t="s">
        <v>6989</v>
      </c>
      <c r="C380" s="3" t="s">
        <v>6985</v>
      </c>
      <c r="D380" s="3" t="s">
        <v>6335</v>
      </c>
      <c r="E380" s="3">
        <v>379</v>
      </c>
      <c r="F380" s="3" t="s">
        <v>2817</v>
      </c>
      <c r="G380" s="3" t="s">
        <v>1093</v>
      </c>
      <c r="H380" s="3" t="str">
        <f t="shared" si="6"/>
        <v>Output LT-SW2VW Void from 3rd party DCS system.</v>
      </c>
    </row>
    <row r="381" spans="1:8" x14ac:dyDescent="0.25">
      <c r="A381" s="3" t="s">
        <v>6983</v>
      </c>
      <c r="B381" s="3" t="s">
        <v>6989</v>
      </c>
      <c r="C381" s="3" t="s">
        <v>6985</v>
      </c>
      <c r="D381" s="3" t="s">
        <v>6335</v>
      </c>
      <c r="E381" s="3">
        <v>380</v>
      </c>
      <c r="F381" s="3" t="s">
        <v>2818</v>
      </c>
      <c r="G381" s="3" t="s">
        <v>1093</v>
      </c>
      <c r="H381" s="3" t="str">
        <f t="shared" si="6"/>
        <v>Output LT-SWAEC Center Void from 3rd party DCS system.</v>
      </c>
    </row>
    <row r="382" spans="1:8" x14ac:dyDescent="0.25">
      <c r="A382" s="3" t="s">
        <v>6983</v>
      </c>
      <c r="B382" s="3" t="s">
        <v>6989</v>
      </c>
      <c r="C382" s="3" t="s">
        <v>6985</v>
      </c>
      <c r="D382" s="3" t="s">
        <v>6335</v>
      </c>
      <c r="E382" s="3">
        <v>381</v>
      </c>
      <c r="F382" s="3" t="s">
        <v>2819</v>
      </c>
      <c r="G382" s="3" t="s">
        <v>1093</v>
      </c>
      <c r="H382" s="3" t="str">
        <f t="shared" si="6"/>
        <v>Output LT-WPNB Ballast from 3rd party DCS system.</v>
      </c>
    </row>
    <row r="383" spans="1:8" x14ac:dyDescent="0.25">
      <c r="A383" s="3" t="s">
        <v>6983</v>
      </c>
      <c r="B383" s="3" t="s">
        <v>6989</v>
      </c>
      <c r="C383" s="3" t="s">
        <v>6985</v>
      </c>
      <c r="D383" s="3" t="s">
        <v>6335</v>
      </c>
      <c r="E383" s="3">
        <v>382</v>
      </c>
      <c r="F383" s="3" t="s">
        <v>2820</v>
      </c>
      <c r="G383" s="3" t="s">
        <v>1093</v>
      </c>
      <c r="H383" s="3" t="str">
        <f t="shared" si="6"/>
        <v>Output LT-WPSB Ballast from 3rd party DCS system.</v>
      </c>
    </row>
    <row r="384" spans="1:8" x14ac:dyDescent="0.25">
      <c r="A384" s="3" t="s">
        <v>6983</v>
      </c>
      <c r="B384" s="3" t="s">
        <v>6989</v>
      </c>
      <c r="C384" s="3" t="s">
        <v>6985</v>
      </c>
      <c r="D384" s="3" t="s">
        <v>6335</v>
      </c>
      <c r="E384" s="3">
        <v>383</v>
      </c>
      <c r="F384" s="3" t="s">
        <v>2821</v>
      </c>
      <c r="G384" s="3" t="s">
        <v>16</v>
      </c>
      <c r="H384" s="3" t="str">
        <f t="shared" si="6"/>
        <v>Output DCS Watchdog Counter from 3rd party DCS system.</v>
      </c>
    </row>
    <row r="385" spans="1:8" x14ac:dyDescent="0.25">
      <c r="A385" s="3" t="s">
        <v>6983</v>
      </c>
      <c r="B385" s="3" t="s">
        <v>6989</v>
      </c>
      <c r="C385" s="3" t="s">
        <v>6985</v>
      </c>
      <c r="D385" s="3" t="s">
        <v>6336</v>
      </c>
      <c r="E385" s="3">
        <v>384</v>
      </c>
      <c r="F385" s="3" t="s">
        <v>2822</v>
      </c>
      <c r="G385" s="3" t="s">
        <v>1093</v>
      </c>
      <c r="H385" s="3" t="str">
        <f>_xlfn.CONCAT("Alarm limit for ",F385, ".")</f>
        <v>Alarm limit for LT-EPNB Ballast Hi.</v>
      </c>
    </row>
    <row r="386" spans="1:8" x14ac:dyDescent="0.25">
      <c r="A386" s="3" t="s">
        <v>6983</v>
      </c>
      <c r="B386" s="3" t="s">
        <v>6989</v>
      </c>
      <c r="C386" s="3" t="s">
        <v>6985</v>
      </c>
      <c r="D386" s="3" t="s">
        <v>6336</v>
      </c>
      <c r="E386" s="3">
        <v>385</v>
      </c>
      <c r="F386" s="3" t="s">
        <v>2823</v>
      </c>
      <c r="G386" s="3" t="s">
        <v>1093</v>
      </c>
      <c r="H386" s="3" t="str">
        <f t="shared" ref="H386:H449" si="7">_xlfn.CONCAT("Alarm limit for ",F386, ".")</f>
        <v>Alarm limit for LT-EPSB Ballast Hi.</v>
      </c>
    </row>
    <row r="387" spans="1:8" x14ac:dyDescent="0.25">
      <c r="A387" s="3" t="s">
        <v>6983</v>
      </c>
      <c r="B387" s="3" t="s">
        <v>6989</v>
      </c>
      <c r="C387" s="3" t="s">
        <v>6985</v>
      </c>
      <c r="D387" s="3" t="s">
        <v>6336</v>
      </c>
      <c r="E387" s="3">
        <v>386</v>
      </c>
      <c r="F387" s="3" t="s">
        <v>2824</v>
      </c>
      <c r="G387" s="3" t="s">
        <v>1093</v>
      </c>
      <c r="H387" s="3" t="str">
        <f t="shared" si="7"/>
        <v>Alarm limit for LT-NE0BNE Ballast Hi.</v>
      </c>
    </row>
    <row r="388" spans="1:8" x14ac:dyDescent="0.25">
      <c r="A388" s="3" t="s">
        <v>6983</v>
      </c>
      <c r="B388" s="3" t="s">
        <v>6989</v>
      </c>
      <c r="C388" s="3" t="s">
        <v>6985</v>
      </c>
      <c r="D388" s="3" t="s">
        <v>6336</v>
      </c>
      <c r="E388" s="3">
        <v>387</v>
      </c>
      <c r="F388" s="3" t="s">
        <v>2825</v>
      </c>
      <c r="G388" s="3" t="s">
        <v>1093</v>
      </c>
      <c r="H388" s="3" t="str">
        <f t="shared" si="7"/>
        <v>Alarm limit for LT-NE0BSW Ballast Hi.</v>
      </c>
    </row>
    <row r="389" spans="1:8" x14ac:dyDescent="0.25">
      <c r="A389" s="3" t="s">
        <v>6983</v>
      </c>
      <c r="B389" s="3" t="s">
        <v>6989</v>
      </c>
      <c r="C389" s="3" t="s">
        <v>6985</v>
      </c>
      <c r="D389" s="3" t="s">
        <v>6336</v>
      </c>
      <c r="E389" s="3">
        <v>388</v>
      </c>
      <c r="F389" s="3" t="s">
        <v>2826</v>
      </c>
      <c r="G389" s="3" t="s">
        <v>1093</v>
      </c>
      <c r="H389" s="3" t="str">
        <f t="shared" si="7"/>
        <v>Alarm limit for LT-NE1TE Ballast Hi.</v>
      </c>
    </row>
    <row r="390" spans="1:8" x14ac:dyDescent="0.25">
      <c r="A390" s="3" t="s">
        <v>6983</v>
      </c>
      <c r="B390" s="3" t="s">
        <v>6989</v>
      </c>
      <c r="C390" s="3" t="s">
        <v>6985</v>
      </c>
      <c r="D390" s="3" t="s">
        <v>6336</v>
      </c>
      <c r="E390" s="3">
        <v>389</v>
      </c>
      <c r="F390" s="3" t="s">
        <v>2827</v>
      </c>
      <c r="G390" s="3" t="s">
        <v>1093</v>
      </c>
      <c r="H390" s="3" t="str">
        <f t="shared" si="7"/>
        <v>Alarm limit for LT-NE1TN_Ballast Hi.</v>
      </c>
    </row>
    <row r="391" spans="1:8" x14ac:dyDescent="0.25">
      <c r="A391" s="3" t="s">
        <v>6983</v>
      </c>
      <c r="B391" s="3" t="s">
        <v>6989</v>
      </c>
      <c r="C391" s="3" t="s">
        <v>6985</v>
      </c>
      <c r="D391" s="3" t="s">
        <v>6336</v>
      </c>
      <c r="E391" s="3">
        <v>390</v>
      </c>
      <c r="F391" s="3" t="s">
        <v>2828</v>
      </c>
      <c r="G391" s="3" t="s">
        <v>1093</v>
      </c>
      <c r="H391" s="3" t="str">
        <f t="shared" si="7"/>
        <v>Alarm limit for LT-NPEB Ballast Hi.</v>
      </c>
    </row>
    <row r="392" spans="1:8" x14ac:dyDescent="0.25">
      <c r="A392" s="3" t="s">
        <v>6983</v>
      </c>
      <c r="B392" s="3" t="s">
        <v>6989</v>
      </c>
      <c r="C392" s="3" t="s">
        <v>6985</v>
      </c>
      <c r="D392" s="3" t="s">
        <v>6336</v>
      </c>
      <c r="E392" s="3">
        <v>391</v>
      </c>
      <c r="F392" s="3" t="s">
        <v>2829</v>
      </c>
      <c r="G392" s="3" t="s">
        <v>1093</v>
      </c>
      <c r="H392" s="3" t="str">
        <f t="shared" si="7"/>
        <v>Alarm limit for LT-NPWB Ballast Hi.</v>
      </c>
    </row>
    <row r="393" spans="1:8" x14ac:dyDescent="0.25">
      <c r="A393" s="3" t="s">
        <v>6983</v>
      </c>
      <c r="B393" s="3" t="s">
        <v>6989</v>
      </c>
      <c r="C393" s="3" t="s">
        <v>6985</v>
      </c>
      <c r="D393" s="3" t="s">
        <v>6336</v>
      </c>
      <c r="E393" s="3">
        <v>392</v>
      </c>
      <c r="F393" s="3" t="s">
        <v>2830</v>
      </c>
      <c r="G393" s="3" t="s">
        <v>1093</v>
      </c>
      <c r="H393" s="3" t="str">
        <f t="shared" si="7"/>
        <v>Alarm limit for LT-NW0BNW Ballast Hi.</v>
      </c>
    </row>
    <row r="394" spans="1:8" x14ac:dyDescent="0.25">
      <c r="A394" s="3" t="s">
        <v>6983</v>
      </c>
      <c r="B394" s="3" t="s">
        <v>6989</v>
      </c>
      <c r="C394" s="3" t="s">
        <v>6985</v>
      </c>
      <c r="D394" s="3" t="s">
        <v>6336</v>
      </c>
      <c r="E394" s="3">
        <v>393</v>
      </c>
      <c r="F394" s="3" t="s">
        <v>2831</v>
      </c>
      <c r="G394" s="3" t="s">
        <v>1093</v>
      </c>
      <c r="H394" s="3" t="str">
        <f t="shared" si="7"/>
        <v>Alarm limit for LT-NW0BSE Ballast Hi.</v>
      </c>
    </row>
    <row r="395" spans="1:8" x14ac:dyDescent="0.25">
      <c r="A395" s="3" t="s">
        <v>6983</v>
      </c>
      <c r="B395" s="3" t="s">
        <v>6989</v>
      </c>
      <c r="C395" s="3" t="s">
        <v>6985</v>
      </c>
      <c r="D395" s="3" t="s">
        <v>6336</v>
      </c>
      <c r="E395" s="3">
        <v>394</v>
      </c>
      <c r="F395" s="3" t="s">
        <v>2832</v>
      </c>
      <c r="G395" s="3" t="s">
        <v>1093</v>
      </c>
      <c r="H395" s="3" t="str">
        <f t="shared" si="7"/>
        <v>Alarm limit for LT-NW1TN Ballast Hi.</v>
      </c>
    </row>
    <row r="396" spans="1:8" x14ac:dyDescent="0.25">
      <c r="A396" s="3" t="s">
        <v>6983</v>
      </c>
      <c r="B396" s="3" t="s">
        <v>6989</v>
      </c>
      <c r="C396" s="3" t="s">
        <v>6985</v>
      </c>
      <c r="D396" s="3" t="s">
        <v>6336</v>
      </c>
      <c r="E396" s="3">
        <v>395</v>
      </c>
      <c r="F396" s="3" t="s">
        <v>2833</v>
      </c>
      <c r="G396" s="3" t="s">
        <v>1093</v>
      </c>
      <c r="H396" s="3" t="str">
        <f t="shared" si="7"/>
        <v>Alarm limit for LT-NW1TW Ballast Hi.</v>
      </c>
    </row>
    <row r="397" spans="1:8" x14ac:dyDescent="0.25">
      <c r="A397" s="3" t="s">
        <v>6983</v>
      </c>
      <c r="B397" s="3" t="s">
        <v>6989</v>
      </c>
      <c r="C397" s="3" t="s">
        <v>6985</v>
      </c>
      <c r="D397" s="3" t="s">
        <v>6336</v>
      </c>
      <c r="E397" s="3">
        <v>396</v>
      </c>
      <c r="F397" s="3" t="s">
        <v>2834</v>
      </c>
      <c r="G397" s="3" t="s">
        <v>1093</v>
      </c>
      <c r="H397" s="3" t="str">
        <f t="shared" si="7"/>
        <v>Alarm limit for LT-SE0BNW Ballast Hi.</v>
      </c>
    </row>
    <row r="398" spans="1:8" x14ac:dyDescent="0.25">
      <c r="A398" s="3" t="s">
        <v>6983</v>
      </c>
      <c r="B398" s="3" t="s">
        <v>6989</v>
      </c>
      <c r="C398" s="3" t="s">
        <v>6985</v>
      </c>
      <c r="D398" s="3" t="s">
        <v>6336</v>
      </c>
      <c r="E398" s="3">
        <v>397</v>
      </c>
      <c r="F398" s="3" t="s">
        <v>2835</v>
      </c>
      <c r="G398" s="3" t="s">
        <v>1093</v>
      </c>
      <c r="H398" s="3" t="str">
        <f t="shared" si="7"/>
        <v>Alarm limit for LT-SE0BSE Ballast Hi.</v>
      </c>
    </row>
    <row r="399" spans="1:8" x14ac:dyDescent="0.25">
      <c r="A399" s="3" t="s">
        <v>6983</v>
      </c>
      <c r="B399" s="3" t="s">
        <v>6989</v>
      </c>
      <c r="C399" s="3" t="s">
        <v>6985</v>
      </c>
      <c r="D399" s="3" t="s">
        <v>6336</v>
      </c>
      <c r="E399" s="3">
        <v>398</v>
      </c>
      <c r="F399" s="3" t="s">
        <v>2836</v>
      </c>
      <c r="G399" s="3" t="s">
        <v>1093</v>
      </c>
      <c r="H399" s="3" t="str">
        <f t="shared" si="7"/>
        <v>Alarm limit for LT-SE1TE Ballast Hi.</v>
      </c>
    </row>
    <row r="400" spans="1:8" x14ac:dyDescent="0.25">
      <c r="A400" s="3" t="s">
        <v>6983</v>
      </c>
      <c r="B400" s="3" t="s">
        <v>6989</v>
      </c>
      <c r="C400" s="3" t="s">
        <v>6985</v>
      </c>
      <c r="D400" s="3" t="s">
        <v>6336</v>
      </c>
      <c r="E400" s="3">
        <v>399</v>
      </c>
      <c r="F400" s="3" t="s">
        <v>2837</v>
      </c>
      <c r="G400" s="3" t="s">
        <v>1093</v>
      </c>
      <c r="H400" s="3" t="str">
        <f t="shared" si="7"/>
        <v>Alarm limit for LT-SE1TS Ballast Hi.</v>
      </c>
    </row>
    <row r="401" spans="1:8" x14ac:dyDescent="0.25">
      <c r="A401" s="3" t="s">
        <v>6983</v>
      </c>
      <c r="B401" s="3" t="s">
        <v>6989</v>
      </c>
      <c r="C401" s="3" t="s">
        <v>6985</v>
      </c>
      <c r="D401" s="3" t="s">
        <v>6336</v>
      </c>
      <c r="E401" s="3">
        <v>400</v>
      </c>
      <c r="F401" s="3" t="s">
        <v>2838</v>
      </c>
      <c r="G401" s="3" t="s">
        <v>1093</v>
      </c>
      <c r="H401" s="3" t="str">
        <f t="shared" si="7"/>
        <v>Alarm limit for LT-SPEB Ballast Hi.</v>
      </c>
    </row>
    <row r="402" spans="1:8" x14ac:dyDescent="0.25">
      <c r="A402" s="3" t="s">
        <v>6983</v>
      </c>
      <c r="B402" s="3" t="s">
        <v>6989</v>
      </c>
      <c r="C402" s="3" t="s">
        <v>6985</v>
      </c>
      <c r="D402" s="3" t="s">
        <v>6336</v>
      </c>
      <c r="E402" s="3">
        <v>401</v>
      </c>
      <c r="F402" s="3" t="s">
        <v>2839</v>
      </c>
      <c r="G402" s="3" t="s">
        <v>1093</v>
      </c>
      <c r="H402" s="3" t="str">
        <f t="shared" si="7"/>
        <v>Alarm limit for LT-SPWB Ballast Hi.</v>
      </c>
    </row>
    <row r="403" spans="1:8" x14ac:dyDescent="0.25">
      <c r="A403" s="3" t="s">
        <v>6983</v>
      </c>
      <c r="B403" s="3" t="s">
        <v>6989</v>
      </c>
      <c r="C403" s="3" t="s">
        <v>6985</v>
      </c>
      <c r="D403" s="3" t="s">
        <v>6336</v>
      </c>
      <c r="E403" s="3">
        <v>402</v>
      </c>
      <c r="F403" s="3" t="s">
        <v>2840</v>
      </c>
      <c r="G403" s="3" t="s">
        <v>1093</v>
      </c>
      <c r="H403" s="3" t="str">
        <f t="shared" si="7"/>
        <v>Alarm limit for LT-SW0BNE Ballast Hi.</v>
      </c>
    </row>
    <row r="404" spans="1:8" x14ac:dyDescent="0.25">
      <c r="A404" s="3" t="s">
        <v>6983</v>
      </c>
      <c r="B404" s="3" t="s">
        <v>6989</v>
      </c>
      <c r="C404" s="3" t="s">
        <v>6985</v>
      </c>
      <c r="D404" s="3" t="s">
        <v>6336</v>
      </c>
      <c r="E404" s="3">
        <v>403</v>
      </c>
      <c r="F404" s="3" t="s">
        <v>2841</v>
      </c>
      <c r="G404" s="3" t="s">
        <v>1093</v>
      </c>
      <c r="H404" s="3" t="str">
        <f t="shared" si="7"/>
        <v>Alarm limit for LT-SW0BSW Ballast Hi.</v>
      </c>
    </row>
    <row r="405" spans="1:8" x14ac:dyDescent="0.25">
      <c r="A405" s="3" t="s">
        <v>6983</v>
      </c>
      <c r="B405" s="3" t="s">
        <v>6989</v>
      </c>
      <c r="C405" s="3" t="s">
        <v>6985</v>
      </c>
      <c r="D405" s="3" t="s">
        <v>6336</v>
      </c>
      <c r="E405" s="3">
        <v>404</v>
      </c>
      <c r="F405" s="3" t="s">
        <v>2842</v>
      </c>
      <c r="G405" s="3" t="s">
        <v>1093</v>
      </c>
      <c r="H405" s="3" t="str">
        <f t="shared" si="7"/>
        <v>Alarm limit for LT-SW1TS Ballast Hi.</v>
      </c>
    </row>
    <row r="406" spans="1:8" x14ac:dyDescent="0.25">
      <c r="A406" s="3" t="s">
        <v>6983</v>
      </c>
      <c r="B406" s="3" t="s">
        <v>6989</v>
      </c>
      <c r="C406" s="3" t="s">
        <v>6985</v>
      </c>
      <c r="D406" s="3" t="s">
        <v>6336</v>
      </c>
      <c r="E406" s="3">
        <v>405</v>
      </c>
      <c r="F406" s="3" t="s">
        <v>2843</v>
      </c>
      <c r="G406" s="3" t="s">
        <v>1093</v>
      </c>
      <c r="H406" s="3" t="str">
        <f t="shared" si="7"/>
        <v>Alarm limit for LT-SW1TW Ballast Hi.</v>
      </c>
    </row>
    <row r="407" spans="1:8" x14ac:dyDescent="0.25">
      <c r="A407" s="3" t="s">
        <v>6983</v>
      </c>
      <c r="B407" s="3" t="s">
        <v>6989</v>
      </c>
      <c r="C407" s="3" t="s">
        <v>6985</v>
      </c>
      <c r="D407" s="3" t="s">
        <v>6336</v>
      </c>
      <c r="E407" s="3">
        <v>406</v>
      </c>
      <c r="F407" s="3" t="s">
        <v>2844</v>
      </c>
      <c r="G407" s="3" t="s">
        <v>1093</v>
      </c>
      <c r="H407" s="3" t="str">
        <f t="shared" si="7"/>
        <v>Alarm limit for LT-WPNB Ballast Hi.</v>
      </c>
    </row>
    <row r="408" spans="1:8" x14ac:dyDescent="0.25">
      <c r="A408" s="3" t="s">
        <v>6983</v>
      </c>
      <c r="B408" s="3" t="s">
        <v>6989</v>
      </c>
      <c r="C408" s="3" t="s">
        <v>6985</v>
      </c>
      <c r="D408" s="3" t="s">
        <v>6336</v>
      </c>
      <c r="E408" s="3">
        <v>407</v>
      </c>
      <c r="F408" s="3" t="s">
        <v>2845</v>
      </c>
      <c r="G408" s="3" t="s">
        <v>1093</v>
      </c>
      <c r="H408" s="3" t="str">
        <f t="shared" si="7"/>
        <v>Alarm limit for LT-WPSB Ballast Hi.</v>
      </c>
    </row>
    <row r="409" spans="1:8" x14ac:dyDescent="0.25">
      <c r="A409" s="3" t="s">
        <v>6983</v>
      </c>
      <c r="B409" s="3" t="s">
        <v>6989</v>
      </c>
      <c r="C409" s="3" t="s">
        <v>6985</v>
      </c>
      <c r="D409" s="3" t="s">
        <v>6336</v>
      </c>
      <c r="E409" s="3">
        <v>408</v>
      </c>
      <c r="F409" s="3" t="s">
        <v>2846</v>
      </c>
      <c r="G409" s="3" t="s">
        <v>1097</v>
      </c>
      <c r="H409" s="3" t="str">
        <f t="shared" si="7"/>
        <v>Alarm limit for LT-5160A1 Methanol Hi.</v>
      </c>
    </row>
    <row r="410" spans="1:8" x14ac:dyDescent="0.25">
      <c r="A410" s="3" t="s">
        <v>6983</v>
      </c>
      <c r="B410" s="3" t="s">
        <v>6989</v>
      </c>
      <c r="C410" s="3" t="s">
        <v>6985</v>
      </c>
      <c r="D410" s="3" t="s">
        <v>6336</v>
      </c>
      <c r="E410" s="3">
        <v>409</v>
      </c>
      <c r="F410" s="3" t="s">
        <v>2847</v>
      </c>
      <c r="G410" s="3" t="s">
        <v>1097</v>
      </c>
      <c r="H410" s="3" t="str">
        <f t="shared" si="7"/>
        <v>Alarm limit for LT-5161A1 Methanol Hi.</v>
      </c>
    </row>
    <row r="411" spans="1:8" x14ac:dyDescent="0.25">
      <c r="A411" s="3" t="s">
        <v>6983</v>
      </c>
      <c r="B411" s="3" t="s">
        <v>6989</v>
      </c>
      <c r="C411" s="3" t="s">
        <v>6985</v>
      </c>
      <c r="D411" s="3" t="s">
        <v>6336</v>
      </c>
      <c r="E411" s="3">
        <v>410</v>
      </c>
      <c r="F411" s="3" t="s">
        <v>2848</v>
      </c>
      <c r="G411" s="3" t="s">
        <v>1097</v>
      </c>
      <c r="H411" s="3" t="str">
        <f t="shared" si="7"/>
        <v>Alarm limit for LT-5360A1 Diesel Tnk Hi.</v>
      </c>
    </row>
    <row r="412" spans="1:8" x14ac:dyDescent="0.25">
      <c r="A412" s="3" t="s">
        <v>6983</v>
      </c>
      <c r="B412" s="3" t="s">
        <v>6989</v>
      </c>
      <c r="C412" s="3" t="s">
        <v>6985</v>
      </c>
      <c r="D412" s="3" t="s">
        <v>6336</v>
      </c>
      <c r="E412" s="3">
        <v>411</v>
      </c>
      <c r="F412" s="3" t="s">
        <v>2849</v>
      </c>
      <c r="G412" s="3" t="s">
        <v>1097</v>
      </c>
      <c r="H412" s="3" t="str">
        <f t="shared" si="7"/>
        <v>Alarm limit for LT-5460A1 Drill Water Hi.</v>
      </c>
    </row>
    <row r="413" spans="1:8" x14ac:dyDescent="0.25">
      <c r="A413" s="3" t="s">
        <v>6983</v>
      </c>
      <c r="B413" s="3" t="s">
        <v>6989</v>
      </c>
      <c r="C413" s="3" t="s">
        <v>6985</v>
      </c>
      <c r="D413" s="3" t="s">
        <v>6336</v>
      </c>
      <c r="E413" s="3">
        <v>412</v>
      </c>
      <c r="F413" s="3" t="s">
        <v>2850</v>
      </c>
      <c r="G413" s="3" t="s">
        <v>1093</v>
      </c>
      <c r="H413" s="3" t="str">
        <f t="shared" si="7"/>
        <v>Alarm limit for LT_NE1VS Void Hi.</v>
      </c>
    </row>
    <row r="414" spans="1:8" x14ac:dyDescent="0.25">
      <c r="A414" s="3" t="s">
        <v>6983</v>
      </c>
      <c r="B414" s="3" t="s">
        <v>6989</v>
      </c>
      <c r="C414" s="3" t="s">
        <v>6985</v>
      </c>
      <c r="D414" s="3" t="s">
        <v>6336</v>
      </c>
      <c r="E414" s="3">
        <v>413</v>
      </c>
      <c r="F414" s="3" t="s">
        <v>2851</v>
      </c>
      <c r="G414" s="3" t="s">
        <v>1093</v>
      </c>
      <c r="H414" s="3" t="str">
        <f t="shared" si="7"/>
        <v>Alarm limit for LT_NE1VW Void Hi.</v>
      </c>
    </row>
    <row r="415" spans="1:8" x14ac:dyDescent="0.25">
      <c r="A415" s="3" t="s">
        <v>6983</v>
      </c>
      <c r="B415" s="3" t="s">
        <v>6989</v>
      </c>
      <c r="C415" s="3" t="s">
        <v>6985</v>
      </c>
      <c r="D415" s="3" t="s">
        <v>6336</v>
      </c>
      <c r="E415" s="3">
        <v>414</v>
      </c>
      <c r="F415" s="3" t="s">
        <v>2852</v>
      </c>
      <c r="G415" s="3" t="s">
        <v>1093</v>
      </c>
      <c r="H415" s="3" t="str">
        <f t="shared" si="7"/>
        <v>Alarm limit for LT_NE2VE Void Hi.</v>
      </c>
    </row>
    <row r="416" spans="1:8" x14ac:dyDescent="0.25">
      <c r="A416" s="3" t="s">
        <v>6983</v>
      </c>
      <c r="B416" s="3" t="s">
        <v>6989</v>
      </c>
      <c r="C416" s="3" t="s">
        <v>6985</v>
      </c>
      <c r="D416" s="3" t="s">
        <v>6336</v>
      </c>
      <c r="E416" s="3">
        <v>415</v>
      </c>
      <c r="F416" s="3" t="s">
        <v>2853</v>
      </c>
      <c r="G416" s="3" t="s">
        <v>1093</v>
      </c>
      <c r="H416" s="3" t="str">
        <f t="shared" si="7"/>
        <v>Alarm limit for LT_NE2VN Void Hi.</v>
      </c>
    </row>
    <row r="417" spans="1:8" x14ac:dyDescent="0.25">
      <c r="A417" s="3" t="s">
        <v>6983</v>
      </c>
      <c r="B417" s="3" t="s">
        <v>6989</v>
      </c>
      <c r="C417" s="3" t="s">
        <v>6985</v>
      </c>
      <c r="D417" s="3" t="s">
        <v>6336</v>
      </c>
      <c r="E417" s="3">
        <v>416</v>
      </c>
      <c r="F417" s="3" t="s">
        <v>2854</v>
      </c>
      <c r="G417" s="3" t="s">
        <v>1093</v>
      </c>
      <c r="H417" s="3" t="str">
        <f t="shared" si="7"/>
        <v>Alarm limit for LT_NE2VS Void Hi.</v>
      </c>
    </row>
    <row r="418" spans="1:8" x14ac:dyDescent="0.25">
      <c r="A418" s="3" t="s">
        <v>6983</v>
      </c>
      <c r="B418" s="3" t="s">
        <v>6989</v>
      </c>
      <c r="C418" s="3" t="s">
        <v>6985</v>
      </c>
      <c r="D418" s="3" t="s">
        <v>6336</v>
      </c>
      <c r="E418" s="3">
        <v>417</v>
      </c>
      <c r="F418" s="3" t="s">
        <v>2855</v>
      </c>
      <c r="G418" s="3" t="s">
        <v>1093</v>
      </c>
      <c r="H418" s="3" t="str">
        <f t="shared" si="7"/>
        <v>Alarm limit for LT_NE2VW Void Hi.</v>
      </c>
    </row>
    <row r="419" spans="1:8" x14ac:dyDescent="0.25">
      <c r="A419" s="3" t="s">
        <v>6983</v>
      </c>
      <c r="B419" s="3" t="s">
        <v>6989</v>
      </c>
      <c r="C419" s="3" t="s">
        <v>6985</v>
      </c>
      <c r="D419" s="3" t="s">
        <v>6336</v>
      </c>
      <c r="E419" s="3">
        <v>418</v>
      </c>
      <c r="F419" s="3" t="s">
        <v>2856</v>
      </c>
      <c r="G419" s="3" t="s">
        <v>1093</v>
      </c>
      <c r="H419" s="3" t="str">
        <f t="shared" si="7"/>
        <v>Alarm limit for LT_NEAEC Void Hi.</v>
      </c>
    </row>
    <row r="420" spans="1:8" x14ac:dyDescent="0.25">
      <c r="A420" s="3" t="s">
        <v>6983</v>
      </c>
      <c r="B420" s="3" t="s">
        <v>6989</v>
      </c>
      <c r="C420" s="3" t="s">
        <v>6985</v>
      </c>
      <c r="D420" s="3" t="s">
        <v>6336</v>
      </c>
      <c r="E420" s="3">
        <v>419</v>
      </c>
      <c r="F420" s="3" t="s">
        <v>2857</v>
      </c>
      <c r="G420" s="3" t="s">
        <v>1093</v>
      </c>
      <c r="H420" s="3" t="str">
        <f t="shared" si="7"/>
        <v>Alarm limit for LT_NW1VE Void Hi.</v>
      </c>
    </row>
    <row r="421" spans="1:8" x14ac:dyDescent="0.25">
      <c r="A421" s="3" t="s">
        <v>6983</v>
      </c>
      <c r="B421" s="3" t="s">
        <v>6989</v>
      </c>
      <c r="C421" s="3" t="s">
        <v>6985</v>
      </c>
      <c r="D421" s="3" t="s">
        <v>6336</v>
      </c>
      <c r="E421" s="3">
        <v>420</v>
      </c>
      <c r="F421" s="3" t="s">
        <v>2858</v>
      </c>
      <c r="G421" s="3" t="s">
        <v>1093</v>
      </c>
      <c r="H421" s="3" t="str">
        <f t="shared" si="7"/>
        <v>Alarm limit for LT_NW1VS Void Hi.</v>
      </c>
    </row>
    <row r="422" spans="1:8" x14ac:dyDescent="0.25">
      <c r="A422" s="3" t="s">
        <v>6983</v>
      </c>
      <c r="B422" s="3" t="s">
        <v>6989</v>
      </c>
      <c r="C422" s="3" t="s">
        <v>6985</v>
      </c>
      <c r="D422" s="3" t="s">
        <v>6336</v>
      </c>
      <c r="E422" s="3">
        <v>421</v>
      </c>
      <c r="F422" s="3" t="s">
        <v>2859</v>
      </c>
      <c r="G422" s="3" t="s">
        <v>1093</v>
      </c>
      <c r="H422" s="3" t="str">
        <f t="shared" si="7"/>
        <v>Alarm limit for LT_NW2VE Void Hi.</v>
      </c>
    </row>
    <row r="423" spans="1:8" x14ac:dyDescent="0.25">
      <c r="A423" s="3" t="s">
        <v>6983</v>
      </c>
      <c r="B423" s="3" t="s">
        <v>6989</v>
      </c>
      <c r="C423" s="3" t="s">
        <v>6985</v>
      </c>
      <c r="D423" s="3" t="s">
        <v>6336</v>
      </c>
      <c r="E423" s="3">
        <v>422</v>
      </c>
      <c r="F423" s="3" t="s">
        <v>2860</v>
      </c>
      <c r="G423" s="3" t="s">
        <v>1093</v>
      </c>
      <c r="H423" s="3" t="str">
        <f t="shared" si="7"/>
        <v>Alarm limit for LT_NW2VN Void Hi.</v>
      </c>
    </row>
    <row r="424" spans="1:8" x14ac:dyDescent="0.25">
      <c r="A424" s="3" t="s">
        <v>6983</v>
      </c>
      <c r="B424" s="3" t="s">
        <v>6989</v>
      </c>
      <c r="C424" s="3" t="s">
        <v>6985</v>
      </c>
      <c r="D424" s="3" t="s">
        <v>6336</v>
      </c>
      <c r="E424" s="3">
        <v>423</v>
      </c>
      <c r="F424" s="3" t="s">
        <v>2861</v>
      </c>
      <c r="G424" s="3" t="s">
        <v>1093</v>
      </c>
      <c r="H424" s="3" t="str">
        <f t="shared" si="7"/>
        <v>Alarm limit for LT_NW2VS Void Hi.</v>
      </c>
    </row>
    <row r="425" spans="1:8" x14ac:dyDescent="0.25">
      <c r="A425" s="3" t="s">
        <v>6983</v>
      </c>
      <c r="B425" s="3" t="s">
        <v>6989</v>
      </c>
      <c r="C425" s="3" t="s">
        <v>6985</v>
      </c>
      <c r="D425" s="3" t="s">
        <v>6336</v>
      </c>
      <c r="E425" s="3">
        <v>424</v>
      </c>
      <c r="F425" s="3" t="s">
        <v>2862</v>
      </c>
      <c r="G425" s="3" t="s">
        <v>1093</v>
      </c>
      <c r="H425" s="3" t="str">
        <f t="shared" si="7"/>
        <v>Alarm limit for LT_NW2VW Void Hi.</v>
      </c>
    </row>
    <row r="426" spans="1:8" x14ac:dyDescent="0.25">
      <c r="A426" s="3" t="s">
        <v>6983</v>
      </c>
      <c r="B426" s="3" t="s">
        <v>6989</v>
      </c>
      <c r="C426" s="3" t="s">
        <v>6985</v>
      </c>
      <c r="D426" s="3" t="s">
        <v>6336</v>
      </c>
      <c r="E426" s="3">
        <v>425</v>
      </c>
      <c r="F426" s="3" t="s">
        <v>2863</v>
      </c>
      <c r="G426" s="3" t="s">
        <v>1093</v>
      </c>
      <c r="H426" s="3" t="str">
        <f t="shared" si="7"/>
        <v>Alarm limit for LT_NWAEC Void Hi.</v>
      </c>
    </row>
    <row r="427" spans="1:8" x14ac:dyDescent="0.25">
      <c r="A427" s="3" t="s">
        <v>6983</v>
      </c>
      <c r="B427" s="3" t="s">
        <v>6989</v>
      </c>
      <c r="C427" s="3" t="s">
        <v>6985</v>
      </c>
      <c r="D427" s="3" t="s">
        <v>6336</v>
      </c>
      <c r="E427" s="3">
        <v>426</v>
      </c>
      <c r="F427" s="3" t="s">
        <v>2864</v>
      </c>
      <c r="G427" s="3" t="s">
        <v>1093</v>
      </c>
      <c r="H427" s="3" t="str">
        <f t="shared" si="7"/>
        <v>Alarm limit for LT_SE1VN Void Hi.</v>
      </c>
    </row>
    <row r="428" spans="1:8" x14ac:dyDescent="0.25">
      <c r="A428" s="3" t="s">
        <v>6983</v>
      </c>
      <c r="B428" s="3" t="s">
        <v>6989</v>
      </c>
      <c r="C428" s="3" t="s">
        <v>6985</v>
      </c>
      <c r="D428" s="3" t="s">
        <v>6336</v>
      </c>
      <c r="E428" s="3">
        <v>427</v>
      </c>
      <c r="F428" s="3" t="s">
        <v>2865</v>
      </c>
      <c r="G428" s="3" t="s">
        <v>1093</v>
      </c>
      <c r="H428" s="3" t="str">
        <f t="shared" si="7"/>
        <v>Alarm limit for LT_SE1VW Void Hi.</v>
      </c>
    </row>
    <row r="429" spans="1:8" x14ac:dyDescent="0.25">
      <c r="A429" s="3" t="s">
        <v>6983</v>
      </c>
      <c r="B429" s="3" t="s">
        <v>6989</v>
      </c>
      <c r="C429" s="3" t="s">
        <v>6985</v>
      </c>
      <c r="D429" s="3" t="s">
        <v>6336</v>
      </c>
      <c r="E429" s="3">
        <v>428</v>
      </c>
      <c r="F429" s="3" t="s">
        <v>2866</v>
      </c>
      <c r="G429" s="3" t="s">
        <v>1093</v>
      </c>
      <c r="H429" s="3" t="str">
        <f t="shared" si="7"/>
        <v>Alarm limit for LT_SE2VE Void Hi.</v>
      </c>
    </row>
    <row r="430" spans="1:8" x14ac:dyDescent="0.25">
      <c r="A430" s="3" t="s">
        <v>6983</v>
      </c>
      <c r="B430" s="3" t="s">
        <v>6989</v>
      </c>
      <c r="C430" s="3" t="s">
        <v>6985</v>
      </c>
      <c r="D430" s="3" t="s">
        <v>6336</v>
      </c>
      <c r="E430" s="3">
        <v>429</v>
      </c>
      <c r="F430" s="3" t="s">
        <v>2867</v>
      </c>
      <c r="G430" s="3" t="s">
        <v>1093</v>
      </c>
      <c r="H430" s="3" t="str">
        <f t="shared" si="7"/>
        <v>Alarm limit for LT_SE2VN Void Hi.</v>
      </c>
    </row>
    <row r="431" spans="1:8" x14ac:dyDescent="0.25">
      <c r="A431" s="3" t="s">
        <v>6983</v>
      </c>
      <c r="B431" s="3" t="s">
        <v>6989</v>
      </c>
      <c r="C431" s="3" t="s">
        <v>6985</v>
      </c>
      <c r="D431" s="3" t="s">
        <v>6336</v>
      </c>
      <c r="E431" s="3">
        <v>430</v>
      </c>
      <c r="F431" s="3" t="s">
        <v>2868</v>
      </c>
      <c r="G431" s="3" t="s">
        <v>1093</v>
      </c>
      <c r="H431" s="3" t="str">
        <f t="shared" si="7"/>
        <v>Alarm limit for LT_SE2VS Void Hi.</v>
      </c>
    </row>
    <row r="432" spans="1:8" x14ac:dyDescent="0.25">
      <c r="A432" s="3" t="s">
        <v>6983</v>
      </c>
      <c r="B432" s="3" t="s">
        <v>6989</v>
      </c>
      <c r="C432" s="3" t="s">
        <v>6985</v>
      </c>
      <c r="D432" s="3" t="s">
        <v>6336</v>
      </c>
      <c r="E432" s="3">
        <v>431</v>
      </c>
      <c r="F432" s="3" t="s">
        <v>2869</v>
      </c>
      <c r="G432" s="3" t="s">
        <v>1093</v>
      </c>
      <c r="H432" s="3" t="str">
        <f t="shared" si="7"/>
        <v>Alarm limit for LT_SE2VW Void Hi.</v>
      </c>
    </row>
    <row r="433" spans="1:8" x14ac:dyDescent="0.25">
      <c r="A433" s="3" t="s">
        <v>6983</v>
      </c>
      <c r="B433" s="3" t="s">
        <v>6989</v>
      </c>
      <c r="C433" s="3" t="s">
        <v>6985</v>
      </c>
      <c r="D433" s="3" t="s">
        <v>6336</v>
      </c>
      <c r="E433" s="3">
        <v>432</v>
      </c>
      <c r="F433" s="3" t="s">
        <v>2870</v>
      </c>
      <c r="G433" s="3" t="s">
        <v>1093</v>
      </c>
      <c r="H433" s="3" t="str">
        <f t="shared" si="7"/>
        <v>Alarm limit for LT_SEAEC Void Hi.</v>
      </c>
    </row>
    <row r="434" spans="1:8" x14ac:dyDescent="0.25">
      <c r="A434" s="3" t="s">
        <v>6983</v>
      </c>
      <c r="B434" s="3" t="s">
        <v>6989</v>
      </c>
      <c r="C434" s="3" t="s">
        <v>6985</v>
      </c>
      <c r="D434" s="3" t="s">
        <v>6336</v>
      </c>
      <c r="E434" s="3">
        <v>433</v>
      </c>
      <c r="F434" s="3" t="s">
        <v>2871</v>
      </c>
      <c r="G434" s="3" t="s">
        <v>1093</v>
      </c>
      <c r="H434" s="3" t="str">
        <f t="shared" si="7"/>
        <v>Alarm limit for LT_SW1VE Void Hi.</v>
      </c>
    </row>
    <row r="435" spans="1:8" x14ac:dyDescent="0.25">
      <c r="A435" s="3" t="s">
        <v>6983</v>
      </c>
      <c r="B435" s="3" t="s">
        <v>6989</v>
      </c>
      <c r="C435" s="3" t="s">
        <v>6985</v>
      </c>
      <c r="D435" s="3" t="s">
        <v>6336</v>
      </c>
      <c r="E435" s="3">
        <v>434</v>
      </c>
      <c r="F435" s="3" t="s">
        <v>2872</v>
      </c>
      <c r="G435" s="3" t="s">
        <v>1093</v>
      </c>
      <c r="H435" s="3" t="str">
        <f t="shared" si="7"/>
        <v>Alarm limit for LT_SW1VN Void Hi.</v>
      </c>
    </row>
    <row r="436" spans="1:8" x14ac:dyDescent="0.25">
      <c r="A436" s="3" t="s">
        <v>6983</v>
      </c>
      <c r="B436" s="3" t="s">
        <v>6989</v>
      </c>
      <c r="C436" s="3" t="s">
        <v>6985</v>
      </c>
      <c r="D436" s="3" t="s">
        <v>6336</v>
      </c>
      <c r="E436" s="3">
        <v>435</v>
      </c>
      <c r="F436" s="3" t="s">
        <v>2873</v>
      </c>
      <c r="G436" s="3" t="s">
        <v>1093</v>
      </c>
      <c r="H436" s="3" t="str">
        <f t="shared" si="7"/>
        <v>Alarm limit for LT_SW2VE Void Hi.</v>
      </c>
    </row>
    <row r="437" spans="1:8" x14ac:dyDescent="0.25">
      <c r="A437" s="3" t="s">
        <v>6983</v>
      </c>
      <c r="B437" s="3" t="s">
        <v>6989</v>
      </c>
      <c r="C437" s="3" t="s">
        <v>6985</v>
      </c>
      <c r="D437" s="3" t="s">
        <v>6336</v>
      </c>
      <c r="E437" s="3">
        <v>436</v>
      </c>
      <c r="F437" s="3" t="s">
        <v>2874</v>
      </c>
      <c r="G437" s="3" t="s">
        <v>1093</v>
      </c>
      <c r="H437" s="3" t="str">
        <f t="shared" si="7"/>
        <v>Alarm limit for LT_SW2VN Void Hi.</v>
      </c>
    </row>
    <row r="438" spans="1:8" x14ac:dyDescent="0.25">
      <c r="A438" s="3" t="s">
        <v>6983</v>
      </c>
      <c r="B438" s="3" t="s">
        <v>6989</v>
      </c>
      <c r="C438" s="3" t="s">
        <v>6985</v>
      </c>
      <c r="D438" s="3" t="s">
        <v>6336</v>
      </c>
      <c r="E438" s="3">
        <v>437</v>
      </c>
      <c r="F438" s="3" t="s">
        <v>2875</v>
      </c>
      <c r="G438" s="3" t="s">
        <v>1093</v>
      </c>
      <c r="H438" s="3" t="str">
        <f t="shared" si="7"/>
        <v>Alarm limit for LT_SW2VS Void Hi.</v>
      </c>
    </row>
    <row r="439" spans="1:8" x14ac:dyDescent="0.25">
      <c r="A439" s="3" t="s">
        <v>6983</v>
      </c>
      <c r="B439" s="3" t="s">
        <v>6989</v>
      </c>
      <c r="C439" s="3" t="s">
        <v>6985</v>
      </c>
      <c r="D439" s="3" t="s">
        <v>6336</v>
      </c>
      <c r="E439" s="3">
        <v>438</v>
      </c>
      <c r="F439" s="3" t="s">
        <v>2876</v>
      </c>
      <c r="G439" s="3" t="s">
        <v>1093</v>
      </c>
      <c r="H439" s="3" t="str">
        <f t="shared" si="7"/>
        <v>Alarm limit for LT_SW2VW Void Hi.</v>
      </c>
    </row>
    <row r="440" spans="1:8" x14ac:dyDescent="0.25">
      <c r="A440" s="3" t="s">
        <v>6983</v>
      </c>
      <c r="B440" s="3" t="s">
        <v>6989</v>
      </c>
      <c r="C440" s="3" t="s">
        <v>6985</v>
      </c>
      <c r="D440" s="3" t="s">
        <v>6336</v>
      </c>
      <c r="E440" s="3">
        <v>439</v>
      </c>
      <c r="F440" s="3" t="s">
        <v>2877</v>
      </c>
      <c r="G440" s="3" t="s">
        <v>1093</v>
      </c>
      <c r="H440" s="3" t="str">
        <f t="shared" si="7"/>
        <v>Alarm limit for LT_SWAEC Void Hi.</v>
      </c>
    </row>
    <row r="441" spans="1:8" x14ac:dyDescent="0.25">
      <c r="A441" s="3" t="s">
        <v>6983</v>
      </c>
      <c r="B441" s="3" t="s">
        <v>6989</v>
      </c>
      <c r="C441" s="3" t="s">
        <v>6985</v>
      </c>
      <c r="D441" s="3" t="s">
        <v>6336</v>
      </c>
      <c r="E441" s="3">
        <v>440</v>
      </c>
      <c r="F441" s="3" t="s">
        <v>2878</v>
      </c>
      <c r="G441" s="3" t="s">
        <v>1093</v>
      </c>
      <c r="H441" s="3" t="str">
        <f t="shared" si="7"/>
        <v>Alarm limit for LT-EPNB Ballast Lo.</v>
      </c>
    </row>
    <row r="442" spans="1:8" x14ac:dyDescent="0.25">
      <c r="A442" s="3" t="s">
        <v>6983</v>
      </c>
      <c r="B442" s="3" t="s">
        <v>6989</v>
      </c>
      <c r="C442" s="3" t="s">
        <v>6985</v>
      </c>
      <c r="D442" s="3" t="s">
        <v>6336</v>
      </c>
      <c r="E442" s="3">
        <v>441</v>
      </c>
      <c r="F442" s="3" t="s">
        <v>2879</v>
      </c>
      <c r="G442" s="3" t="s">
        <v>1093</v>
      </c>
      <c r="H442" s="3" t="str">
        <f t="shared" si="7"/>
        <v>Alarm limit for LT-EPSB Ballast Lo.</v>
      </c>
    </row>
    <row r="443" spans="1:8" x14ac:dyDescent="0.25">
      <c r="A443" s="3" t="s">
        <v>6983</v>
      </c>
      <c r="B443" s="3" t="s">
        <v>6989</v>
      </c>
      <c r="C443" s="3" t="s">
        <v>6985</v>
      </c>
      <c r="D443" s="3" t="s">
        <v>6336</v>
      </c>
      <c r="E443" s="3">
        <v>442</v>
      </c>
      <c r="F443" s="3" t="s">
        <v>2880</v>
      </c>
      <c r="G443" s="3" t="s">
        <v>1093</v>
      </c>
      <c r="H443" s="3" t="str">
        <f t="shared" si="7"/>
        <v>Alarm limit for LT-NE0BNE Ballast Lo.</v>
      </c>
    </row>
    <row r="444" spans="1:8" x14ac:dyDescent="0.25">
      <c r="A444" s="3" t="s">
        <v>6983</v>
      </c>
      <c r="B444" s="3" t="s">
        <v>6989</v>
      </c>
      <c r="C444" s="3" t="s">
        <v>6985</v>
      </c>
      <c r="D444" s="3" t="s">
        <v>6336</v>
      </c>
      <c r="E444" s="3">
        <v>443</v>
      </c>
      <c r="F444" s="3" t="s">
        <v>2881</v>
      </c>
      <c r="G444" s="3" t="s">
        <v>1093</v>
      </c>
      <c r="H444" s="3" t="str">
        <f t="shared" si="7"/>
        <v>Alarm limit for LT-NE0BSW Ballast Lo.</v>
      </c>
    </row>
    <row r="445" spans="1:8" x14ac:dyDescent="0.25">
      <c r="A445" s="3" t="s">
        <v>6983</v>
      </c>
      <c r="B445" s="3" t="s">
        <v>6989</v>
      </c>
      <c r="C445" s="3" t="s">
        <v>6985</v>
      </c>
      <c r="D445" s="3" t="s">
        <v>6336</v>
      </c>
      <c r="E445" s="3">
        <v>444</v>
      </c>
      <c r="F445" s="3" t="s">
        <v>2882</v>
      </c>
      <c r="G445" s="3" t="s">
        <v>1093</v>
      </c>
      <c r="H445" s="3" t="str">
        <f t="shared" si="7"/>
        <v>Alarm limit for LT-NE1TE Ballast Lo.</v>
      </c>
    </row>
    <row r="446" spans="1:8" x14ac:dyDescent="0.25">
      <c r="A446" s="3" t="s">
        <v>6983</v>
      </c>
      <c r="B446" s="3" t="s">
        <v>6989</v>
      </c>
      <c r="C446" s="3" t="s">
        <v>6985</v>
      </c>
      <c r="D446" s="3" t="s">
        <v>6336</v>
      </c>
      <c r="E446" s="3">
        <v>445</v>
      </c>
      <c r="F446" s="3" t="s">
        <v>2883</v>
      </c>
      <c r="G446" s="3" t="s">
        <v>1093</v>
      </c>
      <c r="H446" s="3" t="str">
        <f t="shared" si="7"/>
        <v>Alarm limit for LT-NE1TN_Ballast Lo.</v>
      </c>
    </row>
    <row r="447" spans="1:8" x14ac:dyDescent="0.25">
      <c r="A447" s="3" t="s">
        <v>6983</v>
      </c>
      <c r="B447" s="3" t="s">
        <v>6989</v>
      </c>
      <c r="C447" s="3" t="s">
        <v>6985</v>
      </c>
      <c r="D447" s="3" t="s">
        <v>6336</v>
      </c>
      <c r="E447" s="3">
        <v>446</v>
      </c>
      <c r="F447" s="3" t="s">
        <v>2884</v>
      </c>
      <c r="G447" s="3" t="s">
        <v>1093</v>
      </c>
      <c r="H447" s="3" t="str">
        <f t="shared" si="7"/>
        <v>Alarm limit for LT-NPEB Ballast Lo.</v>
      </c>
    </row>
    <row r="448" spans="1:8" x14ac:dyDescent="0.25">
      <c r="A448" s="3" t="s">
        <v>6983</v>
      </c>
      <c r="B448" s="3" t="s">
        <v>6989</v>
      </c>
      <c r="C448" s="3" t="s">
        <v>6985</v>
      </c>
      <c r="D448" s="3" t="s">
        <v>6336</v>
      </c>
      <c r="E448" s="3">
        <v>447</v>
      </c>
      <c r="F448" s="3" t="s">
        <v>2885</v>
      </c>
      <c r="G448" s="3" t="s">
        <v>1093</v>
      </c>
      <c r="H448" s="3" t="str">
        <f t="shared" si="7"/>
        <v>Alarm limit for LT-NPWB Ballast Lo.</v>
      </c>
    </row>
    <row r="449" spans="1:8" x14ac:dyDescent="0.25">
      <c r="A449" s="3" t="s">
        <v>6983</v>
      </c>
      <c r="B449" s="3" t="s">
        <v>6989</v>
      </c>
      <c r="C449" s="3" t="s">
        <v>6985</v>
      </c>
      <c r="D449" s="3" t="s">
        <v>6336</v>
      </c>
      <c r="E449" s="3">
        <v>448</v>
      </c>
      <c r="F449" s="3" t="s">
        <v>2886</v>
      </c>
      <c r="G449" s="3" t="s">
        <v>1093</v>
      </c>
      <c r="H449" s="3" t="str">
        <f t="shared" si="7"/>
        <v>Alarm limit for LT-NW0BNW Ballast Lo.</v>
      </c>
    </row>
    <row r="450" spans="1:8" x14ac:dyDescent="0.25">
      <c r="A450" s="3" t="s">
        <v>6983</v>
      </c>
      <c r="B450" s="3" t="s">
        <v>6989</v>
      </c>
      <c r="C450" s="3" t="s">
        <v>6985</v>
      </c>
      <c r="D450" s="3" t="s">
        <v>6336</v>
      </c>
      <c r="E450" s="3">
        <v>449</v>
      </c>
      <c r="F450" s="3" t="s">
        <v>2887</v>
      </c>
      <c r="G450" s="3" t="s">
        <v>1093</v>
      </c>
      <c r="H450" s="3" t="str">
        <f t="shared" ref="H450:H496" si="8">_xlfn.CONCAT("Alarm limit for ",F450, ".")</f>
        <v>Alarm limit for LT-NW0BSE Ballast Lo.</v>
      </c>
    </row>
    <row r="451" spans="1:8" x14ac:dyDescent="0.25">
      <c r="A451" s="3" t="s">
        <v>6983</v>
      </c>
      <c r="B451" s="3" t="s">
        <v>6989</v>
      </c>
      <c r="C451" s="3" t="s">
        <v>6985</v>
      </c>
      <c r="D451" s="3" t="s">
        <v>6336</v>
      </c>
      <c r="E451" s="3">
        <v>450</v>
      </c>
      <c r="F451" s="3" t="s">
        <v>2888</v>
      </c>
      <c r="G451" s="3" t="s">
        <v>1093</v>
      </c>
      <c r="H451" s="3" t="str">
        <f t="shared" si="8"/>
        <v>Alarm limit for LT-NW1TN Ballast Lo.</v>
      </c>
    </row>
    <row r="452" spans="1:8" x14ac:dyDescent="0.25">
      <c r="A452" s="3" t="s">
        <v>6983</v>
      </c>
      <c r="B452" s="3" t="s">
        <v>6989</v>
      </c>
      <c r="C452" s="3" t="s">
        <v>6985</v>
      </c>
      <c r="D452" s="3" t="s">
        <v>6336</v>
      </c>
      <c r="E452" s="3">
        <v>451</v>
      </c>
      <c r="F452" s="3" t="s">
        <v>2889</v>
      </c>
      <c r="G452" s="3" t="s">
        <v>1093</v>
      </c>
      <c r="H452" s="3" t="str">
        <f t="shared" si="8"/>
        <v>Alarm limit for LT-NW1TW Ballast Lo.</v>
      </c>
    </row>
    <row r="453" spans="1:8" x14ac:dyDescent="0.25">
      <c r="A453" s="3" t="s">
        <v>6983</v>
      </c>
      <c r="B453" s="3" t="s">
        <v>6989</v>
      </c>
      <c r="C453" s="3" t="s">
        <v>6985</v>
      </c>
      <c r="D453" s="3" t="s">
        <v>6336</v>
      </c>
      <c r="E453" s="3">
        <v>452</v>
      </c>
      <c r="F453" s="3" t="s">
        <v>2890</v>
      </c>
      <c r="G453" s="3" t="s">
        <v>1093</v>
      </c>
      <c r="H453" s="3" t="str">
        <f t="shared" si="8"/>
        <v>Alarm limit for LT-SE0BNW Ballast Lo.</v>
      </c>
    </row>
    <row r="454" spans="1:8" x14ac:dyDescent="0.25">
      <c r="A454" s="3" t="s">
        <v>6983</v>
      </c>
      <c r="B454" s="3" t="s">
        <v>6989</v>
      </c>
      <c r="C454" s="3" t="s">
        <v>6985</v>
      </c>
      <c r="D454" s="3" t="s">
        <v>6336</v>
      </c>
      <c r="E454" s="3">
        <v>453</v>
      </c>
      <c r="F454" s="3" t="s">
        <v>2891</v>
      </c>
      <c r="G454" s="3" t="s">
        <v>1093</v>
      </c>
      <c r="H454" s="3" t="str">
        <f t="shared" si="8"/>
        <v>Alarm limit for LT-SE0BSE Ballast Lo.</v>
      </c>
    </row>
    <row r="455" spans="1:8" x14ac:dyDescent="0.25">
      <c r="A455" s="3" t="s">
        <v>6983</v>
      </c>
      <c r="B455" s="3" t="s">
        <v>6989</v>
      </c>
      <c r="C455" s="3" t="s">
        <v>6985</v>
      </c>
      <c r="D455" s="3" t="s">
        <v>6336</v>
      </c>
      <c r="E455" s="3">
        <v>454</v>
      </c>
      <c r="F455" s="3" t="s">
        <v>2892</v>
      </c>
      <c r="G455" s="3" t="s">
        <v>1093</v>
      </c>
      <c r="H455" s="3" t="str">
        <f t="shared" si="8"/>
        <v>Alarm limit for LT-SE1TE Ballast Lo.</v>
      </c>
    </row>
    <row r="456" spans="1:8" x14ac:dyDescent="0.25">
      <c r="A456" s="3" t="s">
        <v>6983</v>
      </c>
      <c r="B456" s="3" t="s">
        <v>6989</v>
      </c>
      <c r="C456" s="3" t="s">
        <v>6985</v>
      </c>
      <c r="D456" s="3" t="s">
        <v>6336</v>
      </c>
      <c r="E456" s="3">
        <v>455</v>
      </c>
      <c r="F456" s="3" t="s">
        <v>2893</v>
      </c>
      <c r="G456" s="3" t="s">
        <v>1093</v>
      </c>
      <c r="H456" s="3" t="str">
        <f t="shared" si="8"/>
        <v>Alarm limit for LT-SE1TS Ballast Lo.</v>
      </c>
    </row>
    <row r="457" spans="1:8" x14ac:dyDescent="0.25">
      <c r="A457" s="3" t="s">
        <v>6983</v>
      </c>
      <c r="B457" s="3" t="s">
        <v>6989</v>
      </c>
      <c r="C457" s="3" t="s">
        <v>6985</v>
      </c>
      <c r="D457" s="3" t="s">
        <v>6336</v>
      </c>
      <c r="E457" s="3">
        <v>456</v>
      </c>
      <c r="F457" s="3" t="s">
        <v>2894</v>
      </c>
      <c r="G457" s="3" t="s">
        <v>1093</v>
      </c>
      <c r="H457" s="3" t="str">
        <f t="shared" si="8"/>
        <v>Alarm limit for LT-SPEB Ballast Lo.</v>
      </c>
    </row>
    <row r="458" spans="1:8" x14ac:dyDescent="0.25">
      <c r="A458" s="3" t="s">
        <v>6983</v>
      </c>
      <c r="B458" s="3" t="s">
        <v>6989</v>
      </c>
      <c r="C458" s="3" t="s">
        <v>6985</v>
      </c>
      <c r="D458" s="3" t="s">
        <v>6336</v>
      </c>
      <c r="E458" s="3">
        <v>457</v>
      </c>
      <c r="F458" s="3" t="s">
        <v>2895</v>
      </c>
      <c r="G458" s="3" t="s">
        <v>1093</v>
      </c>
      <c r="H458" s="3" t="str">
        <f t="shared" si="8"/>
        <v>Alarm limit for LT-SPWB Ballast Lo.</v>
      </c>
    </row>
    <row r="459" spans="1:8" x14ac:dyDescent="0.25">
      <c r="A459" s="3" t="s">
        <v>6983</v>
      </c>
      <c r="B459" s="3" t="s">
        <v>6989</v>
      </c>
      <c r="C459" s="3" t="s">
        <v>6985</v>
      </c>
      <c r="D459" s="3" t="s">
        <v>6336</v>
      </c>
      <c r="E459" s="3">
        <v>458</v>
      </c>
      <c r="F459" s="3" t="s">
        <v>2896</v>
      </c>
      <c r="G459" s="3" t="s">
        <v>1093</v>
      </c>
      <c r="H459" s="3" t="str">
        <f t="shared" si="8"/>
        <v>Alarm limit for LT-SW0BNE Ballast Lo.</v>
      </c>
    </row>
    <row r="460" spans="1:8" x14ac:dyDescent="0.25">
      <c r="A460" s="3" t="s">
        <v>6983</v>
      </c>
      <c r="B460" s="3" t="s">
        <v>6989</v>
      </c>
      <c r="C460" s="3" t="s">
        <v>6985</v>
      </c>
      <c r="D460" s="3" t="s">
        <v>6336</v>
      </c>
      <c r="E460" s="3">
        <v>459</v>
      </c>
      <c r="F460" s="3" t="s">
        <v>2897</v>
      </c>
      <c r="G460" s="3" t="s">
        <v>1093</v>
      </c>
      <c r="H460" s="3" t="str">
        <f t="shared" si="8"/>
        <v>Alarm limit for LT-SW0BSW Ballast Lo.</v>
      </c>
    </row>
    <row r="461" spans="1:8" x14ac:dyDescent="0.25">
      <c r="A461" s="3" t="s">
        <v>6983</v>
      </c>
      <c r="B461" s="3" t="s">
        <v>6989</v>
      </c>
      <c r="C461" s="3" t="s">
        <v>6985</v>
      </c>
      <c r="D461" s="3" t="s">
        <v>6336</v>
      </c>
      <c r="E461" s="3">
        <v>460</v>
      </c>
      <c r="F461" s="3" t="s">
        <v>2898</v>
      </c>
      <c r="G461" s="3" t="s">
        <v>1093</v>
      </c>
      <c r="H461" s="3" t="str">
        <f t="shared" si="8"/>
        <v>Alarm limit for LT-SW1TS Ballast Lo.</v>
      </c>
    </row>
    <row r="462" spans="1:8" x14ac:dyDescent="0.25">
      <c r="A462" s="3" t="s">
        <v>6983</v>
      </c>
      <c r="B462" s="3" t="s">
        <v>6989</v>
      </c>
      <c r="C462" s="3" t="s">
        <v>6985</v>
      </c>
      <c r="D462" s="3" t="s">
        <v>6336</v>
      </c>
      <c r="E462" s="3">
        <v>461</v>
      </c>
      <c r="F462" s="3" t="s">
        <v>2899</v>
      </c>
      <c r="G462" s="3" t="s">
        <v>1093</v>
      </c>
      <c r="H462" s="3" t="str">
        <f t="shared" si="8"/>
        <v>Alarm limit for LT-SW1TW Ballast Lo.</v>
      </c>
    </row>
    <row r="463" spans="1:8" x14ac:dyDescent="0.25">
      <c r="A463" s="3" t="s">
        <v>6983</v>
      </c>
      <c r="B463" s="3" t="s">
        <v>6989</v>
      </c>
      <c r="C463" s="3" t="s">
        <v>6985</v>
      </c>
      <c r="D463" s="3" t="s">
        <v>6336</v>
      </c>
      <c r="E463" s="3">
        <v>462</v>
      </c>
      <c r="F463" s="3" t="s">
        <v>2900</v>
      </c>
      <c r="G463" s="3" t="s">
        <v>1093</v>
      </c>
      <c r="H463" s="3" t="str">
        <f t="shared" si="8"/>
        <v>Alarm limit for LT-WPNB Ballast Lo.</v>
      </c>
    </row>
    <row r="464" spans="1:8" x14ac:dyDescent="0.25">
      <c r="A464" s="3" t="s">
        <v>6983</v>
      </c>
      <c r="B464" s="3" t="s">
        <v>6989</v>
      </c>
      <c r="C464" s="3" t="s">
        <v>6985</v>
      </c>
      <c r="D464" s="3" t="s">
        <v>6336</v>
      </c>
      <c r="E464" s="3">
        <v>463</v>
      </c>
      <c r="F464" s="3" t="s">
        <v>2901</v>
      </c>
      <c r="G464" s="3" t="s">
        <v>1093</v>
      </c>
      <c r="H464" s="3" t="str">
        <f t="shared" si="8"/>
        <v>Alarm limit for LT-WPSB Ballast Lo.</v>
      </c>
    </row>
    <row r="465" spans="1:8" x14ac:dyDescent="0.25">
      <c r="A465" s="3" t="s">
        <v>6983</v>
      </c>
      <c r="B465" s="3" t="s">
        <v>6989</v>
      </c>
      <c r="C465" s="3" t="s">
        <v>6985</v>
      </c>
      <c r="D465" s="3" t="s">
        <v>6336</v>
      </c>
      <c r="E465" s="3">
        <v>464</v>
      </c>
      <c r="F465" s="3" t="s">
        <v>2902</v>
      </c>
      <c r="G465" s="3" t="s">
        <v>1097</v>
      </c>
      <c r="H465" s="3" t="str">
        <f t="shared" si="8"/>
        <v>Alarm limit for LT-5160A1 Methanol Lo.</v>
      </c>
    </row>
    <row r="466" spans="1:8" x14ac:dyDescent="0.25">
      <c r="A466" s="3" t="s">
        <v>6983</v>
      </c>
      <c r="B466" s="3" t="s">
        <v>6989</v>
      </c>
      <c r="C466" s="3" t="s">
        <v>6985</v>
      </c>
      <c r="D466" s="3" t="s">
        <v>6336</v>
      </c>
      <c r="E466" s="3">
        <v>465</v>
      </c>
      <c r="F466" s="3" t="s">
        <v>2903</v>
      </c>
      <c r="G466" s="3" t="s">
        <v>1097</v>
      </c>
      <c r="H466" s="3" t="str">
        <f t="shared" si="8"/>
        <v>Alarm limit for LT-5161A1 Methanol Lo.</v>
      </c>
    </row>
    <row r="467" spans="1:8" x14ac:dyDescent="0.25">
      <c r="A467" s="3" t="s">
        <v>6983</v>
      </c>
      <c r="B467" s="3" t="s">
        <v>6989</v>
      </c>
      <c r="C467" s="3" t="s">
        <v>6985</v>
      </c>
      <c r="D467" s="3" t="s">
        <v>6336</v>
      </c>
      <c r="E467" s="3">
        <v>466</v>
      </c>
      <c r="F467" s="3" t="s">
        <v>2904</v>
      </c>
      <c r="G467" s="3" t="s">
        <v>1097</v>
      </c>
      <c r="H467" s="3" t="str">
        <f t="shared" si="8"/>
        <v>Alarm limit for LT-5360A1 Diesel Tnk Lo.</v>
      </c>
    </row>
    <row r="468" spans="1:8" x14ac:dyDescent="0.25">
      <c r="A468" s="3" t="s">
        <v>6983</v>
      </c>
      <c r="B468" s="3" t="s">
        <v>6989</v>
      </c>
      <c r="C468" s="3" t="s">
        <v>6985</v>
      </c>
      <c r="D468" s="3" t="s">
        <v>6336</v>
      </c>
      <c r="E468" s="3">
        <v>467</v>
      </c>
      <c r="F468" s="3" t="s">
        <v>2905</v>
      </c>
      <c r="G468" s="3" t="s">
        <v>1097</v>
      </c>
      <c r="H468" s="3" t="str">
        <f t="shared" si="8"/>
        <v>Alarm limit for LT-5460A1 Drill Water Lo.</v>
      </c>
    </row>
    <row r="469" spans="1:8" x14ac:dyDescent="0.25">
      <c r="A469" s="3" t="s">
        <v>6983</v>
      </c>
      <c r="B469" s="3" t="s">
        <v>6989</v>
      </c>
      <c r="C469" s="3" t="s">
        <v>6985</v>
      </c>
      <c r="D469" s="3" t="s">
        <v>6336</v>
      </c>
      <c r="E469" s="3">
        <v>468</v>
      </c>
      <c r="F469" s="3" t="s">
        <v>2906</v>
      </c>
      <c r="G469" s="3" t="s">
        <v>1093</v>
      </c>
      <c r="H469" s="3" t="str">
        <f t="shared" si="8"/>
        <v>Alarm limit for LT_NE1VS Void Lo.</v>
      </c>
    </row>
    <row r="470" spans="1:8" x14ac:dyDescent="0.25">
      <c r="A470" s="3" t="s">
        <v>6983</v>
      </c>
      <c r="B470" s="3" t="s">
        <v>6989</v>
      </c>
      <c r="C470" s="3" t="s">
        <v>6985</v>
      </c>
      <c r="D470" s="3" t="s">
        <v>6336</v>
      </c>
      <c r="E470" s="3">
        <v>469</v>
      </c>
      <c r="F470" s="3" t="s">
        <v>2907</v>
      </c>
      <c r="G470" s="3" t="s">
        <v>1093</v>
      </c>
      <c r="H470" s="3" t="str">
        <f t="shared" si="8"/>
        <v>Alarm limit for LT_NE1VW Void Lo.</v>
      </c>
    </row>
    <row r="471" spans="1:8" x14ac:dyDescent="0.25">
      <c r="A471" s="3" t="s">
        <v>6983</v>
      </c>
      <c r="B471" s="3" t="s">
        <v>6989</v>
      </c>
      <c r="C471" s="3" t="s">
        <v>6985</v>
      </c>
      <c r="D471" s="3" t="s">
        <v>6336</v>
      </c>
      <c r="E471" s="3">
        <v>470</v>
      </c>
      <c r="F471" s="3" t="s">
        <v>2908</v>
      </c>
      <c r="G471" s="3" t="s">
        <v>1093</v>
      </c>
      <c r="H471" s="3" t="str">
        <f t="shared" si="8"/>
        <v>Alarm limit for LT_NE2VE Void Lo.</v>
      </c>
    </row>
    <row r="472" spans="1:8" x14ac:dyDescent="0.25">
      <c r="A472" s="3" t="s">
        <v>6983</v>
      </c>
      <c r="B472" s="3" t="s">
        <v>6989</v>
      </c>
      <c r="C472" s="3" t="s">
        <v>6985</v>
      </c>
      <c r="D472" s="3" t="s">
        <v>6336</v>
      </c>
      <c r="E472" s="3">
        <v>471</v>
      </c>
      <c r="F472" s="3" t="s">
        <v>2909</v>
      </c>
      <c r="G472" s="3" t="s">
        <v>1093</v>
      </c>
      <c r="H472" s="3" t="str">
        <f t="shared" si="8"/>
        <v>Alarm limit for LT_NE2VN Void Lo.</v>
      </c>
    </row>
    <row r="473" spans="1:8" x14ac:dyDescent="0.25">
      <c r="A473" s="3" t="s">
        <v>6983</v>
      </c>
      <c r="B473" s="3" t="s">
        <v>6989</v>
      </c>
      <c r="C473" s="3" t="s">
        <v>6985</v>
      </c>
      <c r="D473" s="3" t="s">
        <v>6336</v>
      </c>
      <c r="E473" s="3">
        <v>472</v>
      </c>
      <c r="F473" s="3" t="s">
        <v>2910</v>
      </c>
      <c r="G473" s="3" t="s">
        <v>1093</v>
      </c>
      <c r="H473" s="3" t="str">
        <f t="shared" si="8"/>
        <v>Alarm limit for LT_NE2VS Void Lo.</v>
      </c>
    </row>
    <row r="474" spans="1:8" x14ac:dyDescent="0.25">
      <c r="A474" s="3" t="s">
        <v>6983</v>
      </c>
      <c r="B474" s="3" t="s">
        <v>6989</v>
      </c>
      <c r="C474" s="3" t="s">
        <v>6985</v>
      </c>
      <c r="D474" s="3" t="s">
        <v>6336</v>
      </c>
      <c r="E474" s="3">
        <v>473</v>
      </c>
      <c r="F474" s="3" t="s">
        <v>2911</v>
      </c>
      <c r="G474" s="3" t="s">
        <v>1093</v>
      </c>
      <c r="H474" s="3" t="str">
        <f t="shared" si="8"/>
        <v>Alarm limit for LT_NE2VW Void Lo.</v>
      </c>
    </row>
    <row r="475" spans="1:8" x14ac:dyDescent="0.25">
      <c r="A475" s="3" t="s">
        <v>6983</v>
      </c>
      <c r="B475" s="3" t="s">
        <v>6989</v>
      </c>
      <c r="C475" s="3" t="s">
        <v>6985</v>
      </c>
      <c r="D475" s="3" t="s">
        <v>6336</v>
      </c>
      <c r="E475" s="3">
        <v>474</v>
      </c>
      <c r="F475" s="3" t="s">
        <v>2912</v>
      </c>
      <c r="G475" s="3" t="s">
        <v>1093</v>
      </c>
      <c r="H475" s="3" t="str">
        <f t="shared" si="8"/>
        <v>Alarm limit for LT_NEAEC Void Lo.</v>
      </c>
    </row>
    <row r="476" spans="1:8" x14ac:dyDescent="0.25">
      <c r="A476" s="3" t="s">
        <v>6983</v>
      </c>
      <c r="B476" s="3" t="s">
        <v>6989</v>
      </c>
      <c r="C476" s="3" t="s">
        <v>6985</v>
      </c>
      <c r="D476" s="3" t="s">
        <v>6336</v>
      </c>
      <c r="E476" s="3">
        <v>475</v>
      </c>
      <c r="F476" s="3" t="s">
        <v>2913</v>
      </c>
      <c r="G476" s="3" t="s">
        <v>1093</v>
      </c>
      <c r="H476" s="3" t="str">
        <f t="shared" si="8"/>
        <v>Alarm limit for LT_NW1VE Void Lo.</v>
      </c>
    </row>
    <row r="477" spans="1:8" x14ac:dyDescent="0.25">
      <c r="A477" s="3" t="s">
        <v>6983</v>
      </c>
      <c r="B477" s="3" t="s">
        <v>6989</v>
      </c>
      <c r="C477" s="3" t="s">
        <v>6985</v>
      </c>
      <c r="D477" s="3" t="s">
        <v>6336</v>
      </c>
      <c r="E477" s="3">
        <v>476</v>
      </c>
      <c r="F477" s="3" t="s">
        <v>2914</v>
      </c>
      <c r="G477" s="3" t="s">
        <v>1093</v>
      </c>
      <c r="H477" s="3" t="str">
        <f t="shared" si="8"/>
        <v>Alarm limit for LT_NW1VS Void Lo.</v>
      </c>
    </row>
    <row r="478" spans="1:8" x14ac:dyDescent="0.25">
      <c r="A478" s="3" t="s">
        <v>6983</v>
      </c>
      <c r="B478" s="3" t="s">
        <v>6989</v>
      </c>
      <c r="C478" s="3" t="s">
        <v>6985</v>
      </c>
      <c r="D478" s="3" t="s">
        <v>6336</v>
      </c>
      <c r="E478" s="3">
        <v>477</v>
      </c>
      <c r="F478" s="3" t="s">
        <v>2915</v>
      </c>
      <c r="G478" s="3" t="s">
        <v>1093</v>
      </c>
      <c r="H478" s="3" t="str">
        <f t="shared" si="8"/>
        <v>Alarm limit for LT_NW2VE Void Lo.</v>
      </c>
    </row>
    <row r="479" spans="1:8" x14ac:dyDescent="0.25">
      <c r="A479" s="3" t="s">
        <v>6983</v>
      </c>
      <c r="B479" s="3" t="s">
        <v>6989</v>
      </c>
      <c r="C479" s="3" t="s">
        <v>6985</v>
      </c>
      <c r="D479" s="3" t="s">
        <v>6336</v>
      </c>
      <c r="E479" s="3">
        <v>478</v>
      </c>
      <c r="F479" s="3" t="s">
        <v>2916</v>
      </c>
      <c r="G479" s="3" t="s">
        <v>1093</v>
      </c>
      <c r="H479" s="3" t="str">
        <f t="shared" si="8"/>
        <v>Alarm limit for LT_NW2VN Void Lo.</v>
      </c>
    </row>
    <row r="480" spans="1:8" x14ac:dyDescent="0.25">
      <c r="A480" s="3" t="s">
        <v>6983</v>
      </c>
      <c r="B480" s="3" t="s">
        <v>6989</v>
      </c>
      <c r="C480" s="3" t="s">
        <v>6985</v>
      </c>
      <c r="D480" s="3" t="s">
        <v>6336</v>
      </c>
      <c r="E480" s="3">
        <v>479</v>
      </c>
      <c r="F480" s="3" t="s">
        <v>2917</v>
      </c>
      <c r="G480" s="3" t="s">
        <v>1093</v>
      </c>
      <c r="H480" s="3" t="str">
        <f t="shared" si="8"/>
        <v>Alarm limit for LT_NW2VS Void Lo.</v>
      </c>
    </row>
    <row r="481" spans="1:8" x14ac:dyDescent="0.25">
      <c r="A481" s="3" t="s">
        <v>6983</v>
      </c>
      <c r="B481" s="3" t="s">
        <v>6989</v>
      </c>
      <c r="C481" s="3" t="s">
        <v>6985</v>
      </c>
      <c r="D481" s="3" t="s">
        <v>6336</v>
      </c>
      <c r="E481" s="3">
        <v>480</v>
      </c>
      <c r="F481" s="3" t="s">
        <v>2918</v>
      </c>
      <c r="G481" s="3" t="s">
        <v>1093</v>
      </c>
      <c r="H481" s="3" t="str">
        <f t="shared" si="8"/>
        <v>Alarm limit for LT_NW2VW Void Lo.</v>
      </c>
    </row>
    <row r="482" spans="1:8" x14ac:dyDescent="0.25">
      <c r="A482" s="3" t="s">
        <v>6983</v>
      </c>
      <c r="B482" s="3" t="s">
        <v>6989</v>
      </c>
      <c r="C482" s="3" t="s">
        <v>6985</v>
      </c>
      <c r="D482" s="3" t="s">
        <v>6336</v>
      </c>
      <c r="E482" s="3">
        <v>481</v>
      </c>
      <c r="F482" s="3" t="s">
        <v>2919</v>
      </c>
      <c r="G482" s="3" t="s">
        <v>1093</v>
      </c>
      <c r="H482" s="3" t="str">
        <f t="shared" si="8"/>
        <v>Alarm limit for LT_NWAEC Void Lo.</v>
      </c>
    </row>
    <row r="483" spans="1:8" x14ac:dyDescent="0.25">
      <c r="A483" s="3" t="s">
        <v>6983</v>
      </c>
      <c r="B483" s="3" t="s">
        <v>6989</v>
      </c>
      <c r="C483" s="3" t="s">
        <v>6985</v>
      </c>
      <c r="D483" s="3" t="s">
        <v>6336</v>
      </c>
      <c r="E483" s="3">
        <v>482</v>
      </c>
      <c r="F483" s="3" t="s">
        <v>2920</v>
      </c>
      <c r="G483" s="3" t="s">
        <v>1093</v>
      </c>
      <c r="H483" s="3" t="str">
        <f t="shared" si="8"/>
        <v>Alarm limit for LT_SE1VN Void Lo.</v>
      </c>
    </row>
    <row r="484" spans="1:8" x14ac:dyDescent="0.25">
      <c r="A484" s="3" t="s">
        <v>6983</v>
      </c>
      <c r="B484" s="3" t="s">
        <v>6989</v>
      </c>
      <c r="C484" s="3" t="s">
        <v>6985</v>
      </c>
      <c r="D484" s="3" t="s">
        <v>6336</v>
      </c>
      <c r="E484" s="3">
        <v>483</v>
      </c>
      <c r="F484" s="3" t="s">
        <v>2921</v>
      </c>
      <c r="G484" s="3" t="s">
        <v>1093</v>
      </c>
      <c r="H484" s="3" t="str">
        <f t="shared" si="8"/>
        <v>Alarm limit for LT_SE1VW Void Lo.</v>
      </c>
    </row>
    <row r="485" spans="1:8" x14ac:dyDescent="0.25">
      <c r="A485" s="3" t="s">
        <v>6983</v>
      </c>
      <c r="B485" s="3" t="s">
        <v>6989</v>
      </c>
      <c r="C485" s="3" t="s">
        <v>6985</v>
      </c>
      <c r="D485" s="3" t="s">
        <v>6336</v>
      </c>
      <c r="E485" s="3">
        <v>484</v>
      </c>
      <c r="F485" s="3" t="s">
        <v>2922</v>
      </c>
      <c r="G485" s="3" t="s">
        <v>1093</v>
      </c>
      <c r="H485" s="3" t="str">
        <f t="shared" si="8"/>
        <v>Alarm limit for LT_SE2VE Void Lo.</v>
      </c>
    </row>
    <row r="486" spans="1:8" x14ac:dyDescent="0.25">
      <c r="A486" s="3" t="s">
        <v>6983</v>
      </c>
      <c r="B486" s="3" t="s">
        <v>6989</v>
      </c>
      <c r="C486" s="3" t="s">
        <v>6985</v>
      </c>
      <c r="D486" s="3" t="s">
        <v>6336</v>
      </c>
      <c r="E486" s="3">
        <v>485</v>
      </c>
      <c r="F486" s="3" t="s">
        <v>2923</v>
      </c>
      <c r="G486" s="3" t="s">
        <v>1093</v>
      </c>
      <c r="H486" s="3" t="str">
        <f t="shared" si="8"/>
        <v>Alarm limit for LT_SE2VN Void Lo.</v>
      </c>
    </row>
    <row r="487" spans="1:8" x14ac:dyDescent="0.25">
      <c r="A487" s="3" t="s">
        <v>6983</v>
      </c>
      <c r="B487" s="3" t="s">
        <v>6989</v>
      </c>
      <c r="C487" s="3" t="s">
        <v>6985</v>
      </c>
      <c r="D487" s="3" t="s">
        <v>6336</v>
      </c>
      <c r="E487" s="3">
        <v>486</v>
      </c>
      <c r="F487" s="3" t="s">
        <v>2924</v>
      </c>
      <c r="G487" s="3" t="s">
        <v>1093</v>
      </c>
      <c r="H487" s="3" t="str">
        <f t="shared" si="8"/>
        <v>Alarm limit for LT_SE2VS Void Lo.</v>
      </c>
    </row>
    <row r="488" spans="1:8" x14ac:dyDescent="0.25">
      <c r="A488" s="3" t="s">
        <v>6983</v>
      </c>
      <c r="B488" s="3" t="s">
        <v>6989</v>
      </c>
      <c r="C488" s="3" t="s">
        <v>6985</v>
      </c>
      <c r="D488" s="3" t="s">
        <v>6336</v>
      </c>
      <c r="E488" s="3">
        <v>487</v>
      </c>
      <c r="F488" s="3" t="s">
        <v>2925</v>
      </c>
      <c r="G488" s="3" t="s">
        <v>1093</v>
      </c>
      <c r="H488" s="3" t="str">
        <f t="shared" si="8"/>
        <v>Alarm limit for LT_SE2VW Void Lo.</v>
      </c>
    </row>
    <row r="489" spans="1:8" x14ac:dyDescent="0.25">
      <c r="A489" s="3" t="s">
        <v>6983</v>
      </c>
      <c r="B489" s="3" t="s">
        <v>6989</v>
      </c>
      <c r="C489" s="3" t="s">
        <v>6985</v>
      </c>
      <c r="D489" s="3" t="s">
        <v>6336</v>
      </c>
      <c r="E489" s="3">
        <v>488</v>
      </c>
      <c r="F489" s="3" t="s">
        <v>2926</v>
      </c>
      <c r="G489" s="3" t="s">
        <v>1093</v>
      </c>
      <c r="H489" s="3" t="str">
        <f t="shared" si="8"/>
        <v>Alarm limit for LT_SEAEC Void Lo.</v>
      </c>
    </row>
    <row r="490" spans="1:8" x14ac:dyDescent="0.25">
      <c r="A490" s="3" t="s">
        <v>6983</v>
      </c>
      <c r="B490" s="3" t="s">
        <v>6989</v>
      </c>
      <c r="C490" s="3" t="s">
        <v>6985</v>
      </c>
      <c r="D490" s="3" t="s">
        <v>6336</v>
      </c>
      <c r="E490" s="3">
        <v>489</v>
      </c>
      <c r="F490" s="3" t="s">
        <v>2927</v>
      </c>
      <c r="G490" s="3" t="s">
        <v>1093</v>
      </c>
      <c r="H490" s="3" t="str">
        <f t="shared" si="8"/>
        <v>Alarm limit for LT_SW1VE Void Lo.</v>
      </c>
    </row>
    <row r="491" spans="1:8" x14ac:dyDescent="0.25">
      <c r="A491" s="3" t="s">
        <v>6983</v>
      </c>
      <c r="B491" s="3" t="s">
        <v>6989</v>
      </c>
      <c r="C491" s="3" t="s">
        <v>6985</v>
      </c>
      <c r="D491" s="3" t="s">
        <v>6336</v>
      </c>
      <c r="E491" s="3">
        <v>490</v>
      </c>
      <c r="F491" s="3" t="s">
        <v>2928</v>
      </c>
      <c r="G491" s="3" t="s">
        <v>1093</v>
      </c>
      <c r="H491" s="3" t="str">
        <f t="shared" si="8"/>
        <v>Alarm limit for LT_SW1VN Void Lo.</v>
      </c>
    </row>
    <row r="492" spans="1:8" x14ac:dyDescent="0.25">
      <c r="A492" s="3" t="s">
        <v>6983</v>
      </c>
      <c r="B492" s="3" t="s">
        <v>6989</v>
      </c>
      <c r="C492" s="3" t="s">
        <v>6985</v>
      </c>
      <c r="D492" s="3" t="s">
        <v>6336</v>
      </c>
      <c r="E492" s="3">
        <v>491</v>
      </c>
      <c r="F492" s="3" t="s">
        <v>2929</v>
      </c>
      <c r="G492" s="3" t="s">
        <v>1093</v>
      </c>
      <c r="H492" s="3" t="str">
        <f t="shared" si="8"/>
        <v>Alarm limit for LT_SW2VE Void Lo.</v>
      </c>
    </row>
    <row r="493" spans="1:8" x14ac:dyDescent="0.25">
      <c r="A493" s="3" t="s">
        <v>6983</v>
      </c>
      <c r="B493" s="3" t="s">
        <v>6989</v>
      </c>
      <c r="C493" s="3" t="s">
        <v>6985</v>
      </c>
      <c r="D493" s="3" t="s">
        <v>6336</v>
      </c>
      <c r="E493" s="3">
        <v>492</v>
      </c>
      <c r="F493" s="3" t="s">
        <v>2930</v>
      </c>
      <c r="G493" s="3" t="s">
        <v>1093</v>
      </c>
      <c r="H493" s="3" t="str">
        <f t="shared" si="8"/>
        <v>Alarm limit for LT_SW2VN Void Lo.</v>
      </c>
    </row>
    <row r="494" spans="1:8" x14ac:dyDescent="0.25">
      <c r="A494" s="3" t="s">
        <v>6983</v>
      </c>
      <c r="B494" s="3" t="s">
        <v>6989</v>
      </c>
      <c r="C494" s="3" t="s">
        <v>6985</v>
      </c>
      <c r="D494" s="3" t="s">
        <v>6336</v>
      </c>
      <c r="E494" s="3">
        <v>493</v>
      </c>
      <c r="F494" s="3" t="s">
        <v>2931</v>
      </c>
      <c r="G494" s="3" t="s">
        <v>1093</v>
      </c>
      <c r="H494" s="3" t="str">
        <f t="shared" si="8"/>
        <v>Alarm limit for LT_SW2VS Void Lo.</v>
      </c>
    </row>
    <row r="495" spans="1:8" x14ac:dyDescent="0.25">
      <c r="A495" s="3" t="s">
        <v>6983</v>
      </c>
      <c r="B495" s="3" t="s">
        <v>6989</v>
      </c>
      <c r="C495" s="3" t="s">
        <v>6985</v>
      </c>
      <c r="D495" s="3" t="s">
        <v>6336</v>
      </c>
      <c r="E495" s="3">
        <v>494</v>
      </c>
      <c r="F495" s="3" t="s">
        <v>2932</v>
      </c>
      <c r="G495" s="3" t="s">
        <v>1093</v>
      </c>
      <c r="H495" s="3" t="str">
        <f t="shared" si="8"/>
        <v>Alarm limit for LT_SW2VW Void Lo.</v>
      </c>
    </row>
    <row r="496" spans="1:8" x14ac:dyDescent="0.25">
      <c r="A496" s="3" t="s">
        <v>6983</v>
      </c>
      <c r="B496" s="3" t="s">
        <v>6989</v>
      </c>
      <c r="C496" s="3" t="s">
        <v>6985</v>
      </c>
      <c r="D496" s="3" t="s">
        <v>6336</v>
      </c>
      <c r="E496" s="3">
        <v>495</v>
      </c>
      <c r="F496" s="3" t="s">
        <v>2933</v>
      </c>
      <c r="G496" s="3" t="s">
        <v>1093</v>
      </c>
      <c r="H496" s="3" t="str">
        <f t="shared" si="8"/>
        <v>Alarm limit for LT_SWAEC Void Lo.</v>
      </c>
    </row>
    <row r="497" spans="1:8" x14ac:dyDescent="0.25">
      <c r="A497" s="3" t="s">
        <v>6983</v>
      </c>
      <c r="B497" s="3" t="s">
        <v>6989</v>
      </c>
      <c r="C497" s="3" t="s">
        <v>6985</v>
      </c>
      <c r="D497" s="3" t="s">
        <v>6337</v>
      </c>
      <c r="E497" s="3">
        <v>496</v>
      </c>
      <c r="F497" s="3" t="s">
        <v>2934</v>
      </c>
      <c r="G497" s="3" t="s">
        <v>20</v>
      </c>
      <c r="H497" s="3" t="str">
        <f>_xlfn.CONCAT(F497, ", indicates health status.")</f>
        <v>LT-EPNB Ballast Hlth, indicates health status.</v>
      </c>
    </row>
    <row r="498" spans="1:8" x14ac:dyDescent="0.25">
      <c r="A498" s="3" t="s">
        <v>6983</v>
      </c>
      <c r="B498" s="3" t="s">
        <v>6989</v>
      </c>
      <c r="C498" s="3" t="s">
        <v>6985</v>
      </c>
      <c r="D498" s="3" t="s">
        <v>6337</v>
      </c>
      <c r="E498" s="3">
        <v>497</v>
      </c>
      <c r="F498" s="3" t="s">
        <v>2935</v>
      </c>
      <c r="G498" s="3" t="s">
        <v>20</v>
      </c>
      <c r="H498" s="3" t="str">
        <f t="shared" ref="H498:H552" si="9">_xlfn.CONCAT(F498, ", indicates health status.")</f>
        <v>LT-EPSB Ballast Hlth, indicates health status.</v>
      </c>
    </row>
    <row r="499" spans="1:8" x14ac:dyDescent="0.25">
      <c r="A499" s="3" t="s">
        <v>6983</v>
      </c>
      <c r="B499" s="3" t="s">
        <v>6989</v>
      </c>
      <c r="C499" s="3" t="s">
        <v>6985</v>
      </c>
      <c r="D499" s="3" t="s">
        <v>6337</v>
      </c>
      <c r="E499" s="3">
        <v>498</v>
      </c>
      <c r="F499" s="3" t="s">
        <v>2936</v>
      </c>
      <c r="G499" s="3" t="s">
        <v>20</v>
      </c>
      <c r="H499" s="3" t="str">
        <f t="shared" si="9"/>
        <v>LT-NE0BNE Ballast Hlth, indicates health status.</v>
      </c>
    </row>
    <row r="500" spans="1:8" x14ac:dyDescent="0.25">
      <c r="A500" s="3" t="s">
        <v>6983</v>
      </c>
      <c r="B500" s="3" t="s">
        <v>6989</v>
      </c>
      <c r="C500" s="3" t="s">
        <v>6985</v>
      </c>
      <c r="D500" s="3" t="s">
        <v>6337</v>
      </c>
      <c r="E500" s="3">
        <v>499</v>
      </c>
      <c r="F500" s="3" t="s">
        <v>2937</v>
      </c>
      <c r="G500" s="3" t="s">
        <v>20</v>
      </c>
      <c r="H500" s="3" t="str">
        <f t="shared" si="9"/>
        <v>LT-NE0BSW Ballast Hlth, indicates health status.</v>
      </c>
    </row>
    <row r="501" spans="1:8" x14ac:dyDescent="0.25">
      <c r="A501" s="3" t="s">
        <v>6983</v>
      </c>
      <c r="B501" s="3" t="s">
        <v>6989</v>
      </c>
      <c r="C501" s="3" t="s">
        <v>6985</v>
      </c>
      <c r="D501" s="3" t="s">
        <v>6337</v>
      </c>
      <c r="E501" s="3">
        <v>500</v>
      </c>
      <c r="F501" s="3" t="s">
        <v>2938</v>
      </c>
      <c r="G501" s="3" t="s">
        <v>20</v>
      </c>
      <c r="H501" s="3" t="str">
        <f t="shared" si="9"/>
        <v>LT-NE1TE Ballast Hlth, indicates health status.</v>
      </c>
    </row>
    <row r="502" spans="1:8" x14ac:dyDescent="0.25">
      <c r="A502" s="3" t="s">
        <v>6983</v>
      </c>
      <c r="B502" s="3" t="s">
        <v>6989</v>
      </c>
      <c r="C502" s="3" t="s">
        <v>6985</v>
      </c>
      <c r="D502" s="3" t="s">
        <v>6337</v>
      </c>
      <c r="E502" s="3">
        <v>501</v>
      </c>
      <c r="F502" s="3" t="s">
        <v>2939</v>
      </c>
      <c r="G502" s="3" t="s">
        <v>20</v>
      </c>
      <c r="H502" s="3" t="str">
        <f t="shared" si="9"/>
        <v>LT-NE1TN_Ballast Hlth, indicates health status.</v>
      </c>
    </row>
    <row r="503" spans="1:8" x14ac:dyDescent="0.25">
      <c r="A503" s="3" t="s">
        <v>6983</v>
      </c>
      <c r="B503" s="3" t="s">
        <v>6989</v>
      </c>
      <c r="C503" s="3" t="s">
        <v>6985</v>
      </c>
      <c r="D503" s="3" t="s">
        <v>6337</v>
      </c>
      <c r="E503" s="3">
        <v>502</v>
      </c>
      <c r="F503" s="3" t="s">
        <v>2940</v>
      </c>
      <c r="G503" s="3" t="s">
        <v>20</v>
      </c>
      <c r="H503" s="3" t="str">
        <f t="shared" si="9"/>
        <v>LT-NE1VS Void Hlth, indicates health status.</v>
      </c>
    </row>
    <row r="504" spans="1:8" x14ac:dyDescent="0.25">
      <c r="A504" s="3" t="s">
        <v>6983</v>
      </c>
      <c r="B504" s="3" t="s">
        <v>6989</v>
      </c>
      <c r="C504" s="3" t="s">
        <v>6985</v>
      </c>
      <c r="D504" s="3" t="s">
        <v>6337</v>
      </c>
      <c r="E504" s="3">
        <v>503</v>
      </c>
      <c r="F504" s="3" t="s">
        <v>2941</v>
      </c>
      <c r="G504" s="3" t="s">
        <v>20</v>
      </c>
      <c r="H504" s="3" t="str">
        <f t="shared" si="9"/>
        <v>LT-NE1VW Void Hlth, indicates health status.</v>
      </c>
    </row>
    <row r="505" spans="1:8" x14ac:dyDescent="0.25">
      <c r="A505" s="3" t="s">
        <v>6983</v>
      </c>
      <c r="B505" s="3" t="s">
        <v>6989</v>
      </c>
      <c r="C505" s="3" t="s">
        <v>6985</v>
      </c>
      <c r="D505" s="3" t="s">
        <v>6337</v>
      </c>
      <c r="E505" s="3">
        <v>504</v>
      </c>
      <c r="F505" s="3" t="s">
        <v>2942</v>
      </c>
      <c r="G505" s="3" t="s">
        <v>20</v>
      </c>
      <c r="H505" s="3" t="str">
        <f t="shared" si="9"/>
        <v>LT-NE2VE Void Hlth, indicates health status.</v>
      </c>
    </row>
    <row r="506" spans="1:8" x14ac:dyDescent="0.25">
      <c r="A506" s="3" t="s">
        <v>6983</v>
      </c>
      <c r="B506" s="3" t="s">
        <v>6989</v>
      </c>
      <c r="C506" s="3" t="s">
        <v>6985</v>
      </c>
      <c r="D506" s="3" t="s">
        <v>6337</v>
      </c>
      <c r="E506" s="3">
        <v>505</v>
      </c>
      <c r="F506" s="3" t="s">
        <v>2943</v>
      </c>
      <c r="G506" s="3" t="s">
        <v>20</v>
      </c>
      <c r="H506" s="3" t="str">
        <f t="shared" si="9"/>
        <v>LT-NE2VN Void Hlth, indicates health status.</v>
      </c>
    </row>
    <row r="507" spans="1:8" x14ac:dyDescent="0.25">
      <c r="A507" s="3" t="s">
        <v>6983</v>
      </c>
      <c r="B507" s="3" t="s">
        <v>6989</v>
      </c>
      <c r="C507" s="3" t="s">
        <v>6985</v>
      </c>
      <c r="D507" s="3" t="s">
        <v>6337</v>
      </c>
      <c r="E507" s="3">
        <v>506</v>
      </c>
      <c r="F507" s="3" t="s">
        <v>2944</v>
      </c>
      <c r="G507" s="3" t="s">
        <v>20</v>
      </c>
      <c r="H507" s="3" t="str">
        <f t="shared" si="9"/>
        <v>LT-NE2VS Void Hlth, indicates health status.</v>
      </c>
    </row>
    <row r="508" spans="1:8" x14ac:dyDescent="0.25">
      <c r="A508" s="3" t="s">
        <v>6983</v>
      </c>
      <c r="B508" s="3" t="s">
        <v>6989</v>
      </c>
      <c r="C508" s="3" t="s">
        <v>6985</v>
      </c>
      <c r="D508" s="3" t="s">
        <v>6337</v>
      </c>
      <c r="E508" s="3">
        <v>507</v>
      </c>
      <c r="F508" s="3" t="s">
        <v>2945</v>
      </c>
      <c r="G508" s="3" t="s">
        <v>20</v>
      </c>
      <c r="H508" s="3" t="str">
        <f t="shared" si="9"/>
        <v>LT-NE2VW Void Hlth, indicates health status.</v>
      </c>
    </row>
    <row r="509" spans="1:8" x14ac:dyDescent="0.25">
      <c r="A509" s="3" t="s">
        <v>6983</v>
      </c>
      <c r="B509" s="3" t="s">
        <v>6989</v>
      </c>
      <c r="C509" s="3" t="s">
        <v>6985</v>
      </c>
      <c r="D509" s="3" t="s">
        <v>6337</v>
      </c>
      <c r="E509" s="3">
        <v>508</v>
      </c>
      <c r="F509" s="3" t="s">
        <v>2946</v>
      </c>
      <c r="G509" s="3" t="s">
        <v>20</v>
      </c>
      <c r="H509" s="3" t="str">
        <f t="shared" si="9"/>
        <v>LT-NEAEC Center Void Hlth, indicates health status.</v>
      </c>
    </row>
    <row r="510" spans="1:8" x14ac:dyDescent="0.25">
      <c r="A510" s="3" t="s">
        <v>6983</v>
      </c>
      <c r="B510" s="3" t="s">
        <v>6989</v>
      </c>
      <c r="C510" s="3" t="s">
        <v>6985</v>
      </c>
      <c r="D510" s="3" t="s">
        <v>6337</v>
      </c>
      <c r="E510" s="3">
        <v>509</v>
      </c>
      <c r="F510" s="3" t="s">
        <v>2947</v>
      </c>
      <c r="G510" s="3" t="s">
        <v>20</v>
      </c>
      <c r="H510" s="3" t="str">
        <f t="shared" si="9"/>
        <v>LT-NPEB Ballast Hlth, indicates health status.</v>
      </c>
    </row>
    <row r="511" spans="1:8" x14ac:dyDescent="0.25">
      <c r="A511" s="3" t="s">
        <v>6983</v>
      </c>
      <c r="B511" s="3" t="s">
        <v>6989</v>
      </c>
      <c r="C511" s="3" t="s">
        <v>6985</v>
      </c>
      <c r="D511" s="3" t="s">
        <v>6337</v>
      </c>
      <c r="E511" s="3">
        <v>510</v>
      </c>
      <c r="F511" s="3" t="s">
        <v>2948</v>
      </c>
      <c r="G511" s="3" t="s">
        <v>20</v>
      </c>
      <c r="H511" s="3" t="str">
        <f t="shared" si="9"/>
        <v>LT-NPWB Ballast Hlth, indicates health status.</v>
      </c>
    </row>
    <row r="512" spans="1:8" x14ac:dyDescent="0.25">
      <c r="A512" s="3" t="s">
        <v>6983</v>
      </c>
      <c r="B512" s="3" t="s">
        <v>6989</v>
      </c>
      <c r="C512" s="3" t="s">
        <v>6985</v>
      </c>
      <c r="D512" s="3" t="s">
        <v>6337</v>
      </c>
      <c r="E512" s="3">
        <v>511</v>
      </c>
      <c r="F512" s="3" t="s">
        <v>2949</v>
      </c>
      <c r="G512" s="3" t="s">
        <v>20</v>
      </c>
      <c r="H512" s="3" t="str">
        <f t="shared" si="9"/>
        <v>LT-NW0BNW Ballast Hlth, indicates health status.</v>
      </c>
    </row>
    <row r="513" spans="1:8" x14ac:dyDescent="0.25">
      <c r="A513" s="3" t="s">
        <v>6983</v>
      </c>
      <c r="B513" s="3" t="s">
        <v>6989</v>
      </c>
      <c r="C513" s="3" t="s">
        <v>6985</v>
      </c>
      <c r="D513" s="3" t="s">
        <v>6337</v>
      </c>
      <c r="E513" s="3">
        <v>512</v>
      </c>
      <c r="F513" s="3" t="s">
        <v>2950</v>
      </c>
      <c r="G513" s="3" t="s">
        <v>20</v>
      </c>
      <c r="H513" s="3" t="str">
        <f t="shared" si="9"/>
        <v>LT-NW0BSE Ballast Hlth, indicates health status.</v>
      </c>
    </row>
    <row r="514" spans="1:8" x14ac:dyDescent="0.25">
      <c r="A514" s="3" t="s">
        <v>6983</v>
      </c>
      <c r="B514" s="3" t="s">
        <v>6989</v>
      </c>
      <c r="C514" s="3" t="s">
        <v>6985</v>
      </c>
      <c r="D514" s="3" t="s">
        <v>6337</v>
      </c>
      <c r="E514" s="3">
        <v>513</v>
      </c>
      <c r="F514" s="3" t="s">
        <v>2951</v>
      </c>
      <c r="G514" s="3" t="s">
        <v>20</v>
      </c>
      <c r="H514" s="3" t="str">
        <f t="shared" si="9"/>
        <v>LT-NW1TN Ballast Hlth, indicates health status.</v>
      </c>
    </row>
    <row r="515" spans="1:8" x14ac:dyDescent="0.25">
      <c r="A515" s="3" t="s">
        <v>6983</v>
      </c>
      <c r="B515" s="3" t="s">
        <v>6989</v>
      </c>
      <c r="C515" s="3" t="s">
        <v>6985</v>
      </c>
      <c r="D515" s="3" t="s">
        <v>6337</v>
      </c>
      <c r="E515" s="3">
        <v>514</v>
      </c>
      <c r="F515" s="3" t="s">
        <v>2952</v>
      </c>
      <c r="G515" s="3" t="s">
        <v>20</v>
      </c>
      <c r="H515" s="3" t="str">
        <f t="shared" si="9"/>
        <v>LT-NW1TW Ballast Hlth, indicates health status.</v>
      </c>
    </row>
    <row r="516" spans="1:8" x14ac:dyDescent="0.25">
      <c r="A516" s="3" t="s">
        <v>6983</v>
      </c>
      <c r="B516" s="3" t="s">
        <v>6989</v>
      </c>
      <c r="C516" s="3" t="s">
        <v>6985</v>
      </c>
      <c r="D516" s="3" t="s">
        <v>6337</v>
      </c>
      <c r="E516" s="3">
        <v>515</v>
      </c>
      <c r="F516" s="3" t="s">
        <v>2953</v>
      </c>
      <c r="G516" s="3" t="s">
        <v>20</v>
      </c>
      <c r="H516" s="3" t="str">
        <f t="shared" si="9"/>
        <v>LT-NW1VE Void Hlth, indicates health status.</v>
      </c>
    </row>
    <row r="517" spans="1:8" x14ac:dyDescent="0.25">
      <c r="A517" s="3" t="s">
        <v>6983</v>
      </c>
      <c r="B517" s="3" t="s">
        <v>6989</v>
      </c>
      <c r="C517" s="3" t="s">
        <v>6985</v>
      </c>
      <c r="D517" s="3" t="s">
        <v>6337</v>
      </c>
      <c r="E517" s="3">
        <v>516</v>
      </c>
      <c r="F517" s="3" t="s">
        <v>2954</v>
      </c>
      <c r="G517" s="3" t="s">
        <v>20</v>
      </c>
      <c r="H517" s="3" t="str">
        <f t="shared" si="9"/>
        <v>LT-NW1VS Void Hlth, indicates health status.</v>
      </c>
    </row>
    <row r="518" spans="1:8" x14ac:dyDescent="0.25">
      <c r="A518" s="3" t="s">
        <v>6983</v>
      </c>
      <c r="B518" s="3" t="s">
        <v>6989</v>
      </c>
      <c r="C518" s="3" t="s">
        <v>6985</v>
      </c>
      <c r="D518" s="3" t="s">
        <v>6337</v>
      </c>
      <c r="E518" s="3">
        <v>517</v>
      </c>
      <c r="F518" s="3" t="s">
        <v>2955</v>
      </c>
      <c r="G518" s="3" t="s">
        <v>20</v>
      </c>
      <c r="H518" s="3" t="str">
        <f t="shared" si="9"/>
        <v>LT-NW2VE Void Hlth, indicates health status.</v>
      </c>
    </row>
    <row r="519" spans="1:8" x14ac:dyDescent="0.25">
      <c r="A519" s="3" t="s">
        <v>6983</v>
      </c>
      <c r="B519" s="3" t="s">
        <v>6989</v>
      </c>
      <c r="C519" s="3" t="s">
        <v>6985</v>
      </c>
      <c r="D519" s="3" t="s">
        <v>6337</v>
      </c>
      <c r="E519" s="3">
        <v>518</v>
      </c>
      <c r="F519" s="3" t="s">
        <v>2956</v>
      </c>
      <c r="G519" s="3" t="s">
        <v>20</v>
      </c>
      <c r="H519" s="3" t="str">
        <f t="shared" si="9"/>
        <v>LT-NW2VN Void Hlth, indicates health status.</v>
      </c>
    </row>
    <row r="520" spans="1:8" x14ac:dyDescent="0.25">
      <c r="A520" s="3" t="s">
        <v>6983</v>
      </c>
      <c r="B520" s="3" t="s">
        <v>6989</v>
      </c>
      <c r="C520" s="3" t="s">
        <v>6985</v>
      </c>
      <c r="D520" s="3" t="s">
        <v>6337</v>
      </c>
      <c r="E520" s="3">
        <v>519</v>
      </c>
      <c r="F520" s="3" t="s">
        <v>2957</v>
      </c>
      <c r="G520" s="3" t="s">
        <v>20</v>
      </c>
      <c r="H520" s="3" t="str">
        <f t="shared" si="9"/>
        <v>LT-NW2VS Void Hlth, indicates health status.</v>
      </c>
    </row>
    <row r="521" spans="1:8" x14ac:dyDescent="0.25">
      <c r="A521" s="3" t="s">
        <v>6983</v>
      </c>
      <c r="B521" s="3" t="s">
        <v>6989</v>
      </c>
      <c r="C521" s="3" t="s">
        <v>6985</v>
      </c>
      <c r="D521" s="3" t="s">
        <v>6337</v>
      </c>
      <c r="E521" s="3">
        <v>520</v>
      </c>
      <c r="F521" s="3" t="s">
        <v>2958</v>
      </c>
      <c r="G521" s="3" t="s">
        <v>20</v>
      </c>
      <c r="H521" s="3" t="str">
        <f t="shared" si="9"/>
        <v>LT-NW2VW Void Hlth, indicates health status.</v>
      </c>
    </row>
    <row r="522" spans="1:8" x14ac:dyDescent="0.25">
      <c r="A522" s="3" t="s">
        <v>6983</v>
      </c>
      <c r="B522" s="3" t="s">
        <v>6989</v>
      </c>
      <c r="C522" s="3" t="s">
        <v>6985</v>
      </c>
      <c r="D522" s="3" t="s">
        <v>6337</v>
      </c>
      <c r="E522" s="3">
        <v>521</v>
      </c>
      <c r="F522" s="3" t="s">
        <v>2959</v>
      </c>
      <c r="G522" s="3" t="s">
        <v>20</v>
      </c>
      <c r="H522" s="3" t="str">
        <f t="shared" si="9"/>
        <v>LT-NWAEC Center Void Hlth, indicates health status.</v>
      </c>
    </row>
    <row r="523" spans="1:8" x14ac:dyDescent="0.25">
      <c r="A523" s="3" t="s">
        <v>6983</v>
      </c>
      <c r="B523" s="3" t="s">
        <v>6989</v>
      </c>
      <c r="C523" s="3" t="s">
        <v>6985</v>
      </c>
      <c r="D523" s="3" t="s">
        <v>6337</v>
      </c>
      <c r="E523" s="3">
        <v>522</v>
      </c>
      <c r="F523" s="3" t="s">
        <v>2960</v>
      </c>
      <c r="G523" s="3" t="s">
        <v>20</v>
      </c>
      <c r="H523" s="3" t="str">
        <f t="shared" si="9"/>
        <v>LT-SE0BNW Ballast Hlth, indicates health status.</v>
      </c>
    </row>
    <row r="524" spans="1:8" x14ac:dyDescent="0.25">
      <c r="A524" s="3" t="s">
        <v>6983</v>
      </c>
      <c r="B524" s="3" t="s">
        <v>6989</v>
      </c>
      <c r="C524" s="3" t="s">
        <v>6985</v>
      </c>
      <c r="D524" s="3" t="s">
        <v>6337</v>
      </c>
      <c r="E524" s="3">
        <v>523</v>
      </c>
      <c r="F524" s="3" t="s">
        <v>2961</v>
      </c>
      <c r="G524" s="3" t="s">
        <v>20</v>
      </c>
      <c r="H524" s="3" t="str">
        <f t="shared" si="9"/>
        <v>LT-SE0BSE Ballast Hlth, indicates health status.</v>
      </c>
    </row>
    <row r="525" spans="1:8" x14ac:dyDescent="0.25">
      <c r="A525" s="3" t="s">
        <v>6983</v>
      </c>
      <c r="B525" s="3" t="s">
        <v>6989</v>
      </c>
      <c r="C525" s="3" t="s">
        <v>6985</v>
      </c>
      <c r="D525" s="3" t="s">
        <v>6337</v>
      </c>
      <c r="E525" s="3">
        <v>524</v>
      </c>
      <c r="F525" s="3" t="s">
        <v>2962</v>
      </c>
      <c r="G525" s="3" t="s">
        <v>20</v>
      </c>
      <c r="H525" s="3" t="str">
        <f t="shared" si="9"/>
        <v>LT-SE1TE Ballast Hlth, indicates health status.</v>
      </c>
    </row>
    <row r="526" spans="1:8" x14ac:dyDescent="0.25">
      <c r="A526" s="3" t="s">
        <v>6983</v>
      </c>
      <c r="B526" s="3" t="s">
        <v>6989</v>
      </c>
      <c r="C526" s="3" t="s">
        <v>6985</v>
      </c>
      <c r="D526" s="3" t="s">
        <v>6337</v>
      </c>
      <c r="E526" s="3">
        <v>525</v>
      </c>
      <c r="F526" s="3" t="s">
        <v>2963</v>
      </c>
      <c r="G526" s="3" t="s">
        <v>20</v>
      </c>
      <c r="H526" s="3" t="str">
        <f t="shared" si="9"/>
        <v>LT-SE1TS Ballast Hlth, indicates health status.</v>
      </c>
    </row>
    <row r="527" spans="1:8" x14ac:dyDescent="0.25">
      <c r="A527" s="3" t="s">
        <v>6983</v>
      </c>
      <c r="B527" s="3" t="s">
        <v>6989</v>
      </c>
      <c r="C527" s="3" t="s">
        <v>6985</v>
      </c>
      <c r="D527" s="3" t="s">
        <v>6337</v>
      </c>
      <c r="E527" s="3">
        <v>526</v>
      </c>
      <c r="F527" s="3" t="s">
        <v>2964</v>
      </c>
      <c r="G527" s="3" t="s">
        <v>20</v>
      </c>
      <c r="H527" s="3" t="str">
        <f>_xlfn.CONCAT(F527, ", indicates health status.")</f>
        <v>LT-SE1VN Void Hlth, indicates health status.</v>
      </c>
    </row>
    <row r="528" spans="1:8" x14ac:dyDescent="0.25">
      <c r="A528" s="3" t="s">
        <v>6983</v>
      </c>
      <c r="B528" s="3" t="s">
        <v>6989</v>
      </c>
      <c r="C528" s="3" t="s">
        <v>6985</v>
      </c>
      <c r="D528" s="3" t="s">
        <v>6337</v>
      </c>
      <c r="E528" s="3">
        <v>527</v>
      </c>
      <c r="F528" s="3" t="s">
        <v>2965</v>
      </c>
      <c r="G528" s="3" t="s">
        <v>20</v>
      </c>
      <c r="H528" s="3" t="str">
        <f t="shared" si="9"/>
        <v>LT-SE1VW Void Hlth, indicates health status.</v>
      </c>
    </row>
    <row r="529" spans="1:8" x14ac:dyDescent="0.25">
      <c r="A529" s="3" t="s">
        <v>6983</v>
      </c>
      <c r="B529" s="3" t="s">
        <v>6989</v>
      </c>
      <c r="C529" s="3" t="s">
        <v>6985</v>
      </c>
      <c r="D529" s="3" t="s">
        <v>6337</v>
      </c>
      <c r="E529" s="3">
        <v>528</v>
      </c>
      <c r="F529" s="3" t="s">
        <v>2966</v>
      </c>
      <c r="G529" s="3" t="s">
        <v>20</v>
      </c>
      <c r="H529" s="3" t="str">
        <f t="shared" si="9"/>
        <v>LT-SE2VE Void Hlth, indicates health status.</v>
      </c>
    </row>
    <row r="530" spans="1:8" x14ac:dyDescent="0.25">
      <c r="A530" s="3" t="s">
        <v>6983</v>
      </c>
      <c r="B530" s="3" t="s">
        <v>6989</v>
      </c>
      <c r="C530" s="3" t="s">
        <v>6985</v>
      </c>
      <c r="D530" s="3" t="s">
        <v>6337</v>
      </c>
      <c r="E530" s="3">
        <v>529</v>
      </c>
      <c r="F530" s="3" t="s">
        <v>2967</v>
      </c>
      <c r="G530" s="3" t="s">
        <v>20</v>
      </c>
      <c r="H530" s="3" t="str">
        <f t="shared" si="9"/>
        <v>LT-SE2VN Void Hlth, indicates health status.</v>
      </c>
    </row>
    <row r="531" spans="1:8" x14ac:dyDescent="0.25">
      <c r="A531" s="3" t="s">
        <v>6983</v>
      </c>
      <c r="B531" s="3" t="s">
        <v>6989</v>
      </c>
      <c r="C531" s="3" t="s">
        <v>6985</v>
      </c>
      <c r="D531" s="3" t="s">
        <v>6337</v>
      </c>
      <c r="E531" s="3">
        <v>530</v>
      </c>
      <c r="F531" s="3" t="s">
        <v>2968</v>
      </c>
      <c r="G531" s="3" t="s">
        <v>20</v>
      </c>
      <c r="H531" s="3" t="str">
        <f t="shared" si="9"/>
        <v>LT-SE2VS Void Hlth, indicates health status.</v>
      </c>
    </row>
    <row r="532" spans="1:8" x14ac:dyDescent="0.25">
      <c r="A532" s="3" t="s">
        <v>6983</v>
      </c>
      <c r="B532" s="3" t="s">
        <v>6989</v>
      </c>
      <c r="C532" s="3" t="s">
        <v>6985</v>
      </c>
      <c r="D532" s="3" t="s">
        <v>6337</v>
      </c>
      <c r="E532" s="3">
        <v>531</v>
      </c>
      <c r="F532" s="3" t="s">
        <v>2969</v>
      </c>
      <c r="G532" s="3" t="s">
        <v>20</v>
      </c>
      <c r="H532" s="3" t="str">
        <f t="shared" si="9"/>
        <v>LT-SE2VW Void Hlth, indicates health status.</v>
      </c>
    </row>
    <row r="533" spans="1:8" x14ac:dyDescent="0.25">
      <c r="A533" s="3" t="s">
        <v>6983</v>
      </c>
      <c r="B533" s="3" t="s">
        <v>6989</v>
      </c>
      <c r="C533" s="3" t="s">
        <v>6985</v>
      </c>
      <c r="D533" s="3" t="s">
        <v>6337</v>
      </c>
      <c r="E533" s="3">
        <v>532</v>
      </c>
      <c r="F533" s="3" t="s">
        <v>2970</v>
      </c>
      <c r="G533" s="3" t="s">
        <v>20</v>
      </c>
      <c r="H533" s="3" t="str">
        <f t="shared" si="9"/>
        <v>LT-SEAEC Center Void Hlth, indicates health status.</v>
      </c>
    </row>
    <row r="534" spans="1:8" x14ac:dyDescent="0.25">
      <c r="A534" s="3" t="s">
        <v>6983</v>
      </c>
      <c r="B534" s="3" t="s">
        <v>6989</v>
      </c>
      <c r="C534" s="3" t="s">
        <v>6985</v>
      </c>
      <c r="D534" s="3" t="s">
        <v>6337</v>
      </c>
      <c r="E534" s="3">
        <v>533</v>
      </c>
      <c r="F534" s="3" t="s">
        <v>2971</v>
      </c>
      <c r="G534" s="3" t="s">
        <v>20</v>
      </c>
      <c r="H534" s="3" t="str">
        <f t="shared" si="9"/>
        <v>LT-SPEB Ballast Hlth, indicates health status.</v>
      </c>
    </row>
    <row r="535" spans="1:8" x14ac:dyDescent="0.25">
      <c r="A535" s="3" t="s">
        <v>6983</v>
      </c>
      <c r="B535" s="3" t="s">
        <v>6989</v>
      </c>
      <c r="C535" s="3" t="s">
        <v>6985</v>
      </c>
      <c r="D535" s="3" t="s">
        <v>6337</v>
      </c>
      <c r="E535" s="3">
        <v>534</v>
      </c>
      <c r="F535" s="3" t="s">
        <v>2972</v>
      </c>
      <c r="G535" s="3" t="s">
        <v>20</v>
      </c>
      <c r="H535" s="3" t="str">
        <f t="shared" si="9"/>
        <v>LT-SPWB Ballast Hlth, indicates health status.</v>
      </c>
    </row>
    <row r="536" spans="1:8" x14ac:dyDescent="0.25">
      <c r="A536" s="3" t="s">
        <v>6983</v>
      </c>
      <c r="B536" s="3" t="s">
        <v>6989</v>
      </c>
      <c r="C536" s="3" t="s">
        <v>6985</v>
      </c>
      <c r="D536" s="3" t="s">
        <v>6337</v>
      </c>
      <c r="E536" s="3">
        <v>535</v>
      </c>
      <c r="F536" s="3" t="s">
        <v>2973</v>
      </c>
      <c r="G536" s="3" t="s">
        <v>20</v>
      </c>
      <c r="H536" s="3" t="str">
        <f t="shared" si="9"/>
        <v>LT-SW0BNE Ballast Hlth, indicates health status.</v>
      </c>
    </row>
    <row r="537" spans="1:8" x14ac:dyDescent="0.25">
      <c r="A537" s="3" t="s">
        <v>6983</v>
      </c>
      <c r="B537" s="3" t="s">
        <v>6989</v>
      </c>
      <c r="C537" s="3" t="s">
        <v>6985</v>
      </c>
      <c r="D537" s="3" t="s">
        <v>6337</v>
      </c>
      <c r="E537" s="3">
        <v>536</v>
      </c>
      <c r="F537" s="3" t="s">
        <v>2974</v>
      </c>
      <c r="G537" s="3" t="s">
        <v>20</v>
      </c>
      <c r="H537" s="3" t="str">
        <f t="shared" si="9"/>
        <v>LT-SW0BSW Ballast Hlth, indicates health status.</v>
      </c>
    </row>
    <row r="538" spans="1:8" x14ac:dyDescent="0.25">
      <c r="A538" s="3" t="s">
        <v>6983</v>
      </c>
      <c r="B538" s="3" t="s">
        <v>6989</v>
      </c>
      <c r="C538" s="3" t="s">
        <v>6985</v>
      </c>
      <c r="D538" s="3" t="s">
        <v>6337</v>
      </c>
      <c r="E538" s="3">
        <v>537</v>
      </c>
      <c r="F538" s="3" t="s">
        <v>2975</v>
      </c>
      <c r="G538" s="3" t="s">
        <v>20</v>
      </c>
      <c r="H538" s="3" t="str">
        <f t="shared" si="9"/>
        <v>LT-SW1TS Ballast Hlth, indicates health status.</v>
      </c>
    </row>
    <row r="539" spans="1:8" x14ac:dyDescent="0.25">
      <c r="A539" s="3" t="s">
        <v>6983</v>
      </c>
      <c r="B539" s="3" t="s">
        <v>6989</v>
      </c>
      <c r="C539" s="3" t="s">
        <v>6985</v>
      </c>
      <c r="D539" s="3" t="s">
        <v>6337</v>
      </c>
      <c r="E539" s="3">
        <v>538</v>
      </c>
      <c r="F539" s="3" t="s">
        <v>2976</v>
      </c>
      <c r="G539" s="3" t="s">
        <v>20</v>
      </c>
      <c r="H539" s="3" t="str">
        <f t="shared" si="9"/>
        <v>LT-SW1TW Ballast Hlth, indicates health status.</v>
      </c>
    </row>
    <row r="540" spans="1:8" x14ac:dyDescent="0.25">
      <c r="A540" s="3" t="s">
        <v>6983</v>
      </c>
      <c r="B540" s="3" t="s">
        <v>6989</v>
      </c>
      <c r="C540" s="3" t="s">
        <v>6985</v>
      </c>
      <c r="D540" s="3" t="s">
        <v>6337</v>
      </c>
      <c r="E540" s="3">
        <v>539</v>
      </c>
      <c r="F540" s="3" t="s">
        <v>2977</v>
      </c>
      <c r="G540" s="3" t="s">
        <v>20</v>
      </c>
      <c r="H540" s="3" t="str">
        <f t="shared" si="9"/>
        <v>LT-SW1VE Void Hlth, indicates health status.</v>
      </c>
    </row>
    <row r="541" spans="1:8" x14ac:dyDescent="0.25">
      <c r="A541" s="3" t="s">
        <v>6983</v>
      </c>
      <c r="B541" s="3" t="s">
        <v>6989</v>
      </c>
      <c r="C541" s="3" t="s">
        <v>6985</v>
      </c>
      <c r="D541" s="3" t="s">
        <v>6337</v>
      </c>
      <c r="E541" s="3">
        <v>540</v>
      </c>
      <c r="F541" s="3" t="s">
        <v>2978</v>
      </c>
      <c r="G541" s="3" t="s">
        <v>20</v>
      </c>
      <c r="H541" s="3" t="str">
        <f t="shared" si="9"/>
        <v>LT-SW1VN Void Hlth, indicates health status.</v>
      </c>
    </row>
    <row r="542" spans="1:8" x14ac:dyDescent="0.25">
      <c r="A542" s="3" t="s">
        <v>6983</v>
      </c>
      <c r="B542" s="3" t="s">
        <v>6989</v>
      </c>
      <c r="C542" s="3" t="s">
        <v>6985</v>
      </c>
      <c r="D542" s="3" t="s">
        <v>6337</v>
      </c>
      <c r="E542" s="3">
        <v>541</v>
      </c>
      <c r="F542" s="3" t="s">
        <v>2979</v>
      </c>
      <c r="G542" s="3" t="s">
        <v>20</v>
      </c>
      <c r="H542" s="3" t="str">
        <f t="shared" si="9"/>
        <v>LT-SW2VE Void Hlth, indicates health status.</v>
      </c>
    </row>
    <row r="543" spans="1:8" x14ac:dyDescent="0.25">
      <c r="A543" s="3" t="s">
        <v>6983</v>
      </c>
      <c r="B543" s="3" t="s">
        <v>6989</v>
      </c>
      <c r="C543" s="3" t="s">
        <v>6985</v>
      </c>
      <c r="D543" s="3" t="s">
        <v>6337</v>
      </c>
      <c r="E543" s="3">
        <v>542</v>
      </c>
      <c r="F543" s="3" t="s">
        <v>2980</v>
      </c>
      <c r="G543" s="3" t="s">
        <v>20</v>
      </c>
      <c r="H543" s="3" t="str">
        <f t="shared" si="9"/>
        <v>LT-SW2VN Void Hlth, indicates health status.</v>
      </c>
    </row>
    <row r="544" spans="1:8" x14ac:dyDescent="0.25">
      <c r="A544" s="3" t="s">
        <v>6983</v>
      </c>
      <c r="B544" s="3" t="s">
        <v>6989</v>
      </c>
      <c r="C544" s="3" t="s">
        <v>6985</v>
      </c>
      <c r="D544" s="3" t="s">
        <v>6337</v>
      </c>
      <c r="E544" s="3">
        <v>543</v>
      </c>
      <c r="F544" s="3" t="s">
        <v>2981</v>
      </c>
      <c r="G544" s="3" t="s">
        <v>20</v>
      </c>
      <c r="H544" s="3" t="str">
        <f t="shared" si="9"/>
        <v>LT-SW2VS Void Hlth, indicates health status.</v>
      </c>
    </row>
    <row r="545" spans="1:8" x14ac:dyDescent="0.25">
      <c r="A545" s="3" t="s">
        <v>6983</v>
      </c>
      <c r="B545" s="3" t="s">
        <v>6989</v>
      </c>
      <c r="C545" s="3" t="s">
        <v>6985</v>
      </c>
      <c r="D545" s="3" t="s">
        <v>6337</v>
      </c>
      <c r="E545" s="3">
        <v>544</v>
      </c>
      <c r="F545" s="3" t="s">
        <v>2982</v>
      </c>
      <c r="G545" s="3" t="s">
        <v>20</v>
      </c>
      <c r="H545" s="3" t="str">
        <f t="shared" si="9"/>
        <v>LT-SW2VW Void Hlth, indicates health status.</v>
      </c>
    </row>
    <row r="546" spans="1:8" x14ac:dyDescent="0.25">
      <c r="A546" s="3" t="s">
        <v>6983</v>
      </c>
      <c r="B546" s="3" t="s">
        <v>6989</v>
      </c>
      <c r="C546" s="3" t="s">
        <v>6985</v>
      </c>
      <c r="D546" s="3" t="s">
        <v>6337</v>
      </c>
      <c r="E546" s="3">
        <v>545</v>
      </c>
      <c r="F546" s="3" t="s">
        <v>2983</v>
      </c>
      <c r="G546" s="3" t="s">
        <v>20</v>
      </c>
      <c r="H546" s="3" t="str">
        <f t="shared" si="9"/>
        <v>LT-SWAEC Center Void Hlth, indicates health status.</v>
      </c>
    </row>
    <row r="547" spans="1:8" x14ac:dyDescent="0.25">
      <c r="A547" s="3" t="s">
        <v>6983</v>
      </c>
      <c r="B547" s="3" t="s">
        <v>6989</v>
      </c>
      <c r="C547" s="3" t="s">
        <v>6985</v>
      </c>
      <c r="D547" s="3" t="s">
        <v>6337</v>
      </c>
      <c r="E547" s="3">
        <v>546</v>
      </c>
      <c r="F547" s="3" t="s">
        <v>2984</v>
      </c>
      <c r="G547" s="3" t="s">
        <v>20</v>
      </c>
      <c r="H547" s="3" t="str">
        <f t="shared" si="9"/>
        <v>LT-WPNB Ballast Hlth, indicates health status.</v>
      </c>
    </row>
    <row r="548" spans="1:8" x14ac:dyDescent="0.25">
      <c r="A548" s="3" t="s">
        <v>6983</v>
      </c>
      <c r="B548" s="3" t="s">
        <v>6989</v>
      </c>
      <c r="C548" s="3" t="s">
        <v>6985</v>
      </c>
      <c r="D548" s="3" t="s">
        <v>6337</v>
      </c>
      <c r="E548" s="3">
        <v>547</v>
      </c>
      <c r="F548" s="3" t="s">
        <v>2985</v>
      </c>
      <c r="G548" s="3" t="s">
        <v>20</v>
      </c>
      <c r="H548" s="3" t="str">
        <f t="shared" si="9"/>
        <v>LT-WPSB Ballast Hlth, indicates health status.</v>
      </c>
    </row>
    <row r="549" spans="1:8" x14ac:dyDescent="0.25">
      <c r="A549" s="3" t="s">
        <v>6983</v>
      </c>
      <c r="B549" s="3" t="s">
        <v>6989</v>
      </c>
      <c r="C549" s="3" t="s">
        <v>6985</v>
      </c>
      <c r="D549" s="3" t="s">
        <v>6337</v>
      </c>
      <c r="E549" s="3">
        <v>548</v>
      </c>
      <c r="F549" s="3" t="s">
        <v>2986</v>
      </c>
      <c r="G549" s="3" t="s">
        <v>20</v>
      </c>
      <c r="H549" s="3" t="str">
        <f t="shared" si="9"/>
        <v>LT-5160A1 Methanol Hlth, indicates health status.</v>
      </c>
    </row>
    <row r="550" spans="1:8" x14ac:dyDescent="0.25">
      <c r="A550" s="3" t="s">
        <v>6983</v>
      </c>
      <c r="B550" s="3" t="s">
        <v>6989</v>
      </c>
      <c r="C550" s="3" t="s">
        <v>6985</v>
      </c>
      <c r="D550" s="3" t="s">
        <v>6337</v>
      </c>
      <c r="E550" s="3">
        <v>549</v>
      </c>
      <c r="F550" s="3" t="s">
        <v>2987</v>
      </c>
      <c r="G550" s="3" t="s">
        <v>20</v>
      </c>
      <c r="H550" s="3" t="str">
        <f t="shared" si="9"/>
        <v>LT-5161A1 Methanol Hlth, indicates health status.</v>
      </c>
    </row>
    <row r="551" spans="1:8" x14ac:dyDescent="0.25">
      <c r="A551" s="3" t="s">
        <v>6983</v>
      </c>
      <c r="B551" s="3" t="s">
        <v>6989</v>
      </c>
      <c r="C551" s="3" t="s">
        <v>6985</v>
      </c>
      <c r="D551" s="3" t="s">
        <v>6337</v>
      </c>
      <c r="E551" s="3">
        <v>550</v>
      </c>
      <c r="F551" s="3" t="s">
        <v>2988</v>
      </c>
      <c r="G551" s="3" t="s">
        <v>20</v>
      </c>
      <c r="H551" s="3" t="str">
        <f t="shared" si="9"/>
        <v>LT-5360A1 Diesel Tnk Hlth, indicates health status.</v>
      </c>
    </row>
    <row r="552" spans="1:8" x14ac:dyDescent="0.25">
      <c r="A552" s="3" t="s">
        <v>6983</v>
      </c>
      <c r="B552" s="3" t="s">
        <v>6989</v>
      </c>
      <c r="C552" s="3" t="s">
        <v>6985</v>
      </c>
      <c r="D552" s="3" t="s">
        <v>6337</v>
      </c>
      <c r="E552" s="3">
        <v>551</v>
      </c>
      <c r="F552" s="3" t="s">
        <v>2989</v>
      </c>
      <c r="G552" s="3" t="s">
        <v>20</v>
      </c>
      <c r="H552" s="3" t="str">
        <f t="shared" si="9"/>
        <v>LT-5460A1 Drill Water Hlth, indicates health status.</v>
      </c>
    </row>
    <row r="553" spans="1:8" x14ac:dyDescent="0.25">
      <c r="A553" s="3" t="s">
        <v>6983</v>
      </c>
      <c r="B553" s="3" t="s">
        <v>6989</v>
      </c>
      <c r="C553" s="3" t="s">
        <v>6985</v>
      </c>
      <c r="D553" s="3" t="s">
        <v>6338</v>
      </c>
      <c r="E553" s="3">
        <v>552</v>
      </c>
      <c r="F553" s="3" t="s">
        <v>2990</v>
      </c>
      <c r="G553" s="3" t="s">
        <v>1093</v>
      </c>
      <c r="H553" s="3" t="s">
        <v>1238</v>
      </c>
    </row>
    <row r="554" spans="1:8" x14ac:dyDescent="0.25">
      <c r="A554" s="3" t="s">
        <v>6983</v>
      </c>
      <c r="B554" s="3" t="s">
        <v>6989</v>
      </c>
      <c r="C554" s="3" t="s">
        <v>6985</v>
      </c>
      <c r="D554" s="3" t="s">
        <v>6338</v>
      </c>
      <c r="E554" s="3">
        <v>553</v>
      </c>
      <c r="F554" s="3" t="s">
        <v>2991</v>
      </c>
      <c r="G554" s="3" t="s">
        <v>16</v>
      </c>
      <c r="H554" s="3" t="s">
        <v>1234</v>
      </c>
    </row>
    <row r="555" spans="1:8" x14ac:dyDescent="0.25">
      <c r="A555" s="3" t="s">
        <v>6983</v>
      </c>
      <c r="B555" s="3" t="s">
        <v>6989</v>
      </c>
      <c r="C555" s="3" t="s">
        <v>6985</v>
      </c>
      <c r="D555" s="3" t="s">
        <v>6338</v>
      </c>
      <c r="E555" s="3">
        <v>554</v>
      </c>
      <c r="F555" s="3" t="s">
        <v>2992</v>
      </c>
      <c r="G555" s="3" t="s">
        <v>1093</v>
      </c>
      <c r="H555" s="3" t="s">
        <v>1239</v>
      </c>
    </row>
    <row r="556" spans="1:8" x14ac:dyDescent="0.25">
      <c r="A556" s="3" t="s">
        <v>6983</v>
      </c>
      <c r="B556" s="3" t="s">
        <v>6989</v>
      </c>
      <c r="C556" s="3" t="s">
        <v>6985</v>
      </c>
      <c r="D556" s="3" t="s">
        <v>6338</v>
      </c>
      <c r="E556" s="3">
        <v>555</v>
      </c>
      <c r="F556" s="3" t="s">
        <v>2993</v>
      </c>
      <c r="G556" s="3" t="s">
        <v>16</v>
      </c>
      <c r="H556" s="3" t="s">
        <v>1236</v>
      </c>
    </row>
    <row r="557" spans="1:8" x14ac:dyDescent="0.25">
      <c r="A557" s="3" t="s">
        <v>6983</v>
      </c>
      <c r="B557" s="3" t="s">
        <v>6989</v>
      </c>
      <c r="C557" s="3" t="s">
        <v>6985</v>
      </c>
      <c r="D557" s="3" t="s">
        <v>6338</v>
      </c>
      <c r="E557" s="3">
        <v>556</v>
      </c>
      <c r="F557" s="3" t="s">
        <v>2994</v>
      </c>
      <c r="G557" s="3" t="s">
        <v>1093</v>
      </c>
      <c r="H557" s="3" t="s">
        <v>1240</v>
      </c>
    </row>
    <row r="558" spans="1:8" x14ac:dyDescent="0.25">
      <c r="A558" s="3" t="s">
        <v>6983</v>
      </c>
      <c r="B558" s="3" t="s">
        <v>6989</v>
      </c>
      <c r="C558" s="3" t="s">
        <v>6985</v>
      </c>
      <c r="D558" s="3" t="s">
        <v>6338</v>
      </c>
      <c r="E558" s="3">
        <v>557</v>
      </c>
      <c r="F558" s="3" t="s">
        <v>2995</v>
      </c>
      <c r="G558" s="3" t="s">
        <v>16</v>
      </c>
      <c r="H558" s="3" t="s">
        <v>1237</v>
      </c>
    </row>
    <row r="559" spans="1:8" x14ac:dyDescent="0.25">
      <c r="A559" s="3" t="s">
        <v>6983</v>
      </c>
      <c r="B559" s="3" t="s">
        <v>6989</v>
      </c>
      <c r="C559" s="3" t="s">
        <v>6985</v>
      </c>
      <c r="D559" s="3" t="s">
        <v>6338</v>
      </c>
      <c r="E559" s="3">
        <v>558</v>
      </c>
      <c r="F559" s="3" t="s">
        <v>2996</v>
      </c>
      <c r="G559" s="3" t="s">
        <v>1109</v>
      </c>
      <c r="H559" s="3" t="s">
        <v>1233</v>
      </c>
    </row>
    <row r="560" spans="1:8" x14ac:dyDescent="0.25">
      <c r="A560" s="3" t="s">
        <v>6983</v>
      </c>
      <c r="B560" s="3" t="s">
        <v>6989</v>
      </c>
      <c r="C560" s="3" t="s">
        <v>6985</v>
      </c>
      <c r="D560" s="3" t="s">
        <v>6338</v>
      </c>
      <c r="E560" s="3">
        <v>559</v>
      </c>
      <c r="F560" s="3" t="s">
        <v>2997</v>
      </c>
      <c r="G560" s="3" t="s">
        <v>1098</v>
      </c>
      <c r="H560" s="3" t="s">
        <v>1242</v>
      </c>
    </row>
    <row r="561" spans="1:8" x14ac:dyDescent="0.25">
      <c r="A561" s="3" t="s">
        <v>6983</v>
      </c>
      <c r="B561" s="3" t="s">
        <v>6989</v>
      </c>
      <c r="C561" s="3" t="s">
        <v>6985</v>
      </c>
      <c r="D561" s="3" t="s">
        <v>6338</v>
      </c>
      <c r="E561" s="3">
        <v>560</v>
      </c>
      <c r="F561" s="3" t="s">
        <v>2998</v>
      </c>
      <c r="G561" s="3" t="s">
        <v>1095</v>
      </c>
      <c r="H561" s="3" t="s">
        <v>32</v>
      </c>
    </row>
    <row r="562" spans="1:8" x14ac:dyDescent="0.25">
      <c r="A562" s="3" t="s">
        <v>6983</v>
      </c>
      <c r="B562" s="3" t="s">
        <v>6989</v>
      </c>
      <c r="C562" s="3" t="s">
        <v>6985</v>
      </c>
      <c r="D562" s="3" t="s">
        <v>6338</v>
      </c>
      <c r="E562" s="3">
        <v>561</v>
      </c>
      <c r="F562" s="3" t="s">
        <v>2999</v>
      </c>
      <c r="G562" s="3" t="s">
        <v>1095</v>
      </c>
      <c r="H562" s="3" t="s">
        <v>1144</v>
      </c>
    </row>
    <row r="563" spans="1:8" x14ac:dyDescent="0.25">
      <c r="A563" s="3" t="s">
        <v>6983</v>
      </c>
      <c r="B563" s="3" t="s">
        <v>6989</v>
      </c>
      <c r="C563" s="3" t="s">
        <v>6985</v>
      </c>
      <c r="D563" s="3" t="s">
        <v>6338</v>
      </c>
      <c r="E563" s="3">
        <v>562</v>
      </c>
      <c r="F563" s="3" t="s">
        <v>3000</v>
      </c>
      <c r="G563" s="3" t="s">
        <v>9</v>
      </c>
      <c r="H563" s="3" t="s">
        <v>7089</v>
      </c>
    </row>
    <row r="564" spans="1:8" x14ac:dyDescent="0.25">
      <c r="A564" s="3" t="s">
        <v>6983</v>
      </c>
      <c r="B564" s="3" t="s">
        <v>6989</v>
      </c>
      <c r="C564" s="3" t="s">
        <v>6985</v>
      </c>
      <c r="D564" s="3" t="s">
        <v>6338</v>
      </c>
      <c r="E564" s="3">
        <v>563</v>
      </c>
      <c r="F564" s="3" t="s">
        <v>3001</v>
      </c>
      <c r="G564" s="3" t="s">
        <v>9</v>
      </c>
      <c r="H564" s="3" t="s">
        <v>7083</v>
      </c>
    </row>
    <row r="565" spans="1:8" x14ac:dyDescent="0.25">
      <c r="A565" s="3" t="s">
        <v>6983</v>
      </c>
      <c r="B565" s="3" t="s">
        <v>6989</v>
      </c>
      <c r="C565" s="3" t="s">
        <v>6985</v>
      </c>
      <c r="D565" s="3" t="s">
        <v>6338</v>
      </c>
      <c r="E565" s="3">
        <v>564</v>
      </c>
      <c r="F565" s="3" t="s">
        <v>3002</v>
      </c>
      <c r="G565" s="3" t="s">
        <v>3843</v>
      </c>
      <c r="H565" s="3" t="s">
        <v>7082</v>
      </c>
    </row>
    <row r="566" spans="1:8" x14ac:dyDescent="0.25">
      <c r="A566" s="3" t="s">
        <v>6983</v>
      </c>
      <c r="B566" s="3" t="s">
        <v>6989</v>
      </c>
      <c r="C566" s="3" t="s">
        <v>6985</v>
      </c>
      <c r="D566" s="3" t="s">
        <v>6338</v>
      </c>
      <c r="E566" s="3">
        <v>565</v>
      </c>
      <c r="F566" s="3" t="s">
        <v>3003</v>
      </c>
      <c r="G566" s="3" t="s">
        <v>3843</v>
      </c>
      <c r="H566" s="3" t="s">
        <v>7084</v>
      </c>
    </row>
    <row r="567" spans="1:8" x14ac:dyDescent="0.25">
      <c r="A567" s="3" t="s">
        <v>6983</v>
      </c>
      <c r="B567" s="3" t="s">
        <v>6989</v>
      </c>
      <c r="C567" s="3" t="s">
        <v>6985</v>
      </c>
      <c r="D567" s="3" t="s">
        <v>6338</v>
      </c>
      <c r="E567" s="3">
        <v>566</v>
      </c>
      <c r="F567" s="3" t="s">
        <v>3004</v>
      </c>
      <c r="G567" s="3" t="s">
        <v>9</v>
      </c>
      <c r="H567" s="3" t="s">
        <v>7088</v>
      </c>
    </row>
    <row r="568" spans="1:8" x14ac:dyDescent="0.25">
      <c r="A568" s="3" t="s">
        <v>6983</v>
      </c>
      <c r="B568" s="3" t="s">
        <v>6989</v>
      </c>
      <c r="C568" s="3" t="s">
        <v>6985</v>
      </c>
      <c r="D568" s="3" t="s">
        <v>6338</v>
      </c>
      <c r="E568" s="3">
        <v>567</v>
      </c>
      <c r="F568" s="3" t="s">
        <v>3005</v>
      </c>
      <c r="G568" s="3" t="s">
        <v>9</v>
      </c>
      <c r="H568" s="3" t="s">
        <v>7085</v>
      </c>
    </row>
    <row r="569" spans="1:8" x14ac:dyDescent="0.25">
      <c r="A569" s="3" t="s">
        <v>6983</v>
      </c>
      <c r="B569" s="3" t="s">
        <v>6989</v>
      </c>
      <c r="C569" s="3" t="s">
        <v>6985</v>
      </c>
      <c r="D569" s="3" t="s">
        <v>6338</v>
      </c>
      <c r="E569" s="3">
        <v>568</v>
      </c>
      <c r="F569" s="3" t="s">
        <v>3006</v>
      </c>
      <c r="G569" s="3" t="s">
        <v>3843</v>
      </c>
      <c r="H569" s="3" t="s">
        <v>7086</v>
      </c>
    </row>
    <row r="570" spans="1:8" x14ac:dyDescent="0.25">
      <c r="A570" s="3" t="s">
        <v>6983</v>
      </c>
      <c r="B570" s="3" t="s">
        <v>6989</v>
      </c>
      <c r="C570" s="3" t="s">
        <v>6985</v>
      </c>
      <c r="D570" s="3" t="s">
        <v>6338</v>
      </c>
      <c r="E570" s="3">
        <v>569</v>
      </c>
      <c r="F570" s="3" t="s">
        <v>3007</v>
      </c>
      <c r="G570" s="3" t="s">
        <v>3843</v>
      </c>
      <c r="H570" s="3" t="s">
        <v>7087</v>
      </c>
    </row>
    <row r="571" spans="1:8" x14ac:dyDescent="0.25">
      <c r="A571" s="3" t="s">
        <v>6983</v>
      </c>
      <c r="B571" s="3" t="s">
        <v>6989</v>
      </c>
      <c r="C571" s="3" t="s">
        <v>6985</v>
      </c>
      <c r="D571" s="3" t="s">
        <v>6338</v>
      </c>
      <c r="E571" s="3">
        <v>570</v>
      </c>
      <c r="F571" s="3" t="s">
        <v>3008</v>
      </c>
      <c r="G571" s="3" t="s">
        <v>3844</v>
      </c>
      <c r="H571" s="3" t="s">
        <v>1244</v>
      </c>
    </row>
    <row r="572" spans="1:8" x14ac:dyDescent="0.25">
      <c r="A572" s="3" t="s">
        <v>6983</v>
      </c>
      <c r="B572" s="3" t="s">
        <v>6989</v>
      </c>
      <c r="C572" s="3" t="s">
        <v>6985</v>
      </c>
      <c r="D572" s="3" t="s">
        <v>6338</v>
      </c>
      <c r="E572" s="3">
        <v>571</v>
      </c>
      <c r="F572" s="3" t="s">
        <v>3009</v>
      </c>
      <c r="G572" s="3" t="s">
        <v>1093</v>
      </c>
      <c r="H572" s="3" t="s">
        <v>1245</v>
      </c>
    </row>
    <row r="573" spans="1:8" x14ac:dyDescent="0.25">
      <c r="A573" s="3" t="s">
        <v>6983</v>
      </c>
      <c r="B573" s="3" t="s">
        <v>6989</v>
      </c>
      <c r="C573" s="3" t="s">
        <v>6985</v>
      </c>
      <c r="D573" s="3" t="s">
        <v>6338</v>
      </c>
      <c r="E573" s="3">
        <v>572</v>
      </c>
      <c r="F573" s="4" t="s">
        <v>3010</v>
      </c>
      <c r="G573" s="4" t="s">
        <v>3845</v>
      </c>
      <c r="H573" s="4" t="s">
        <v>6689</v>
      </c>
    </row>
    <row r="574" spans="1:8" x14ac:dyDescent="0.25">
      <c r="A574" s="3" t="s">
        <v>6983</v>
      </c>
      <c r="B574" s="3" t="s">
        <v>6989</v>
      </c>
      <c r="C574" s="3" t="s">
        <v>6985</v>
      </c>
      <c r="D574" s="3" t="s">
        <v>6338</v>
      </c>
      <c r="E574" s="3">
        <v>573</v>
      </c>
      <c r="F574" s="3" t="s">
        <v>3011</v>
      </c>
      <c r="G574" s="3" t="s">
        <v>16</v>
      </c>
      <c r="H574" s="3" t="s">
        <v>1243</v>
      </c>
    </row>
    <row r="575" spans="1:8" x14ac:dyDescent="0.25">
      <c r="A575" s="3" t="s">
        <v>6983</v>
      </c>
      <c r="B575" s="3" t="s">
        <v>6989</v>
      </c>
      <c r="C575" s="3" t="s">
        <v>6985</v>
      </c>
      <c r="D575" s="3" t="s">
        <v>2112</v>
      </c>
      <c r="E575" s="3">
        <v>574</v>
      </c>
      <c r="F575" s="3" t="s">
        <v>3012</v>
      </c>
      <c r="G575" s="3" t="s">
        <v>13</v>
      </c>
      <c r="H575" s="3" t="s">
        <v>6977</v>
      </c>
    </row>
    <row r="576" spans="1:8" x14ac:dyDescent="0.25">
      <c r="A576" s="3" t="s">
        <v>6983</v>
      </c>
      <c r="B576" s="3" t="s">
        <v>6989</v>
      </c>
      <c r="C576" s="3" t="s">
        <v>6985</v>
      </c>
      <c r="D576" s="3" t="s">
        <v>2112</v>
      </c>
      <c r="E576" s="3">
        <v>575</v>
      </c>
      <c r="F576" s="3" t="s">
        <v>3013</v>
      </c>
      <c r="G576" s="3" t="s">
        <v>4</v>
      </c>
      <c r="H576" s="4" t="s">
        <v>6978</v>
      </c>
    </row>
    <row r="577" spans="1:10" x14ac:dyDescent="0.25">
      <c r="A577" s="3" t="s">
        <v>6983</v>
      </c>
      <c r="B577" s="3" t="s">
        <v>6989</v>
      </c>
      <c r="C577" s="3" t="s">
        <v>6985</v>
      </c>
      <c r="D577" s="3" t="s">
        <v>2112</v>
      </c>
      <c r="E577" s="3">
        <v>576</v>
      </c>
      <c r="F577" s="3" t="s">
        <v>3014</v>
      </c>
      <c r="G577" s="3" t="s">
        <v>11</v>
      </c>
      <c r="H577" s="3" t="s">
        <v>6976</v>
      </c>
    </row>
    <row r="578" spans="1:10" x14ac:dyDescent="0.25">
      <c r="A578" s="3" t="s">
        <v>6983</v>
      </c>
      <c r="B578" s="3" t="s">
        <v>6989</v>
      </c>
      <c r="C578" s="3" t="s">
        <v>6985</v>
      </c>
      <c r="D578" s="3" t="s">
        <v>6319</v>
      </c>
      <c r="E578" s="3">
        <v>577</v>
      </c>
      <c r="F578" s="3" t="s">
        <v>3015</v>
      </c>
      <c r="G578" s="3" t="s">
        <v>19</v>
      </c>
      <c r="H578" s="3" t="str">
        <f>_xlfn.CONCAT("Output ", F578, ", from drilling system, RTOC.")</f>
        <v>Output Activity Code, from drilling system, RTOC.</v>
      </c>
    </row>
    <row r="579" spans="1:10" x14ac:dyDescent="0.25">
      <c r="A579" s="3" t="s">
        <v>6983</v>
      </c>
      <c r="B579" s="3" t="s">
        <v>6989</v>
      </c>
      <c r="C579" s="3" t="s">
        <v>6985</v>
      </c>
      <c r="D579" s="3" t="s">
        <v>6319</v>
      </c>
      <c r="E579" s="3">
        <v>578</v>
      </c>
      <c r="F579" s="3" t="s">
        <v>3016</v>
      </c>
      <c r="G579" s="3" t="s">
        <v>1093</v>
      </c>
      <c r="H579" s="3" t="str">
        <f t="shared" ref="H579:H586" si="10">_xlfn.CONCAT("Output ", F579, ", from drilling system, RTOC.")</f>
        <v>Output Depth Bit, from drilling system, RTOC.</v>
      </c>
    </row>
    <row r="580" spans="1:10" x14ac:dyDescent="0.25">
      <c r="A580" s="3" t="s">
        <v>6983</v>
      </c>
      <c r="B580" s="3" t="s">
        <v>6989</v>
      </c>
      <c r="C580" s="3" t="s">
        <v>6985</v>
      </c>
      <c r="D580" s="3" t="s">
        <v>6319</v>
      </c>
      <c r="E580" s="3">
        <v>579</v>
      </c>
      <c r="F580" s="3" t="s">
        <v>3017</v>
      </c>
      <c r="G580" s="3" t="s">
        <v>3846</v>
      </c>
      <c r="H580" s="3" t="str">
        <f t="shared" si="10"/>
        <v>Output Rate of Penetration, from drilling system, RTOC.</v>
      </c>
    </row>
    <row r="581" spans="1:10" x14ac:dyDescent="0.25">
      <c r="A581" s="3" t="s">
        <v>6983</v>
      </c>
      <c r="B581" s="3" t="s">
        <v>6989</v>
      </c>
      <c r="C581" s="3" t="s">
        <v>6985</v>
      </c>
      <c r="D581" s="3" t="s">
        <v>6319</v>
      </c>
      <c r="E581" s="3">
        <v>580</v>
      </c>
      <c r="F581" s="3" t="s">
        <v>3018</v>
      </c>
      <c r="G581" s="3" t="s">
        <v>1100</v>
      </c>
      <c r="H581" s="3" t="str">
        <f t="shared" si="10"/>
        <v>Output Hookload, from drilling system, RTOC.</v>
      </c>
    </row>
    <row r="582" spans="1:10" x14ac:dyDescent="0.25">
      <c r="A582" s="3" t="s">
        <v>6983</v>
      </c>
      <c r="B582" s="3" t="s">
        <v>6989</v>
      </c>
      <c r="C582" s="3" t="s">
        <v>6985</v>
      </c>
      <c r="D582" s="3" t="s">
        <v>6319</v>
      </c>
      <c r="E582" s="3">
        <v>581</v>
      </c>
      <c r="F582" s="3" t="s">
        <v>3019</v>
      </c>
      <c r="G582" s="3" t="s">
        <v>1100</v>
      </c>
      <c r="H582" s="3" t="str">
        <f t="shared" si="10"/>
        <v>Output Weight on Bit, from drilling system, RTOC.</v>
      </c>
    </row>
    <row r="583" spans="1:10" x14ac:dyDescent="0.25">
      <c r="A583" s="3" t="s">
        <v>6983</v>
      </c>
      <c r="B583" s="3" t="s">
        <v>6989</v>
      </c>
      <c r="C583" s="3" t="s">
        <v>6985</v>
      </c>
      <c r="D583" s="3" t="s">
        <v>6319</v>
      </c>
      <c r="E583" s="3">
        <v>582</v>
      </c>
      <c r="F583" s="3" t="s">
        <v>3020</v>
      </c>
      <c r="G583" s="3" t="s">
        <v>1101</v>
      </c>
      <c r="H583" s="3" t="str">
        <f t="shared" si="10"/>
        <v>Output Rotary Torque, from drilling system, RTOC.</v>
      </c>
    </row>
    <row r="584" spans="1:10" x14ac:dyDescent="0.25">
      <c r="A584" s="3" t="s">
        <v>6983</v>
      </c>
      <c r="B584" s="3" t="s">
        <v>6989</v>
      </c>
      <c r="C584" s="3" t="s">
        <v>6985</v>
      </c>
      <c r="D584" s="3" t="s">
        <v>6319</v>
      </c>
      <c r="E584" s="3">
        <v>583</v>
      </c>
      <c r="F584" s="3" t="s">
        <v>3021</v>
      </c>
      <c r="G584" s="3" t="s">
        <v>3847</v>
      </c>
      <c r="H584" s="3" t="str">
        <f t="shared" si="10"/>
        <v>Output Rotary Speed, from drilling system, RTOC.</v>
      </c>
    </row>
    <row r="585" spans="1:10" x14ac:dyDescent="0.25">
      <c r="A585" s="3" t="s">
        <v>6983</v>
      </c>
      <c r="B585" s="3" t="s">
        <v>6989</v>
      </c>
      <c r="C585" s="3" t="s">
        <v>6985</v>
      </c>
      <c r="D585" s="3" t="s">
        <v>6319</v>
      </c>
      <c r="E585" s="3">
        <v>584</v>
      </c>
      <c r="F585" s="3" t="s">
        <v>3022</v>
      </c>
      <c r="G585" s="3" t="s">
        <v>3848</v>
      </c>
      <c r="H585" s="3" t="str">
        <f t="shared" si="10"/>
        <v>Output Mud Weight Out, from drilling system, RTOC.</v>
      </c>
    </row>
    <row r="586" spans="1:10" x14ac:dyDescent="0.25">
      <c r="A586" s="3" t="s">
        <v>6983</v>
      </c>
      <c r="B586" s="3" t="s">
        <v>6989</v>
      </c>
      <c r="C586" s="3" t="s">
        <v>6985</v>
      </c>
      <c r="D586" s="3" t="s">
        <v>6319</v>
      </c>
      <c r="E586" s="3">
        <v>585</v>
      </c>
      <c r="F586" s="3" t="s">
        <v>3023</v>
      </c>
      <c r="G586" s="3" t="s">
        <v>3848</v>
      </c>
      <c r="H586" s="3" t="str">
        <f t="shared" si="10"/>
        <v>Output Mud Weight In, from drilling system, RTOC.</v>
      </c>
    </row>
    <row r="587" spans="1:10" x14ac:dyDescent="0.25">
      <c r="A587" s="3" t="s">
        <v>6983</v>
      </c>
      <c r="B587" s="3" t="s">
        <v>6989</v>
      </c>
      <c r="C587" s="3" t="s">
        <v>6985</v>
      </c>
      <c r="D587" s="3" t="s">
        <v>6320</v>
      </c>
      <c r="E587" s="3">
        <v>586</v>
      </c>
      <c r="F587" s="5" t="s">
        <v>3024</v>
      </c>
      <c r="G587" s="3" t="s">
        <v>3849</v>
      </c>
      <c r="H587" s="3" t="s">
        <v>7042</v>
      </c>
      <c r="J587" s="3" t="s">
        <v>6608</v>
      </c>
    </row>
    <row r="588" spans="1:10" x14ac:dyDescent="0.25">
      <c r="A588" s="3" t="s">
        <v>6983</v>
      </c>
      <c r="B588" s="3" t="s">
        <v>6989</v>
      </c>
      <c r="C588" s="3" t="s">
        <v>6985</v>
      </c>
      <c r="D588" s="3" t="s">
        <v>6320</v>
      </c>
      <c r="E588" s="3">
        <v>587</v>
      </c>
      <c r="F588" s="5" t="s">
        <v>3025</v>
      </c>
      <c r="G588" s="3" t="s">
        <v>3849</v>
      </c>
      <c r="H588" s="3" t="s">
        <v>7042</v>
      </c>
    </row>
    <row r="589" spans="1:10" x14ac:dyDescent="0.25">
      <c r="A589" s="3" t="s">
        <v>6983</v>
      </c>
      <c r="B589" s="3" t="s">
        <v>6989</v>
      </c>
      <c r="C589" s="3" t="s">
        <v>6985</v>
      </c>
      <c r="D589" s="3" t="s">
        <v>6320</v>
      </c>
      <c r="E589" s="3">
        <v>588</v>
      </c>
      <c r="F589" s="5" t="s">
        <v>3026</v>
      </c>
      <c r="G589" s="3" t="s">
        <v>16</v>
      </c>
      <c r="H589" s="3" t="s">
        <v>7042</v>
      </c>
    </row>
    <row r="590" spans="1:10" x14ac:dyDescent="0.25">
      <c r="A590" s="3" t="s">
        <v>6983</v>
      </c>
      <c r="B590" s="3" t="s">
        <v>6989</v>
      </c>
      <c r="C590" s="3" t="s">
        <v>6985</v>
      </c>
      <c r="D590" s="3" t="s">
        <v>6320</v>
      </c>
      <c r="E590" s="3">
        <v>589</v>
      </c>
      <c r="F590" s="5" t="s">
        <v>3027</v>
      </c>
      <c r="G590" s="3" t="s">
        <v>16</v>
      </c>
      <c r="H590" s="3" t="s">
        <v>6609</v>
      </c>
    </row>
    <row r="591" spans="1:10" x14ac:dyDescent="0.25">
      <c r="A591" s="3" t="s">
        <v>6983</v>
      </c>
      <c r="B591" s="3" t="s">
        <v>6989</v>
      </c>
      <c r="C591" s="3" t="s">
        <v>6985</v>
      </c>
      <c r="D591" s="3" t="s">
        <v>6320</v>
      </c>
      <c r="E591" s="3">
        <v>590</v>
      </c>
      <c r="F591" s="5" t="s">
        <v>3028</v>
      </c>
      <c r="G591" s="3" t="s">
        <v>3850</v>
      </c>
      <c r="H591" s="3" t="s">
        <v>7042</v>
      </c>
    </row>
    <row r="592" spans="1:10" x14ac:dyDescent="0.25">
      <c r="A592" s="3" t="s">
        <v>6983</v>
      </c>
      <c r="B592" s="3" t="s">
        <v>6989</v>
      </c>
      <c r="C592" s="3" t="s">
        <v>6985</v>
      </c>
      <c r="D592" s="3" t="s">
        <v>6320</v>
      </c>
      <c r="E592" s="3">
        <v>591</v>
      </c>
      <c r="F592" s="5" t="s">
        <v>3029</v>
      </c>
      <c r="G592" s="3" t="s">
        <v>3851</v>
      </c>
      <c r="H592" s="3" t="s">
        <v>7042</v>
      </c>
    </row>
    <row r="593" spans="1:8" x14ac:dyDescent="0.25">
      <c r="A593" s="3" t="s">
        <v>6983</v>
      </c>
      <c r="B593" s="3" t="s">
        <v>6989</v>
      </c>
      <c r="C593" s="3" t="s">
        <v>6985</v>
      </c>
      <c r="D593" s="3" t="s">
        <v>6320</v>
      </c>
      <c r="E593" s="3">
        <v>592</v>
      </c>
      <c r="F593" s="5" t="s">
        <v>3030</v>
      </c>
      <c r="G593" s="3" t="s">
        <v>3850</v>
      </c>
      <c r="H593" s="3" t="s">
        <v>7042</v>
      </c>
    </row>
    <row r="594" spans="1:8" x14ac:dyDescent="0.25">
      <c r="A594" s="3" t="s">
        <v>6983</v>
      </c>
      <c r="B594" s="3" t="s">
        <v>6989</v>
      </c>
      <c r="C594" s="3" t="s">
        <v>6985</v>
      </c>
      <c r="D594" s="3" t="s">
        <v>6320</v>
      </c>
      <c r="E594" s="3">
        <v>593</v>
      </c>
      <c r="F594" s="5" t="s">
        <v>3031</v>
      </c>
      <c r="G594" s="3" t="s">
        <v>3851</v>
      </c>
      <c r="H594" s="3" t="s">
        <v>7042</v>
      </c>
    </row>
    <row r="595" spans="1:8" x14ac:dyDescent="0.25">
      <c r="A595" s="3" t="s">
        <v>6983</v>
      </c>
      <c r="B595" s="3" t="s">
        <v>6989</v>
      </c>
      <c r="C595" s="3" t="s">
        <v>6985</v>
      </c>
      <c r="D595" s="3" t="s">
        <v>6320</v>
      </c>
      <c r="E595" s="3">
        <v>594</v>
      </c>
      <c r="F595" s="5" t="s">
        <v>3032</v>
      </c>
      <c r="G595" s="3" t="s">
        <v>3850</v>
      </c>
      <c r="H595" s="3" t="s">
        <v>7042</v>
      </c>
    </row>
    <row r="596" spans="1:8" x14ac:dyDescent="0.25">
      <c r="A596" s="3" t="s">
        <v>6983</v>
      </c>
      <c r="B596" s="3" t="s">
        <v>6989</v>
      </c>
      <c r="C596" s="3" t="s">
        <v>6985</v>
      </c>
      <c r="D596" s="3" t="s">
        <v>6320</v>
      </c>
      <c r="E596" s="3">
        <v>595</v>
      </c>
      <c r="F596" s="5" t="s">
        <v>3033</v>
      </c>
      <c r="G596" s="3" t="s">
        <v>3851</v>
      </c>
      <c r="H596" s="3" t="s">
        <v>7042</v>
      </c>
    </row>
    <row r="597" spans="1:8" x14ac:dyDescent="0.25">
      <c r="A597" s="3" t="s">
        <v>6983</v>
      </c>
      <c r="B597" s="3" t="s">
        <v>6989</v>
      </c>
      <c r="C597" s="3" t="s">
        <v>6985</v>
      </c>
      <c r="D597" s="3" t="s">
        <v>6347</v>
      </c>
      <c r="E597" s="3">
        <v>596</v>
      </c>
      <c r="F597" s="3" t="s">
        <v>3034</v>
      </c>
      <c r="G597" s="3" t="s">
        <v>4</v>
      </c>
      <c r="H597" s="3" t="s">
        <v>6625</v>
      </c>
    </row>
    <row r="598" spans="1:8" x14ac:dyDescent="0.25">
      <c r="A598" s="3" t="s">
        <v>6983</v>
      </c>
      <c r="B598" s="3" t="s">
        <v>6989</v>
      </c>
      <c r="C598" s="3" t="s">
        <v>6985</v>
      </c>
      <c r="D598" s="3" t="s">
        <v>6347</v>
      </c>
      <c r="E598" s="3">
        <v>597</v>
      </c>
      <c r="F598" s="3" t="s">
        <v>3035</v>
      </c>
      <c r="G598" s="3" t="s">
        <v>13</v>
      </c>
      <c r="H598" s="3" t="s">
        <v>6626</v>
      </c>
    </row>
    <row r="599" spans="1:8" x14ac:dyDescent="0.25">
      <c r="A599" s="3" t="s">
        <v>6983</v>
      </c>
      <c r="B599" s="3" t="s">
        <v>6989</v>
      </c>
      <c r="C599" s="3" t="s">
        <v>6985</v>
      </c>
      <c r="D599" s="3" t="s">
        <v>6347</v>
      </c>
      <c r="E599" s="3">
        <v>598</v>
      </c>
      <c r="F599" s="3" t="s">
        <v>3036</v>
      </c>
      <c r="G599" s="3" t="s">
        <v>4</v>
      </c>
      <c r="H599" s="3" t="s">
        <v>6627</v>
      </c>
    </row>
    <row r="600" spans="1:8" x14ac:dyDescent="0.25">
      <c r="A600" s="3" t="s">
        <v>6983</v>
      </c>
      <c r="B600" s="3" t="s">
        <v>6989</v>
      </c>
      <c r="C600" s="3" t="s">
        <v>6985</v>
      </c>
      <c r="D600" s="3" t="s">
        <v>6346</v>
      </c>
      <c r="E600" s="3">
        <v>599</v>
      </c>
      <c r="F600" s="3" t="s">
        <v>3037</v>
      </c>
      <c r="G600" s="3" t="s">
        <v>4</v>
      </c>
      <c r="H600" s="3" t="s">
        <v>6628</v>
      </c>
    </row>
    <row r="601" spans="1:8" x14ac:dyDescent="0.25">
      <c r="A601" s="3" t="s">
        <v>6983</v>
      </c>
      <c r="B601" s="3" t="s">
        <v>6989</v>
      </c>
      <c r="C601" s="3" t="s">
        <v>6985</v>
      </c>
      <c r="D601" s="3" t="s">
        <v>6346</v>
      </c>
      <c r="E601" s="3">
        <v>600</v>
      </c>
      <c r="F601" s="3" t="s">
        <v>3038</v>
      </c>
      <c r="G601" s="3" t="s">
        <v>13</v>
      </c>
      <c r="H601" s="3" t="s">
        <v>6629</v>
      </c>
    </row>
    <row r="602" spans="1:8" x14ac:dyDescent="0.25">
      <c r="A602" s="3" t="s">
        <v>6983</v>
      </c>
      <c r="B602" s="3" t="s">
        <v>6989</v>
      </c>
      <c r="C602" s="3" t="s">
        <v>6985</v>
      </c>
      <c r="D602" s="3" t="s">
        <v>6346</v>
      </c>
      <c r="E602" s="3">
        <v>601</v>
      </c>
      <c r="F602" s="3" t="s">
        <v>3039</v>
      </c>
      <c r="G602" s="3" t="s">
        <v>4</v>
      </c>
      <c r="H602" s="3" t="s">
        <v>6630</v>
      </c>
    </row>
    <row r="603" spans="1:8" x14ac:dyDescent="0.25">
      <c r="A603" s="3" t="s">
        <v>6983</v>
      </c>
      <c r="B603" s="3" t="s">
        <v>6989</v>
      </c>
      <c r="C603" s="3" t="s">
        <v>6985</v>
      </c>
      <c r="D603" s="3" t="s">
        <v>6348</v>
      </c>
      <c r="E603" s="3">
        <v>602</v>
      </c>
      <c r="F603" s="3" t="s">
        <v>3040</v>
      </c>
      <c r="G603" s="3" t="s">
        <v>4</v>
      </c>
      <c r="H603" s="3" t="s">
        <v>6631</v>
      </c>
    </row>
    <row r="604" spans="1:8" x14ac:dyDescent="0.25">
      <c r="A604" s="3" t="s">
        <v>6983</v>
      </c>
      <c r="B604" s="3" t="s">
        <v>6989</v>
      </c>
      <c r="C604" s="3" t="s">
        <v>6985</v>
      </c>
      <c r="D604" s="3" t="s">
        <v>6348</v>
      </c>
      <c r="E604" s="3">
        <v>603</v>
      </c>
      <c r="F604" s="3" t="s">
        <v>3041</v>
      </c>
      <c r="G604" s="3" t="s">
        <v>13</v>
      </c>
      <c r="H604" s="3" t="s">
        <v>6632</v>
      </c>
    </row>
    <row r="605" spans="1:8" x14ac:dyDescent="0.25">
      <c r="A605" s="3" t="s">
        <v>6983</v>
      </c>
      <c r="B605" s="3" t="s">
        <v>6989</v>
      </c>
      <c r="C605" s="3" t="s">
        <v>6985</v>
      </c>
      <c r="D605" s="3" t="s">
        <v>6348</v>
      </c>
      <c r="E605" s="3">
        <v>604</v>
      </c>
      <c r="F605" s="3" t="s">
        <v>3042</v>
      </c>
      <c r="G605" s="3" t="s">
        <v>4</v>
      </c>
      <c r="H605" s="3" t="s">
        <v>6633</v>
      </c>
    </row>
    <row r="606" spans="1:8" x14ac:dyDescent="0.25">
      <c r="A606" s="3" t="s">
        <v>6983</v>
      </c>
      <c r="B606" s="3" t="s">
        <v>6989</v>
      </c>
      <c r="C606" s="3" t="s">
        <v>6985</v>
      </c>
      <c r="D606" s="3" t="s">
        <v>6339</v>
      </c>
      <c r="E606" s="3">
        <v>605</v>
      </c>
      <c r="F606" s="3" t="s">
        <v>3043</v>
      </c>
      <c r="G606" s="3" t="s">
        <v>1096</v>
      </c>
      <c r="H606" s="3" t="s">
        <v>1244</v>
      </c>
    </row>
    <row r="607" spans="1:8" x14ac:dyDescent="0.25">
      <c r="A607" s="3" t="s">
        <v>6983</v>
      </c>
      <c r="B607" s="3" t="s">
        <v>6989</v>
      </c>
      <c r="C607" s="3" t="s">
        <v>6985</v>
      </c>
      <c r="D607" s="3" t="s">
        <v>2106</v>
      </c>
      <c r="E607" s="3">
        <v>606</v>
      </c>
      <c r="F607" s="3" t="s">
        <v>3044</v>
      </c>
      <c r="G607" s="3" t="s">
        <v>2098</v>
      </c>
      <c r="H607" s="3" t="str">
        <f>_xlfn.CONCAT("Output ",F607, " from TIS.")</f>
        <v>Output Tendon Bending 1 from TIS.</v>
      </c>
    </row>
    <row r="608" spans="1:8" x14ac:dyDescent="0.25">
      <c r="A608" s="3" t="s">
        <v>6983</v>
      </c>
      <c r="B608" s="3" t="s">
        <v>6989</v>
      </c>
      <c r="C608" s="3" t="s">
        <v>6985</v>
      </c>
      <c r="D608" s="3" t="s">
        <v>2106</v>
      </c>
      <c r="E608" s="3">
        <v>607</v>
      </c>
      <c r="F608" s="3" t="s">
        <v>3045</v>
      </c>
      <c r="G608" s="3" t="s">
        <v>1100</v>
      </c>
      <c r="H608" s="3" t="str">
        <f t="shared" ref="H608:H639" si="11">_xlfn.CONCAT("Output ",F608, " from TIS.")</f>
        <v>Output Tendon Tension 1 from TIS.</v>
      </c>
    </row>
    <row r="609" spans="1:8" x14ac:dyDescent="0.25">
      <c r="A609" s="3" t="s">
        <v>6983</v>
      </c>
      <c r="B609" s="3" t="s">
        <v>6989</v>
      </c>
      <c r="C609" s="3" t="s">
        <v>6985</v>
      </c>
      <c r="D609" s="3" t="s">
        <v>2106</v>
      </c>
      <c r="E609" s="3">
        <v>608</v>
      </c>
      <c r="F609" s="3" t="s">
        <v>3046</v>
      </c>
      <c r="G609" s="3" t="s">
        <v>1104</v>
      </c>
      <c r="H609" s="3" t="str">
        <f t="shared" si="11"/>
        <v>Output Tendon Status 1 from TIS.</v>
      </c>
    </row>
    <row r="610" spans="1:8" x14ac:dyDescent="0.25">
      <c r="A610" s="3" t="s">
        <v>6983</v>
      </c>
      <c r="B610" s="3" t="s">
        <v>6989</v>
      </c>
      <c r="C610" s="3" t="s">
        <v>6985</v>
      </c>
      <c r="D610" s="3" t="s">
        <v>2106</v>
      </c>
      <c r="E610" s="3">
        <v>609</v>
      </c>
      <c r="F610" s="3" t="s">
        <v>3047</v>
      </c>
      <c r="G610" s="3" t="s">
        <v>4</v>
      </c>
      <c r="H610" s="3" t="str">
        <f t="shared" si="11"/>
        <v>Output Tendon Angle 1 from TIS.</v>
      </c>
    </row>
    <row r="611" spans="1:8" x14ac:dyDescent="0.25">
      <c r="A611" s="3" t="s">
        <v>6983</v>
      </c>
      <c r="B611" s="3" t="s">
        <v>6989</v>
      </c>
      <c r="C611" s="3" t="s">
        <v>6985</v>
      </c>
      <c r="D611" s="3" t="s">
        <v>2106</v>
      </c>
      <c r="E611" s="3">
        <v>610</v>
      </c>
      <c r="F611" s="3" t="s">
        <v>3048</v>
      </c>
      <c r="G611" s="3" t="s">
        <v>2098</v>
      </c>
      <c r="H611" s="3" t="str">
        <f t="shared" si="11"/>
        <v>Output Tendon Bending 4 from TIS.</v>
      </c>
    </row>
    <row r="612" spans="1:8" x14ac:dyDescent="0.25">
      <c r="A612" s="3" t="s">
        <v>6983</v>
      </c>
      <c r="B612" s="3" t="s">
        <v>6989</v>
      </c>
      <c r="C612" s="3" t="s">
        <v>6985</v>
      </c>
      <c r="D612" s="3" t="s">
        <v>2106</v>
      </c>
      <c r="E612" s="3">
        <v>611</v>
      </c>
      <c r="F612" s="3" t="s">
        <v>3049</v>
      </c>
      <c r="G612" s="3" t="s">
        <v>1100</v>
      </c>
      <c r="H612" s="3" t="str">
        <f t="shared" si="11"/>
        <v>Output Tendon Tension 4 from TIS.</v>
      </c>
    </row>
    <row r="613" spans="1:8" x14ac:dyDescent="0.25">
      <c r="A613" s="3" t="s">
        <v>6983</v>
      </c>
      <c r="B613" s="3" t="s">
        <v>6989</v>
      </c>
      <c r="C613" s="3" t="s">
        <v>6985</v>
      </c>
      <c r="D613" s="3" t="s">
        <v>2106</v>
      </c>
      <c r="E613" s="3">
        <v>612</v>
      </c>
      <c r="F613" s="3" t="s">
        <v>3050</v>
      </c>
      <c r="G613" s="3" t="s">
        <v>1104</v>
      </c>
      <c r="H613" s="3" t="str">
        <f t="shared" si="11"/>
        <v>Output Tendon Status 4 from TIS.</v>
      </c>
    </row>
    <row r="614" spans="1:8" x14ac:dyDescent="0.25">
      <c r="A614" s="3" t="s">
        <v>6983</v>
      </c>
      <c r="B614" s="3" t="s">
        <v>6989</v>
      </c>
      <c r="C614" s="3" t="s">
        <v>6985</v>
      </c>
      <c r="D614" s="3" t="s">
        <v>2106</v>
      </c>
      <c r="E614" s="3">
        <v>613</v>
      </c>
      <c r="F614" s="3" t="s">
        <v>3051</v>
      </c>
      <c r="G614" s="3" t="s">
        <v>4</v>
      </c>
      <c r="H614" s="3" t="str">
        <f t="shared" si="11"/>
        <v>Output Tendon Angle 4 from TIS.</v>
      </c>
    </row>
    <row r="615" spans="1:8" x14ac:dyDescent="0.25">
      <c r="A615" s="3" t="s">
        <v>6983</v>
      </c>
      <c r="B615" s="3" t="s">
        <v>6989</v>
      </c>
      <c r="C615" s="3" t="s">
        <v>6985</v>
      </c>
      <c r="D615" s="3" t="s">
        <v>2106</v>
      </c>
      <c r="E615" s="3">
        <v>614</v>
      </c>
      <c r="F615" s="3" t="s">
        <v>3052</v>
      </c>
      <c r="G615" s="3" t="s">
        <v>2098</v>
      </c>
      <c r="H615" s="3" t="str">
        <f t="shared" si="11"/>
        <v>Output Tendon Bending 5 from TIS.</v>
      </c>
    </row>
    <row r="616" spans="1:8" x14ac:dyDescent="0.25">
      <c r="A616" s="3" t="s">
        <v>6983</v>
      </c>
      <c r="B616" s="3" t="s">
        <v>6989</v>
      </c>
      <c r="C616" s="3" t="s">
        <v>6985</v>
      </c>
      <c r="D616" s="3" t="s">
        <v>2106</v>
      </c>
      <c r="E616" s="3">
        <v>615</v>
      </c>
      <c r="F616" s="3" t="s">
        <v>3053</v>
      </c>
      <c r="G616" s="3" t="s">
        <v>1100</v>
      </c>
      <c r="H616" s="3" t="str">
        <f t="shared" si="11"/>
        <v>Output Tendon Tension 5 from TIS.</v>
      </c>
    </row>
    <row r="617" spans="1:8" x14ac:dyDescent="0.25">
      <c r="A617" s="3" t="s">
        <v>6983</v>
      </c>
      <c r="B617" s="3" t="s">
        <v>6989</v>
      </c>
      <c r="C617" s="3" t="s">
        <v>6985</v>
      </c>
      <c r="D617" s="3" t="s">
        <v>2106</v>
      </c>
      <c r="E617" s="3">
        <v>616</v>
      </c>
      <c r="F617" s="3" t="s">
        <v>3054</v>
      </c>
      <c r="G617" s="3" t="s">
        <v>1104</v>
      </c>
      <c r="H617" s="3" t="str">
        <f t="shared" si="11"/>
        <v>Output Tendon Status 5 from TIS.</v>
      </c>
    </row>
    <row r="618" spans="1:8" x14ac:dyDescent="0.25">
      <c r="A618" s="3" t="s">
        <v>6983</v>
      </c>
      <c r="B618" s="3" t="s">
        <v>6989</v>
      </c>
      <c r="C618" s="3" t="s">
        <v>6985</v>
      </c>
      <c r="D618" s="3" t="s">
        <v>2106</v>
      </c>
      <c r="E618" s="3">
        <v>617</v>
      </c>
      <c r="F618" s="3" t="s">
        <v>3055</v>
      </c>
      <c r="G618" s="3" t="s">
        <v>4</v>
      </c>
      <c r="H618" s="3" t="str">
        <f t="shared" si="11"/>
        <v>Output Tendon Angle 5 from TIS.</v>
      </c>
    </row>
    <row r="619" spans="1:8" x14ac:dyDescent="0.25">
      <c r="A619" s="3" t="s">
        <v>6983</v>
      </c>
      <c r="B619" s="3" t="s">
        <v>6989</v>
      </c>
      <c r="C619" s="3" t="s">
        <v>6985</v>
      </c>
      <c r="D619" s="3" t="s">
        <v>2106</v>
      </c>
      <c r="E619" s="3">
        <v>618</v>
      </c>
      <c r="F619" s="3" t="s">
        <v>3056</v>
      </c>
      <c r="G619" s="3" t="s">
        <v>2098</v>
      </c>
      <c r="H619" s="3" t="str">
        <f t="shared" si="11"/>
        <v>Output Tendon Bending 8 from TIS.</v>
      </c>
    </row>
    <row r="620" spans="1:8" x14ac:dyDescent="0.25">
      <c r="A620" s="3" t="s">
        <v>6983</v>
      </c>
      <c r="B620" s="3" t="s">
        <v>6989</v>
      </c>
      <c r="C620" s="3" t="s">
        <v>6985</v>
      </c>
      <c r="D620" s="3" t="s">
        <v>2106</v>
      </c>
      <c r="E620" s="3">
        <v>619</v>
      </c>
      <c r="F620" s="3" t="s">
        <v>3057</v>
      </c>
      <c r="G620" s="3" t="s">
        <v>1100</v>
      </c>
      <c r="H620" s="3" t="str">
        <f t="shared" si="11"/>
        <v>Output Tendon Tension 8 from TIS.</v>
      </c>
    </row>
    <row r="621" spans="1:8" x14ac:dyDescent="0.25">
      <c r="A621" s="3" t="s">
        <v>6983</v>
      </c>
      <c r="B621" s="3" t="s">
        <v>6989</v>
      </c>
      <c r="C621" s="3" t="s">
        <v>6985</v>
      </c>
      <c r="D621" s="3" t="s">
        <v>2106</v>
      </c>
      <c r="E621" s="3">
        <v>620</v>
      </c>
      <c r="F621" s="3" t="s">
        <v>3058</v>
      </c>
      <c r="G621" s="3" t="s">
        <v>1104</v>
      </c>
      <c r="H621" s="3" t="str">
        <f t="shared" si="11"/>
        <v>Output Tendon Status 8 from TIS.</v>
      </c>
    </row>
    <row r="622" spans="1:8" x14ac:dyDescent="0.25">
      <c r="A622" s="3" t="s">
        <v>6983</v>
      </c>
      <c r="B622" s="3" t="s">
        <v>6989</v>
      </c>
      <c r="C622" s="3" t="s">
        <v>6985</v>
      </c>
      <c r="D622" s="3" t="s">
        <v>2106</v>
      </c>
      <c r="E622" s="3">
        <v>621</v>
      </c>
      <c r="F622" s="3" t="s">
        <v>3059</v>
      </c>
      <c r="G622" s="3" t="s">
        <v>4</v>
      </c>
      <c r="H622" s="3" t="str">
        <f t="shared" si="11"/>
        <v>Output Tendon Angle 8 from TIS.</v>
      </c>
    </row>
    <row r="623" spans="1:8" x14ac:dyDescent="0.25">
      <c r="A623" s="3" t="s">
        <v>6983</v>
      </c>
      <c r="B623" s="3" t="s">
        <v>6989</v>
      </c>
      <c r="C623" s="3" t="s">
        <v>6985</v>
      </c>
      <c r="D623" s="3" t="s">
        <v>2106</v>
      </c>
      <c r="E623" s="3">
        <v>622</v>
      </c>
      <c r="F623" s="3" t="s">
        <v>3060</v>
      </c>
      <c r="G623" s="3" t="s">
        <v>2098</v>
      </c>
      <c r="H623" s="3" t="str">
        <f t="shared" si="11"/>
        <v>Output Tendon Bending 9 from TIS.</v>
      </c>
    </row>
    <row r="624" spans="1:8" x14ac:dyDescent="0.25">
      <c r="A624" s="3" t="s">
        <v>6983</v>
      </c>
      <c r="B624" s="3" t="s">
        <v>6989</v>
      </c>
      <c r="C624" s="3" t="s">
        <v>6985</v>
      </c>
      <c r="D624" s="3" t="s">
        <v>2106</v>
      </c>
      <c r="E624" s="3">
        <v>623</v>
      </c>
      <c r="F624" s="3" t="s">
        <v>3061</v>
      </c>
      <c r="G624" s="3" t="s">
        <v>1100</v>
      </c>
      <c r="H624" s="3" t="str">
        <f t="shared" si="11"/>
        <v>Output Tendon Tension 9 from TIS.</v>
      </c>
    </row>
    <row r="625" spans="1:8" x14ac:dyDescent="0.25">
      <c r="A625" s="3" t="s">
        <v>6983</v>
      </c>
      <c r="B625" s="3" t="s">
        <v>6989</v>
      </c>
      <c r="C625" s="3" t="s">
        <v>6985</v>
      </c>
      <c r="D625" s="3" t="s">
        <v>2106</v>
      </c>
      <c r="E625" s="3">
        <v>624</v>
      </c>
      <c r="F625" s="3" t="s">
        <v>3062</v>
      </c>
      <c r="G625" s="3" t="s">
        <v>1104</v>
      </c>
      <c r="H625" s="3" t="str">
        <f t="shared" si="11"/>
        <v>Output Tendon Status 9 from TIS.</v>
      </c>
    </row>
    <row r="626" spans="1:8" x14ac:dyDescent="0.25">
      <c r="A626" s="3" t="s">
        <v>6983</v>
      </c>
      <c r="B626" s="3" t="s">
        <v>6989</v>
      </c>
      <c r="C626" s="3" t="s">
        <v>6985</v>
      </c>
      <c r="D626" s="3" t="s">
        <v>2106</v>
      </c>
      <c r="E626" s="3">
        <v>625</v>
      </c>
      <c r="F626" s="3" t="s">
        <v>3063</v>
      </c>
      <c r="G626" s="3" t="s">
        <v>4</v>
      </c>
      <c r="H626" s="3" t="str">
        <f t="shared" si="11"/>
        <v>Output Tendon Angle 9 from TIS.</v>
      </c>
    </row>
    <row r="627" spans="1:8" x14ac:dyDescent="0.25">
      <c r="A627" s="3" t="s">
        <v>6983</v>
      </c>
      <c r="B627" s="3" t="s">
        <v>6989</v>
      </c>
      <c r="C627" s="3" t="s">
        <v>6985</v>
      </c>
      <c r="D627" s="3" t="s">
        <v>2106</v>
      </c>
      <c r="E627" s="3">
        <v>626</v>
      </c>
      <c r="F627" s="3" t="s">
        <v>3064</v>
      </c>
      <c r="G627" s="3" t="s">
        <v>2098</v>
      </c>
      <c r="H627" s="3" t="str">
        <f t="shared" si="11"/>
        <v>Output Tendon Bending 12 from TIS.</v>
      </c>
    </row>
    <row r="628" spans="1:8" x14ac:dyDescent="0.25">
      <c r="A628" s="3" t="s">
        <v>6983</v>
      </c>
      <c r="B628" s="3" t="s">
        <v>6989</v>
      </c>
      <c r="C628" s="3" t="s">
        <v>6985</v>
      </c>
      <c r="D628" s="3" t="s">
        <v>2106</v>
      </c>
      <c r="E628" s="3">
        <v>627</v>
      </c>
      <c r="F628" s="3" t="s">
        <v>3065</v>
      </c>
      <c r="G628" s="3" t="s">
        <v>1100</v>
      </c>
      <c r="H628" s="3" t="str">
        <f t="shared" si="11"/>
        <v>Output Tendon Tension 12 from TIS.</v>
      </c>
    </row>
    <row r="629" spans="1:8" x14ac:dyDescent="0.25">
      <c r="A629" s="3" t="s">
        <v>6983</v>
      </c>
      <c r="B629" s="3" t="s">
        <v>6989</v>
      </c>
      <c r="C629" s="3" t="s">
        <v>6985</v>
      </c>
      <c r="D629" s="3" t="s">
        <v>2106</v>
      </c>
      <c r="E629" s="3">
        <v>628</v>
      </c>
      <c r="F629" s="3" t="s">
        <v>3066</v>
      </c>
      <c r="G629" s="3" t="s">
        <v>1104</v>
      </c>
      <c r="H629" s="3" t="str">
        <f t="shared" si="11"/>
        <v>Output Tendon Status 12 from TIS.</v>
      </c>
    </row>
    <row r="630" spans="1:8" x14ac:dyDescent="0.25">
      <c r="A630" s="3" t="s">
        <v>6983</v>
      </c>
      <c r="B630" s="3" t="s">
        <v>6989</v>
      </c>
      <c r="C630" s="3" t="s">
        <v>6985</v>
      </c>
      <c r="D630" s="3" t="s">
        <v>2106</v>
      </c>
      <c r="E630" s="3">
        <v>629</v>
      </c>
      <c r="F630" s="3" t="s">
        <v>3067</v>
      </c>
      <c r="G630" s="3" t="s">
        <v>4</v>
      </c>
      <c r="H630" s="3" t="str">
        <f t="shared" si="11"/>
        <v>Output Tendon Angle 12 from TIS.</v>
      </c>
    </row>
    <row r="631" spans="1:8" x14ac:dyDescent="0.25">
      <c r="A631" s="3" t="s">
        <v>6983</v>
      </c>
      <c r="B631" s="3" t="s">
        <v>6989</v>
      </c>
      <c r="C631" s="3" t="s">
        <v>6985</v>
      </c>
      <c r="D631" s="3" t="s">
        <v>2106</v>
      </c>
      <c r="E631" s="3">
        <v>630</v>
      </c>
      <c r="F631" s="3" t="s">
        <v>3068</v>
      </c>
      <c r="G631" s="3" t="s">
        <v>2098</v>
      </c>
      <c r="H631" s="3" t="str">
        <f t="shared" si="11"/>
        <v>Output Tendon Bending 13 from TIS.</v>
      </c>
    </row>
    <row r="632" spans="1:8" x14ac:dyDescent="0.25">
      <c r="A632" s="3" t="s">
        <v>6983</v>
      </c>
      <c r="B632" s="3" t="s">
        <v>6989</v>
      </c>
      <c r="C632" s="3" t="s">
        <v>6985</v>
      </c>
      <c r="D632" s="3" t="s">
        <v>2106</v>
      </c>
      <c r="E632" s="3">
        <v>631</v>
      </c>
      <c r="F632" s="3" t="s">
        <v>3069</v>
      </c>
      <c r="G632" s="3" t="s">
        <v>1100</v>
      </c>
      <c r="H632" s="3" t="str">
        <f t="shared" si="11"/>
        <v>Output Tendon Tension 13 from TIS.</v>
      </c>
    </row>
    <row r="633" spans="1:8" x14ac:dyDescent="0.25">
      <c r="A633" s="3" t="s">
        <v>6983</v>
      </c>
      <c r="B633" s="3" t="s">
        <v>6989</v>
      </c>
      <c r="C633" s="3" t="s">
        <v>6985</v>
      </c>
      <c r="D633" s="3" t="s">
        <v>2106</v>
      </c>
      <c r="E633" s="3">
        <v>632</v>
      </c>
      <c r="F633" s="3" t="s">
        <v>3070</v>
      </c>
      <c r="G633" s="3" t="s">
        <v>1104</v>
      </c>
      <c r="H633" s="3" t="str">
        <f t="shared" si="11"/>
        <v>Output Tendon Status 13 from TIS.</v>
      </c>
    </row>
    <row r="634" spans="1:8" x14ac:dyDescent="0.25">
      <c r="A634" s="3" t="s">
        <v>6983</v>
      </c>
      <c r="B634" s="3" t="s">
        <v>6989</v>
      </c>
      <c r="C634" s="3" t="s">
        <v>6985</v>
      </c>
      <c r="D634" s="3" t="s">
        <v>2106</v>
      </c>
      <c r="E634" s="3">
        <v>633</v>
      </c>
      <c r="F634" s="3" t="s">
        <v>3071</v>
      </c>
      <c r="G634" s="3" t="s">
        <v>4</v>
      </c>
      <c r="H634" s="3" t="str">
        <f t="shared" si="11"/>
        <v>Output Tendon Angle 13 from TIS.</v>
      </c>
    </row>
    <row r="635" spans="1:8" x14ac:dyDescent="0.25">
      <c r="A635" s="3" t="s">
        <v>6983</v>
      </c>
      <c r="B635" s="3" t="s">
        <v>6989</v>
      </c>
      <c r="C635" s="3" t="s">
        <v>6985</v>
      </c>
      <c r="D635" s="3" t="s">
        <v>2106</v>
      </c>
      <c r="E635" s="3">
        <v>634</v>
      </c>
      <c r="F635" s="3" t="s">
        <v>3072</v>
      </c>
      <c r="G635" s="3" t="s">
        <v>2098</v>
      </c>
      <c r="H635" s="3" t="str">
        <f t="shared" si="11"/>
        <v>Output Tendon Bending 16 from TIS.</v>
      </c>
    </row>
    <row r="636" spans="1:8" x14ac:dyDescent="0.25">
      <c r="A636" s="3" t="s">
        <v>6983</v>
      </c>
      <c r="B636" s="3" t="s">
        <v>6989</v>
      </c>
      <c r="C636" s="3" t="s">
        <v>6985</v>
      </c>
      <c r="D636" s="3" t="s">
        <v>2106</v>
      </c>
      <c r="E636" s="3">
        <v>635</v>
      </c>
      <c r="F636" s="3" t="s">
        <v>3073</v>
      </c>
      <c r="G636" s="3" t="s">
        <v>1100</v>
      </c>
      <c r="H636" s="3" t="str">
        <f t="shared" si="11"/>
        <v>Output Tendon Tension 16 from TIS.</v>
      </c>
    </row>
    <row r="637" spans="1:8" x14ac:dyDescent="0.25">
      <c r="A637" s="3" t="s">
        <v>6983</v>
      </c>
      <c r="B637" s="3" t="s">
        <v>6989</v>
      </c>
      <c r="C637" s="3" t="s">
        <v>6985</v>
      </c>
      <c r="D637" s="3" t="s">
        <v>2106</v>
      </c>
      <c r="E637" s="3">
        <v>636</v>
      </c>
      <c r="F637" s="3" t="s">
        <v>3074</v>
      </c>
      <c r="G637" s="3" t="s">
        <v>1104</v>
      </c>
      <c r="H637" s="3" t="str">
        <f t="shared" si="11"/>
        <v>Output Tendon Status 16 from TIS.</v>
      </c>
    </row>
    <row r="638" spans="1:8" x14ac:dyDescent="0.25">
      <c r="A638" s="3" t="s">
        <v>6983</v>
      </c>
      <c r="B638" s="3" t="s">
        <v>6989</v>
      </c>
      <c r="C638" s="3" t="s">
        <v>6985</v>
      </c>
      <c r="D638" s="3" t="s">
        <v>2106</v>
      </c>
      <c r="E638" s="3">
        <v>637</v>
      </c>
      <c r="F638" s="3" t="s">
        <v>3075</v>
      </c>
      <c r="G638" s="3" t="s">
        <v>4</v>
      </c>
      <c r="H638" s="3" t="str">
        <f t="shared" si="11"/>
        <v>Output Tendon Angle 16 from TIS.</v>
      </c>
    </row>
    <row r="639" spans="1:8" x14ac:dyDescent="0.25">
      <c r="A639" s="3" t="s">
        <v>6983</v>
      </c>
      <c r="B639" s="3" t="s">
        <v>6989</v>
      </c>
      <c r="C639" s="3" t="s">
        <v>6985</v>
      </c>
      <c r="D639" s="3" t="s">
        <v>2106</v>
      </c>
      <c r="E639" s="3">
        <v>638</v>
      </c>
      <c r="F639" s="3" t="s">
        <v>2181</v>
      </c>
      <c r="G639" s="3" t="s">
        <v>1104</v>
      </c>
      <c r="H639" s="3" t="str">
        <f t="shared" si="11"/>
        <v>Output TIS Status from TIS.</v>
      </c>
    </row>
    <row r="640" spans="1:8" x14ac:dyDescent="0.25">
      <c r="A640" s="3" t="s">
        <v>6983</v>
      </c>
      <c r="B640" s="3" t="s">
        <v>6989</v>
      </c>
      <c r="C640" s="3" t="s">
        <v>6985</v>
      </c>
      <c r="D640" s="3" t="s">
        <v>1120</v>
      </c>
      <c r="E640" s="3">
        <v>639</v>
      </c>
      <c r="F640" s="3" t="s">
        <v>1663</v>
      </c>
      <c r="G640" s="3" t="s">
        <v>1093</v>
      </c>
      <c r="H640" s="3" t="str">
        <f>_xlfn.CONCAT("Calculated ", _xlfn.TEXTAFTER(F640,"Apparent "), ", from 3rd party Herbert-ABS LMP system.")</f>
        <v>Calculated Draft, from 3rd party Herbert-ABS LMP system.</v>
      </c>
    </row>
    <row r="641" spans="1:8" x14ac:dyDescent="0.25">
      <c r="A641" s="3" t="s">
        <v>6983</v>
      </c>
      <c r="B641" s="3" t="s">
        <v>6989</v>
      </c>
      <c r="C641" s="3" t="s">
        <v>6985</v>
      </c>
      <c r="D641" s="3" t="s">
        <v>1120</v>
      </c>
      <c r="E641" s="3">
        <v>640</v>
      </c>
      <c r="F641" s="3" t="s">
        <v>1647</v>
      </c>
      <c r="G641" s="3" t="s">
        <v>1100</v>
      </c>
      <c r="H641" s="3" t="str">
        <f t="shared" ref="H641:H658" si="12">_xlfn.CONCAT("Calculated ", _xlfn.TEXTAFTER(F641,"Apparent "), ", from 3rd party Herbert-ABS LMP system.")</f>
        <v>Calculated Tendon 1, from 3rd party Herbert-ABS LMP system.</v>
      </c>
    </row>
    <row r="642" spans="1:8" x14ac:dyDescent="0.25">
      <c r="A642" s="3" t="s">
        <v>6983</v>
      </c>
      <c r="B642" s="3" t="s">
        <v>6989</v>
      </c>
      <c r="C642" s="3" t="s">
        <v>6985</v>
      </c>
      <c r="D642" s="3" t="s">
        <v>1120</v>
      </c>
      <c r="E642" s="3">
        <v>641</v>
      </c>
      <c r="F642" s="3" t="s">
        <v>1656</v>
      </c>
      <c r="G642" s="3" t="s">
        <v>1100</v>
      </c>
      <c r="H642" s="3" t="str">
        <f t="shared" si="12"/>
        <v>Calculated Tendon 10, from 3rd party Herbert-ABS LMP system.</v>
      </c>
    </row>
    <row r="643" spans="1:8" x14ac:dyDescent="0.25">
      <c r="A643" s="3" t="s">
        <v>6983</v>
      </c>
      <c r="B643" s="3" t="s">
        <v>6989</v>
      </c>
      <c r="C643" s="3" t="s">
        <v>6985</v>
      </c>
      <c r="D643" s="3" t="s">
        <v>1120</v>
      </c>
      <c r="E643" s="3">
        <v>642</v>
      </c>
      <c r="F643" s="3" t="s">
        <v>1657</v>
      </c>
      <c r="G643" s="3" t="s">
        <v>1100</v>
      </c>
      <c r="H643" s="3" t="str">
        <f t="shared" si="12"/>
        <v>Calculated Tendon 11, from 3rd party Herbert-ABS LMP system.</v>
      </c>
    </row>
    <row r="644" spans="1:8" x14ac:dyDescent="0.25">
      <c r="A644" s="3" t="s">
        <v>6983</v>
      </c>
      <c r="B644" s="3" t="s">
        <v>6989</v>
      </c>
      <c r="C644" s="3" t="s">
        <v>6985</v>
      </c>
      <c r="D644" s="3" t="s">
        <v>1120</v>
      </c>
      <c r="E644" s="3">
        <v>643</v>
      </c>
      <c r="F644" s="3" t="s">
        <v>1658</v>
      </c>
      <c r="G644" s="3" t="s">
        <v>1100</v>
      </c>
      <c r="H644" s="3" t="str">
        <f t="shared" si="12"/>
        <v>Calculated Tendon 12, from 3rd party Herbert-ABS LMP system.</v>
      </c>
    </row>
    <row r="645" spans="1:8" x14ac:dyDescent="0.25">
      <c r="A645" s="3" t="s">
        <v>6983</v>
      </c>
      <c r="B645" s="3" t="s">
        <v>6989</v>
      </c>
      <c r="C645" s="3" t="s">
        <v>6985</v>
      </c>
      <c r="D645" s="3" t="s">
        <v>1120</v>
      </c>
      <c r="E645" s="3">
        <v>644</v>
      </c>
      <c r="F645" s="3" t="s">
        <v>3076</v>
      </c>
      <c r="G645" s="3" t="s">
        <v>1100</v>
      </c>
      <c r="H645" s="3" t="str">
        <f t="shared" si="12"/>
        <v>Calculated Tendon 13, from 3rd party Herbert-ABS LMP system.</v>
      </c>
    </row>
    <row r="646" spans="1:8" x14ac:dyDescent="0.25">
      <c r="A646" s="3" t="s">
        <v>6983</v>
      </c>
      <c r="B646" s="3" t="s">
        <v>6989</v>
      </c>
      <c r="C646" s="3" t="s">
        <v>6985</v>
      </c>
      <c r="D646" s="3" t="s">
        <v>1120</v>
      </c>
      <c r="E646" s="3">
        <v>645</v>
      </c>
      <c r="F646" s="3" t="s">
        <v>3077</v>
      </c>
      <c r="G646" s="3" t="s">
        <v>1100</v>
      </c>
      <c r="H646" s="3" t="str">
        <f t="shared" si="12"/>
        <v>Calculated Tendon 14, from 3rd party Herbert-ABS LMP system.</v>
      </c>
    </row>
    <row r="647" spans="1:8" x14ac:dyDescent="0.25">
      <c r="A647" s="3" t="s">
        <v>6983</v>
      </c>
      <c r="B647" s="3" t="s">
        <v>6989</v>
      </c>
      <c r="C647" s="3" t="s">
        <v>6985</v>
      </c>
      <c r="D647" s="3" t="s">
        <v>1120</v>
      </c>
      <c r="E647" s="3">
        <v>646</v>
      </c>
      <c r="F647" s="3" t="s">
        <v>3078</v>
      </c>
      <c r="G647" s="3" t="s">
        <v>1100</v>
      </c>
      <c r="H647" s="3" t="str">
        <f t="shared" si="12"/>
        <v>Calculated Tendon 15, from 3rd party Herbert-ABS LMP system.</v>
      </c>
    </row>
    <row r="648" spans="1:8" x14ac:dyDescent="0.25">
      <c r="A648" s="3" t="s">
        <v>6983</v>
      </c>
      <c r="B648" s="3" t="s">
        <v>6989</v>
      </c>
      <c r="C648" s="3" t="s">
        <v>6985</v>
      </c>
      <c r="D648" s="3" t="s">
        <v>1120</v>
      </c>
      <c r="E648" s="3">
        <v>647</v>
      </c>
      <c r="F648" s="3" t="s">
        <v>3079</v>
      </c>
      <c r="G648" s="3" t="s">
        <v>1100</v>
      </c>
      <c r="H648" s="3" t="str">
        <f t="shared" si="12"/>
        <v>Calculated Tendon 16, from 3rd party Herbert-ABS LMP system.</v>
      </c>
    </row>
    <row r="649" spans="1:8" x14ac:dyDescent="0.25">
      <c r="A649" s="3" t="s">
        <v>6983</v>
      </c>
      <c r="B649" s="3" t="s">
        <v>6989</v>
      </c>
      <c r="C649" s="3" t="s">
        <v>6985</v>
      </c>
      <c r="D649" s="3" t="s">
        <v>1120</v>
      </c>
      <c r="E649" s="3">
        <v>648</v>
      </c>
      <c r="F649" s="3" t="s">
        <v>1648</v>
      </c>
      <c r="G649" s="3" t="s">
        <v>1100</v>
      </c>
      <c r="H649" s="3" t="str">
        <f t="shared" si="12"/>
        <v>Calculated Tendon 2, from 3rd party Herbert-ABS LMP system.</v>
      </c>
    </row>
    <row r="650" spans="1:8" x14ac:dyDescent="0.25">
      <c r="A650" s="3" t="s">
        <v>6983</v>
      </c>
      <c r="B650" s="3" t="s">
        <v>6989</v>
      </c>
      <c r="C650" s="3" t="s">
        <v>6985</v>
      </c>
      <c r="D650" s="3" t="s">
        <v>1120</v>
      </c>
      <c r="E650" s="3">
        <v>649</v>
      </c>
      <c r="F650" s="3" t="s">
        <v>1649</v>
      </c>
      <c r="G650" s="3" t="s">
        <v>1100</v>
      </c>
      <c r="H650" s="3" t="str">
        <f t="shared" si="12"/>
        <v>Calculated Tendon 3, from 3rd party Herbert-ABS LMP system.</v>
      </c>
    </row>
    <row r="651" spans="1:8" x14ac:dyDescent="0.25">
      <c r="A651" s="3" t="s">
        <v>6983</v>
      </c>
      <c r="B651" s="3" t="s">
        <v>6989</v>
      </c>
      <c r="C651" s="3" t="s">
        <v>6985</v>
      </c>
      <c r="D651" s="3" t="s">
        <v>1120</v>
      </c>
      <c r="E651" s="3">
        <v>650</v>
      </c>
      <c r="F651" s="3" t="s">
        <v>1650</v>
      </c>
      <c r="G651" s="3" t="s">
        <v>1100</v>
      </c>
      <c r="H651" s="3" t="str">
        <f t="shared" si="12"/>
        <v>Calculated Tendon 4, from 3rd party Herbert-ABS LMP system.</v>
      </c>
    </row>
    <row r="652" spans="1:8" x14ac:dyDescent="0.25">
      <c r="A652" s="3" t="s">
        <v>6983</v>
      </c>
      <c r="B652" s="3" t="s">
        <v>6989</v>
      </c>
      <c r="C652" s="3" t="s">
        <v>6985</v>
      </c>
      <c r="D652" s="3" t="s">
        <v>1120</v>
      </c>
      <c r="E652" s="3">
        <v>651</v>
      </c>
      <c r="F652" s="3" t="s">
        <v>1651</v>
      </c>
      <c r="G652" s="3" t="s">
        <v>1100</v>
      </c>
      <c r="H652" s="3" t="str">
        <f t="shared" si="12"/>
        <v>Calculated Tendon 5, from 3rd party Herbert-ABS LMP system.</v>
      </c>
    </row>
    <row r="653" spans="1:8" x14ac:dyDescent="0.25">
      <c r="A653" s="3" t="s">
        <v>6983</v>
      </c>
      <c r="B653" s="3" t="s">
        <v>6989</v>
      </c>
      <c r="C653" s="3" t="s">
        <v>6985</v>
      </c>
      <c r="D653" s="3" t="s">
        <v>1120</v>
      </c>
      <c r="E653" s="3">
        <v>652</v>
      </c>
      <c r="F653" s="3" t="s">
        <v>1652</v>
      </c>
      <c r="G653" s="3" t="s">
        <v>1100</v>
      </c>
      <c r="H653" s="3" t="str">
        <f t="shared" si="12"/>
        <v>Calculated Tendon 6, from 3rd party Herbert-ABS LMP system.</v>
      </c>
    </row>
    <row r="654" spans="1:8" x14ac:dyDescent="0.25">
      <c r="A654" s="3" t="s">
        <v>6983</v>
      </c>
      <c r="B654" s="3" t="s">
        <v>6989</v>
      </c>
      <c r="C654" s="3" t="s">
        <v>6985</v>
      </c>
      <c r="D654" s="3" t="s">
        <v>1120</v>
      </c>
      <c r="E654" s="3">
        <v>653</v>
      </c>
      <c r="F654" s="3" t="s">
        <v>1653</v>
      </c>
      <c r="G654" s="3" t="s">
        <v>1100</v>
      </c>
      <c r="H654" s="3" t="str">
        <f t="shared" si="12"/>
        <v>Calculated Tendon 7, from 3rd party Herbert-ABS LMP system.</v>
      </c>
    </row>
    <row r="655" spans="1:8" x14ac:dyDescent="0.25">
      <c r="A655" s="3" t="s">
        <v>6983</v>
      </c>
      <c r="B655" s="3" t="s">
        <v>6989</v>
      </c>
      <c r="C655" s="3" t="s">
        <v>6985</v>
      </c>
      <c r="D655" s="3" t="s">
        <v>1120</v>
      </c>
      <c r="E655" s="3">
        <v>654</v>
      </c>
      <c r="F655" s="3" t="s">
        <v>1654</v>
      </c>
      <c r="G655" s="3" t="s">
        <v>1100</v>
      </c>
      <c r="H655" s="3" t="str">
        <f t="shared" si="12"/>
        <v>Calculated Tendon 8, from 3rd party Herbert-ABS LMP system.</v>
      </c>
    </row>
    <row r="656" spans="1:8" x14ac:dyDescent="0.25">
      <c r="A656" s="3" t="s">
        <v>6983</v>
      </c>
      <c r="B656" s="3" t="s">
        <v>6989</v>
      </c>
      <c r="C656" s="3" t="s">
        <v>6985</v>
      </c>
      <c r="D656" s="3" t="s">
        <v>1120</v>
      </c>
      <c r="E656" s="3">
        <v>655</v>
      </c>
      <c r="F656" s="3" t="s">
        <v>1655</v>
      </c>
      <c r="G656" s="3" t="s">
        <v>1100</v>
      </c>
      <c r="H656" s="3" t="str">
        <f t="shared" si="12"/>
        <v>Calculated Tendon 9, from 3rd party Herbert-ABS LMP system.</v>
      </c>
    </row>
    <row r="657" spans="1:8" x14ac:dyDescent="0.25">
      <c r="A657" s="3" t="s">
        <v>6983</v>
      </c>
      <c r="B657" s="3" t="s">
        <v>6989</v>
      </c>
      <c r="C657" s="3" t="s">
        <v>6985</v>
      </c>
      <c r="D657" s="3" t="s">
        <v>1120</v>
      </c>
      <c r="E657" s="3">
        <v>656</v>
      </c>
      <c r="F657" s="3" t="s">
        <v>1664</v>
      </c>
      <c r="G657" s="3" t="s">
        <v>4</v>
      </c>
      <c r="H657" s="3" t="str">
        <f t="shared" si="12"/>
        <v>Calculated TLP Incli EW, from 3rd party Herbert-ABS LMP system.</v>
      </c>
    </row>
    <row r="658" spans="1:8" x14ac:dyDescent="0.25">
      <c r="A658" s="3" t="s">
        <v>6983</v>
      </c>
      <c r="B658" s="3" t="s">
        <v>6989</v>
      </c>
      <c r="C658" s="3" t="s">
        <v>6985</v>
      </c>
      <c r="D658" s="3" t="s">
        <v>1120</v>
      </c>
      <c r="E658" s="3">
        <v>657</v>
      </c>
      <c r="F658" s="3" t="s">
        <v>1665</v>
      </c>
      <c r="G658" s="3" t="s">
        <v>4</v>
      </c>
      <c r="H658" s="3" t="str">
        <f t="shared" si="12"/>
        <v>Calculated TLP Incli NS, from 3rd party Herbert-ABS LMP system.</v>
      </c>
    </row>
    <row r="659" spans="1:8" x14ac:dyDescent="0.25">
      <c r="A659" s="3" t="s">
        <v>6983</v>
      </c>
      <c r="B659" s="3" t="s">
        <v>6989</v>
      </c>
      <c r="C659" s="3" t="s">
        <v>6985</v>
      </c>
      <c r="D659" s="3" t="s">
        <v>1120</v>
      </c>
      <c r="E659" s="3">
        <v>658</v>
      </c>
      <c r="F659" s="3" t="s">
        <v>1634</v>
      </c>
      <c r="G659" s="3" t="s">
        <v>2104</v>
      </c>
      <c r="H659" s="3" t="str">
        <f t="shared" ref="H659:H704" si="13">_xlfn.CONCAT("Data QA applied on ",F659, ", computed by BMT WinMon.")</f>
        <v>Data QA applied on Calculation Flag, computed by BMT WinMon.</v>
      </c>
    </row>
    <row r="660" spans="1:8" x14ac:dyDescent="0.25">
      <c r="A660" s="3" t="s">
        <v>6983</v>
      </c>
      <c r="B660" s="3" t="s">
        <v>6989</v>
      </c>
      <c r="C660" s="3" t="s">
        <v>6985</v>
      </c>
      <c r="D660" s="3" t="s">
        <v>1120</v>
      </c>
      <c r="E660" s="3">
        <v>659</v>
      </c>
      <c r="F660" s="3" t="s">
        <v>3080</v>
      </c>
      <c r="G660" s="3" t="s">
        <v>1093</v>
      </c>
      <c r="H660" s="3" t="str">
        <f t="shared" si="13"/>
        <v>Data QA applied on EPN-B, computed by BMT WinMon.</v>
      </c>
    </row>
    <row r="661" spans="1:8" x14ac:dyDescent="0.25">
      <c r="A661" s="3" t="s">
        <v>6983</v>
      </c>
      <c r="B661" s="3" t="s">
        <v>6989</v>
      </c>
      <c r="C661" s="3" t="s">
        <v>6985</v>
      </c>
      <c r="D661" s="3" t="s">
        <v>1120</v>
      </c>
      <c r="E661" s="3">
        <v>660</v>
      </c>
      <c r="F661" s="3" t="s">
        <v>3081</v>
      </c>
      <c r="G661" s="3" t="s">
        <v>1093</v>
      </c>
      <c r="H661" s="3" t="str">
        <f t="shared" si="13"/>
        <v>Data QA applied on EPS-B, computed by BMT WinMon.</v>
      </c>
    </row>
    <row r="662" spans="1:8" x14ac:dyDescent="0.25">
      <c r="A662" s="3" t="s">
        <v>6983</v>
      </c>
      <c r="B662" s="3" t="s">
        <v>6989</v>
      </c>
      <c r="C662" s="3" t="s">
        <v>6985</v>
      </c>
      <c r="D662" s="3" t="s">
        <v>1120</v>
      </c>
      <c r="E662" s="3">
        <v>661</v>
      </c>
      <c r="F662" s="3" t="s">
        <v>1667</v>
      </c>
      <c r="G662" s="3" t="s">
        <v>1093</v>
      </c>
      <c r="H662" s="3" t="str">
        <f t="shared" si="13"/>
        <v>Data QA applied on KG Allow Hurricane, computed by BMT WinMon.</v>
      </c>
    </row>
    <row r="663" spans="1:8" x14ac:dyDescent="0.25">
      <c r="A663" s="3" t="s">
        <v>6983</v>
      </c>
      <c r="B663" s="3" t="s">
        <v>6989</v>
      </c>
      <c r="C663" s="3" t="s">
        <v>6985</v>
      </c>
      <c r="D663" s="3" t="s">
        <v>1120</v>
      </c>
      <c r="E663" s="3">
        <v>662</v>
      </c>
      <c r="F663" s="3" t="s">
        <v>1668</v>
      </c>
      <c r="G663" s="3" t="s">
        <v>1093</v>
      </c>
      <c r="H663" s="3" t="str">
        <f t="shared" si="13"/>
        <v>Data QA applied on KG Allow Winter Storm, computed by BMT WinMon.</v>
      </c>
    </row>
    <row r="664" spans="1:8" x14ac:dyDescent="0.25">
      <c r="A664" s="3" t="s">
        <v>6983</v>
      </c>
      <c r="B664" s="3" t="s">
        <v>6989</v>
      </c>
      <c r="C664" s="3" t="s">
        <v>6985</v>
      </c>
      <c r="D664" s="3" t="s">
        <v>1120</v>
      </c>
      <c r="E664" s="3">
        <v>663</v>
      </c>
      <c r="F664" s="3" t="s">
        <v>1659</v>
      </c>
      <c r="G664" s="3" t="s">
        <v>1100</v>
      </c>
      <c r="H664" s="3" t="str">
        <f t="shared" si="13"/>
        <v>Data QA applied on Lateral Phantom Force EW, computed by BMT WinMon.</v>
      </c>
    </row>
    <row r="665" spans="1:8" x14ac:dyDescent="0.25">
      <c r="A665" s="3" t="s">
        <v>6983</v>
      </c>
      <c r="B665" s="3" t="s">
        <v>6989</v>
      </c>
      <c r="C665" s="3" t="s">
        <v>6985</v>
      </c>
      <c r="D665" s="3" t="s">
        <v>1120</v>
      </c>
      <c r="E665" s="3">
        <v>664</v>
      </c>
      <c r="F665" s="3" t="s">
        <v>1660</v>
      </c>
      <c r="G665" s="3" t="s">
        <v>1100</v>
      </c>
      <c r="H665" s="3" t="str">
        <f t="shared" si="13"/>
        <v>Data QA applied on Lateral Phantom Force NS, computed by BMT WinMon.</v>
      </c>
    </row>
    <row r="666" spans="1:8" x14ac:dyDescent="0.25">
      <c r="A666" s="3" t="s">
        <v>6983</v>
      </c>
      <c r="B666" s="3" t="s">
        <v>6989</v>
      </c>
      <c r="C666" s="3" t="s">
        <v>6985</v>
      </c>
      <c r="D666" s="3" t="s">
        <v>1120</v>
      </c>
      <c r="E666" s="3">
        <v>665</v>
      </c>
      <c r="F666" s="3" t="s">
        <v>1661</v>
      </c>
      <c r="G666" s="3" t="s">
        <v>1101</v>
      </c>
      <c r="H666" s="3" t="str">
        <f t="shared" si="13"/>
        <v>Data QA applied on LPF Moment EW, computed by BMT WinMon.</v>
      </c>
    </row>
    <row r="667" spans="1:8" x14ac:dyDescent="0.25">
      <c r="A667" s="3" t="s">
        <v>6983</v>
      </c>
      <c r="B667" s="3" t="s">
        <v>6989</v>
      </c>
      <c r="C667" s="3" t="s">
        <v>6985</v>
      </c>
      <c r="D667" s="3" t="s">
        <v>1120</v>
      </c>
      <c r="E667" s="3">
        <v>666</v>
      </c>
      <c r="F667" s="3" t="s">
        <v>1662</v>
      </c>
      <c r="G667" s="3" t="s">
        <v>1101</v>
      </c>
      <c r="H667" s="3" t="str">
        <f t="shared" si="13"/>
        <v>Data QA applied on LPF Moment NS, computed by BMT WinMon.</v>
      </c>
    </row>
    <row r="668" spans="1:8" x14ac:dyDescent="0.25">
      <c r="A668" s="3" t="s">
        <v>6983</v>
      </c>
      <c r="B668" s="3" t="s">
        <v>6989</v>
      </c>
      <c r="C668" s="3" t="s">
        <v>6985</v>
      </c>
      <c r="D668" s="3" t="s">
        <v>1120</v>
      </c>
      <c r="E668" s="3">
        <v>667</v>
      </c>
      <c r="F668" s="3" t="s">
        <v>3082</v>
      </c>
      <c r="G668" s="3" t="s">
        <v>1093</v>
      </c>
      <c r="H668" s="3" t="str">
        <f t="shared" si="13"/>
        <v>Data QA applied on NE0-BNE, computed by BMT WinMon.</v>
      </c>
    </row>
    <row r="669" spans="1:8" x14ac:dyDescent="0.25">
      <c r="A669" s="3" t="s">
        <v>6983</v>
      </c>
      <c r="B669" s="3" t="s">
        <v>6989</v>
      </c>
      <c r="C669" s="3" t="s">
        <v>6985</v>
      </c>
      <c r="D669" s="3" t="s">
        <v>1120</v>
      </c>
      <c r="E669" s="3">
        <v>668</v>
      </c>
      <c r="F669" s="3" t="s">
        <v>3083</v>
      </c>
      <c r="G669" s="3" t="s">
        <v>1093</v>
      </c>
      <c r="H669" s="3" t="str">
        <f t="shared" si="13"/>
        <v>Data QA applied on NE0-BSW, computed by BMT WinMon.</v>
      </c>
    </row>
    <row r="670" spans="1:8" x14ac:dyDescent="0.25">
      <c r="A670" s="3" t="s">
        <v>6983</v>
      </c>
      <c r="B670" s="3" t="s">
        <v>6989</v>
      </c>
      <c r="C670" s="3" t="s">
        <v>6985</v>
      </c>
      <c r="D670" s="3" t="s">
        <v>1120</v>
      </c>
      <c r="E670" s="3">
        <v>669</v>
      </c>
      <c r="F670" s="3" t="s">
        <v>3084</v>
      </c>
      <c r="G670" s="3" t="s">
        <v>1093</v>
      </c>
      <c r="H670" s="3" t="str">
        <f t="shared" si="13"/>
        <v>Data QA applied on NPE-B, computed by BMT WinMon.</v>
      </c>
    </row>
    <row r="671" spans="1:8" x14ac:dyDescent="0.25">
      <c r="A671" s="3" t="s">
        <v>6983</v>
      </c>
      <c r="B671" s="3" t="s">
        <v>6989</v>
      </c>
      <c r="C671" s="3" t="s">
        <v>6985</v>
      </c>
      <c r="D671" s="3" t="s">
        <v>1120</v>
      </c>
      <c r="E671" s="3">
        <v>670</v>
      </c>
      <c r="F671" s="3" t="s">
        <v>3085</v>
      </c>
      <c r="G671" s="3" t="s">
        <v>1093</v>
      </c>
      <c r="H671" s="3" t="str">
        <f t="shared" si="13"/>
        <v>Data QA applied on NPW-B, computed by BMT WinMon.</v>
      </c>
    </row>
    <row r="672" spans="1:8" x14ac:dyDescent="0.25">
      <c r="A672" s="3" t="s">
        <v>6983</v>
      </c>
      <c r="B672" s="3" t="s">
        <v>6989</v>
      </c>
      <c r="C672" s="3" t="s">
        <v>6985</v>
      </c>
      <c r="D672" s="3" t="s">
        <v>1120</v>
      </c>
      <c r="E672" s="3">
        <v>671</v>
      </c>
      <c r="F672" s="3" t="s">
        <v>3086</v>
      </c>
      <c r="G672" s="3" t="s">
        <v>1093</v>
      </c>
      <c r="H672" s="3" t="str">
        <f t="shared" si="13"/>
        <v>Data QA applied on NW0-BNW, computed by BMT WinMon.</v>
      </c>
    </row>
    <row r="673" spans="1:8" x14ac:dyDescent="0.25">
      <c r="A673" s="3" t="s">
        <v>6983</v>
      </c>
      <c r="B673" s="3" t="s">
        <v>6989</v>
      </c>
      <c r="C673" s="3" t="s">
        <v>6985</v>
      </c>
      <c r="D673" s="3" t="s">
        <v>1120</v>
      </c>
      <c r="E673" s="3">
        <v>672</v>
      </c>
      <c r="F673" s="3" t="s">
        <v>3087</v>
      </c>
      <c r="G673" s="3" t="s">
        <v>1093</v>
      </c>
      <c r="H673" s="3" t="str">
        <f t="shared" si="13"/>
        <v>Data QA applied on NW0-BSE, computed by BMT WinMon.</v>
      </c>
    </row>
    <row r="674" spans="1:8" x14ac:dyDescent="0.25">
      <c r="A674" s="3" t="s">
        <v>6983</v>
      </c>
      <c r="B674" s="3" t="s">
        <v>6989</v>
      </c>
      <c r="C674" s="3" t="s">
        <v>6985</v>
      </c>
      <c r="D674" s="3" t="s">
        <v>1120</v>
      </c>
      <c r="E674" s="3">
        <v>673</v>
      </c>
      <c r="F674" s="3" t="s">
        <v>233</v>
      </c>
      <c r="G674" s="3" t="s">
        <v>1100</v>
      </c>
      <c r="H674" s="3" t="str">
        <f t="shared" si="13"/>
        <v>Data QA applied on Phantom Weight, computed by BMT WinMon.</v>
      </c>
    </row>
    <row r="675" spans="1:8" x14ac:dyDescent="0.25">
      <c r="A675" s="3" t="s">
        <v>6983</v>
      </c>
      <c r="B675" s="3" t="s">
        <v>6989</v>
      </c>
      <c r="C675" s="3" t="s">
        <v>6985</v>
      </c>
      <c r="D675" s="3" t="s">
        <v>1120</v>
      </c>
      <c r="E675" s="3">
        <v>674</v>
      </c>
      <c r="F675" s="3" t="s">
        <v>234</v>
      </c>
      <c r="G675" s="3" t="s">
        <v>1093</v>
      </c>
      <c r="H675" s="3" t="str">
        <f t="shared" si="13"/>
        <v>Data QA applied on Phantom Weight CG EW, computed by BMT WinMon.</v>
      </c>
    </row>
    <row r="676" spans="1:8" x14ac:dyDescent="0.25">
      <c r="A676" s="3" t="s">
        <v>6983</v>
      </c>
      <c r="B676" s="3" t="s">
        <v>6989</v>
      </c>
      <c r="C676" s="3" t="s">
        <v>6985</v>
      </c>
      <c r="D676" s="3" t="s">
        <v>1120</v>
      </c>
      <c r="E676" s="3">
        <v>675</v>
      </c>
      <c r="F676" s="3" t="s">
        <v>235</v>
      </c>
      <c r="G676" s="3" t="s">
        <v>1093</v>
      </c>
      <c r="H676" s="3" t="str">
        <f t="shared" si="13"/>
        <v>Data QA applied on Phantom Weight CG NS, computed by BMT WinMon.</v>
      </c>
    </row>
    <row r="677" spans="1:8" x14ac:dyDescent="0.25">
      <c r="A677" s="3" t="s">
        <v>6983</v>
      </c>
      <c r="B677" s="3" t="s">
        <v>6989</v>
      </c>
      <c r="C677" s="3" t="s">
        <v>6985</v>
      </c>
      <c r="D677" s="3" t="s">
        <v>1120</v>
      </c>
      <c r="E677" s="3">
        <v>676</v>
      </c>
      <c r="F677" s="3" t="s">
        <v>3088</v>
      </c>
      <c r="G677" s="3" t="s">
        <v>3852</v>
      </c>
      <c r="H677" s="3" t="str">
        <f t="shared" si="13"/>
        <v>Data QA applied on Rig Location, computed by BMT WinMon.</v>
      </c>
    </row>
    <row r="678" spans="1:8" x14ac:dyDescent="0.25">
      <c r="A678" s="3" t="s">
        <v>6983</v>
      </c>
      <c r="B678" s="3" t="s">
        <v>6989</v>
      </c>
      <c r="C678" s="3" t="s">
        <v>6985</v>
      </c>
      <c r="D678" s="3" t="s">
        <v>1120</v>
      </c>
      <c r="E678" s="3">
        <v>677</v>
      </c>
      <c r="F678" s="3" t="s">
        <v>1669</v>
      </c>
      <c r="G678" s="3" t="s">
        <v>1093</v>
      </c>
      <c r="H678" s="3" t="str">
        <f t="shared" si="13"/>
        <v>Data QA applied on Rig Location EW, computed by BMT WinMon.</v>
      </c>
    </row>
    <row r="679" spans="1:8" x14ac:dyDescent="0.25">
      <c r="A679" s="3" t="s">
        <v>6983</v>
      </c>
      <c r="B679" s="3" t="s">
        <v>6989</v>
      </c>
      <c r="C679" s="3" t="s">
        <v>6985</v>
      </c>
      <c r="D679" s="3" t="s">
        <v>1120</v>
      </c>
      <c r="E679" s="3">
        <v>678</v>
      </c>
      <c r="F679" s="3" t="s">
        <v>1670</v>
      </c>
      <c r="G679" s="3" t="s">
        <v>1093</v>
      </c>
      <c r="H679" s="3" t="str">
        <f t="shared" si="13"/>
        <v>Data QA applied on Rig Location NS, computed by BMT WinMon.</v>
      </c>
    </row>
    <row r="680" spans="1:8" x14ac:dyDescent="0.25">
      <c r="A680" s="3" t="s">
        <v>6983</v>
      </c>
      <c r="B680" s="3" t="s">
        <v>6989</v>
      </c>
      <c r="C680" s="3" t="s">
        <v>6985</v>
      </c>
      <c r="D680" s="3" t="s">
        <v>1120</v>
      </c>
      <c r="E680" s="3">
        <v>679</v>
      </c>
      <c r="F680" s="3" t="s">
        <v>3089</v>
      </c>
      <c r="G680" s="3" t="s">
        <v>1093</v>
      </c>
      <c r="H680" s="3" t="str">
        <f t="shared" si="13"/>
        <v>Data QA applied on SE0-BNW, computed by BMT WinMon.</v>
      </c>
    </row>
    <row r="681" spans="1:8" x14ac:dyDescent="0.25">
      <c r="A681" s="3" t="s">
        <v>6983</v>
      </c>
      <c r="B681" s="3" t="s">
        <v>6989</v>
      </c>
      <c r="C681" s="3" t="s">
        <v>6985</v>
      </c>
      <c r="D681" s="3" t="s">
        <v>1120</v>
      </c>
      <c r="E681" s="3">
        <v>680</v>
      </c>
      <c r="F681" s="3" t="s">
        <v>3090</v>
      </c>
      <c r="G681" s="3" t="s">
        <v>1093</v>
      </c>
      <c r="H681" s="3" t="str">
        <f t="shared" si="13"/>
        <v>Data QA applied on SE0-BSE, computed by BMT WinMon.</v>
      </c>
    </row>
    <row r="682" spans="1:8" x14ac:dyDescent="0.25">
      <c r="A682" s="3" t="s">
        <v>6983</v>
      </c>
      <c r="B682" s="3" t="s">
        <v>6989</v>
      </c>
      <c r="C682" s="3" t="s">
        <v>6985</v>
      </c>
      <c r="D682" s="3" t="s">
        <v>1120</v>
      </c>
      <c r="E682" s="3">
        <v>681</v>
      </c>
      <c r="F682" s="3" t="s">
        <v>3091</v>
      </c>
      <c r="G682" s="3" t="s">
        <v>1093</v>
      </c>
      <c r="H682" s="3" t="str">
        <f t="shared" si="13"/>
        <v>Data QA applied on SPE-B, computed by BMT WinMon.</v>
      </c>
    </row>
    <row r="683" spans="1:8" x14ac:dyDescent="0.25">
      <c r="A683" s="3" t="s">
        <v>6983</v>
      </c>
      <c r="B683" s="3" t="s">
        <v>6989</v>
      </c>
      <c r="C683" s="3" t="s">
        <v>6985</v>
      </c>
      <c r="D683" s="3" t="s">
        <v>1120</v>
      </c>
      <c r="E683" s="3">
        <v>682</v>
      </c>
      <c r="F683" s="3" t="s">
        <v>3092</v>
      </c>
      <c r="G683" s="3" t="s">
        <v>1093</v>
      </c>
      <c r="H683" s="3" t="str">
        <f t="shared" si="13"/>
        <v>Data QA applied on SPW-B, computed by BMT WinMon.</v>
      </c>
    </row>
    <row r="684" spans="1:8" x14ac:dyDescent="0.25">
      <c r="A684" s="3" t="s">
        <v>6983</v>
      </c>
      <c r="B684" s="3" t="s">
        <v>6989</v>
      </c>
      <c r="C684" s="3" t="s">
        <v>6985</v>
      </c>
      <c r="D684" s="3" t="s">
        <v>1120</v>
      </c>
      <c r="E684" s="3">
        <v>683</v>
      </c>
      <c r="F684" s="3" t="s">
        <v>3093</v>
      </c>
      <c r="G684" s="3" t="s">
        <v>1093</v>
      </c>
      <c r="H684" s="3" t="str">
        <f t="shared" si="13"/>
        <v>Data QA applied on SW0-BNE, computed by BMT WinMon.</v>
      </c>
    </row>
    <row r="685" spans="1:8" x14ac:dyDescent="0.25">
      <c r="A685" s="3" t="s">
        <v>6983</v>
      </c>
      <c r="B685" s="3" t="s">
        <v>6989</v>
      </c>
      <c r="C685" s="3" t="s">
        <v>6985</v>
      </c>
      <c r="D685" s="3" t="s">
        <v>1120</v>
      </c>
      <c r="E685" s="3">
        <v>684</v>
      </c>
      <c r="F685" s="3" t="s">
        <v>3094</v>
      </c>
      <c r="G685" s="3" t="s">
        <v>1093</v>
      </c>
      <c r="H685" s="3" t="str">
        <f t="shared" si="13"/>
        <v>Data QA applied on SW0-BSW, computed by BMT WinMon.</v>
      </c>
    </row>
    <row r="686" spans="1:8" x14ac:dyDescent="0.25">
      <c r="A686" s="3" t="s">
        <v>6983</v>
      </c>
      <c r="B686" s="3" t="s">
        <v>6989</v>
      </c>
      <c r="C686" s="3" t="s">
        <v>6985</v>
      </c>
      <c r="D686" s="3" t="s">
        <v>1120</v>
      </c>
      <c r="E686" s="3">
        <v>685</v>
      </c>
      <c r="F686" s="3" t="s">
        <v>1635</v>
      </c>
      <c r="G686" s="3" t="s">
        <v>1100</v>
      </c>
      <c r="H686" s="3" t="str">
        <f t="shared" si="13"/>
        <v>Data QA applied on Target Tendon 1, computed by BMT WinMon.</v>
      </c>
    </row>
    <row r="687" spans="1:8" x14ac:dyDescent="0.25">
      <c r="A687" s="3" t="s">
        <v>6983</v>
      </c>
      <c r="B687" s="3" t="s">
        <v>6989</v>
      </c>
      <c r="C687" s="3" t="s">
        <v>6985</v>
      </c>
      <c r="D687" s="3" t="s">
        <v>1120</v>
      </c>
      <c r="E687" s="3">
        <v>686</v>
      </c>
      <c r="F687" s="3" t="s">
        <v>1644</v>
      </c>
      <c r="G687" s="3" t="s">
        <v>1100</v>
      </c>
      <c r="H687" s="3" t="str">
        <f t="shared" si="13"/>
        <v>Data QA applied on Target Tendon 10, computed by BMT WinMon.</v>
      </c>
    </row>
    <row r="688" spans="1:8" x14ac:dyDescent="0.25">
      <c r="A688" s="3" t="s">
        <v>6983</v>
      </c>
      <c r="B688" s="3" t="s">
        <v>6989</v>
      </c>
      <c r="C688" s="3" t="s">
        <v>6985</v>
      </c>
      <c r="D688" s="3" t="s">
        <v>1120</v>
      </c>
      <c r="E688" s="3">
        <v>687</v>
      </c>
      <c r="F688" s="3" t="s">
        <v>1645</v>
      </c>
      <c r="G688" s="3" t="s">
        <v>1100</v>
      </c>
      <c r="H688" s="3" t="str">
        <f t="shared" si="13"/>
        <v>Data QA applied on Target Tendon 11, computed by BMT WinMon.</v>
      </c>
    </row>
    <row r="689" spans="1:8" x14ac:dyDescent="0.25">
      <c r="A689" s="3" t="s">
        <v>6983</v>
      </c>
      <c r="B689" s="3" t="s">
        <v>6989</v>
      </c>
      <c r="C689" s="3" t="s">
        <v>6985</v>
      </c>
      <c r="D689" s="3" t="s">
        <v>1120</v>
      </c>
      <c r="E689" s="3">
        <v>688</v>
      </c>
      <c r="F689" s="3" t="s">
        <v>1646</v>
      </c>
      <c r="G689" s="3" t="s">
        <v>1100</v>
      </c>
      <c r="H689" s="3" t="str">
        <f t="shared" si="13"/>
        <v>Data QA applied on Target Tendon 12, computed by BMT WinMon.</v>
      </c>
    </row>
    <row r="690" spans="1:8" x14ac:dyDescent="0.25">
      <c r="A690" s="3" t="s">
        <v>6983</v>
      </c>
      <c r="B690" s="3" t="s">
        <v>6989</v>
      </c>
      <c r="C690" s="3" t="s">
        <v>6985</v>
      </c>
      <c r="D690" s="3" t="s">
        <v>1120</v>
      </c>
      <c r="E690" s="3">
        <v>689</v>
      </c>
      <c r="F690" s="3" t="s">
        <v>3095</v>
      </c>
      <c r="G690" s="3" t="s">
        <v>1100</v>
      </c>
      <c r="H690" s="3" t="str">
        <f t="shared" si="13"/>
        <v>Data QA applied on Target Tendon 13, computed by BMT WinMon.</v>
      </c>
    </row>
    <row r="691" spans="1:8" x14ac:dyDescent="0.25">
      <c r="A691" s="3" t="s">
        <v>6983</v>
      </c>
      <c r="B691" s="3" t="s">
        <v>6989</v>
      </c>
      <c r="C691" s="3" t="s">
        <v>6985</v>
      </c>
      <c r="D691" s="3" t="s">
        <v>1120</v>
      </c>
      <c r="E691" s="3">
        <v>690</v>
      </c>
      <c r="F691" s="3" t="s">
        <v>3096</v>
      </c>
      <c r="G691" s="3" t="s">
        <v>1100</v>
      </c>
      <c r="H691" s="3" t="str">
        <f t="shared" si="13"/>
        <v>Data QA applied on Target Tendon 14, computed by BMT WinMon.</v>
      </c>
    </row>
    <row r="692" spans="1:8" x14ac:dyDescent="0.25">
      <c r="A692" s="3" t="s">
        <v>6983</v>
      </c>
      <c r="B692" s="3" t="s">
        <v>6989</v>
      </c>
      <c r="C692" s="3" t="s">
        <v>6985</v>
      </c>
      <c r="D692" s="3" t="s">
        <v>1120</v>
      </c>
      <c r="E692" s="3">
        <v>691</v>
      </c>
      <c r="F692" s="3" t="s">
        <v>3097</v>
      </c>
      <c r="G692" s="3" t="s">
        <v>1100</v>
      </c>
      <c r="H692" s="3" t="str">
        <f t="shared" si="13"/>
        <v>Data QA applied on Target Tendon 15, computed by BMT WinMon.</v>
      </c>
    </row>
    <row r="693" spans="1:8" x14ac:dyDescent="0.25">
      <c r="A693" s="3" t="s">
        <v>6983</v>
      </c>
      <c r="B693" s="3" t="s">
        <v>6989</v>
      </c>
      <c r="C693" s="3" t="s">
        <v>6985</v>
      </c>
      <c r="D693" s="3" t="s">
        <v>1120</v>
      </c>
      <c r="E693" s="3">
        <v>692</v>
      </c>
      <c r="F693" s="3" t="s">
        <v>3098</v>
      </c>
      <c r="G693" s="3" t="s">
        <v>1100</v>
      </c>
      <c r="H693" s="3" t="str">
        <f t="shared" si="13"/>
        <v>Data QA applied on Target Tendon 16, computed by BMT WinMon.</v>
      </c>
    </row>
    <row r="694" spans="1:8" x14ac:dyDescent="0.25">
      <c r="A694" s="3" t="s">
        <v>6983</v>
      </c>
      <c r="B694" s="3" t="s">
        <v>6989</v>
      </c>
      <c r="C694" s="3" t="s">
        <v>6985</v>
      </c>
      <c r="D694" s="3" t="s">
        <v>1120</v>
      </c>
      <c r="E694" s="3">
        <v>693</v>
      </c>
      <c r="F694" s="3" t="s">
        <v>1636</v>
      </c>
      <c r="G694" s="3" t="s">
        <v>1100</v>
      </c>
      <c r="H694" s="3" t="str">
        <f t="shared" si="13"/>
        <v>Data QA applied on Target Tendon 2, computed by BMT WinMon.</v>
      </c>
    </row>
    <row r="695" spans="1:8" x14ac:dyDescent="0.25">
      <c r="A695" s="3" t="s">
        <v>6983</v>
      </c>
      <c r="B695" s="3" t="s">
        <v>6989</v>
      </c>
      <c r="C695" s="3" t="s">
        <v>6985</v>
      </c>
      <c r="D695" s="3" t="s">
        <v>1120</v>
      </c>
      <c r="E695" s="3">
        <v>694</v>
      </c>
      <c r="F695" s="3" t="s">
        <v>1637</v>
      </c>
      <c r="G695" s="3" t="s">
        <v>1100</v>
      </c>
      <c r="H695" s="3" t="str">
        <f t="shared" si="13"/>
        <v>Data QA applied on Target Tendon 3, computed by BMT WinMon.</v>
      </c>
    </row>
    <row r="696" spans="1:8" x14ac:dyDescent="0.25">
      <c r="A696" s="3" t="s">
        <v>6983</v>
      </c>
      <c r="B696" s="3" t="s">
        <v>6989</v>
      </c>
      <c r="C696" s="3" t="s">
        <v>6985</v>
      </c>
      <c r="D696" s="3" t="s">
        <v>1120</v>
      </c>
      <c r="E696" s="3">
        <v>695</v>
      </c>
      <c r="F696" s="3" t="s">
        <v>1638</v>
      </c>
      <c r="G696" s="3" t="s">
        <v>1100</v>
      </c>
      <c r="H696" s="3" t="str">
        <f t="shared" si="13"/>
        <v>Data QA applied on Target Tendon 4, computed by BMT WinMon.</v>
      </c>
    </row>
    <row r="697" spans="1:8" x14ac:dyDescent="0.25">
      <c r="A697" s="3" t="s">
        <v>6983</v>
      </c>
      <c r="B697" s="3" t="s">
        <v>6989</v>
      </c>
      <c r="C697" s="3" t="s">
        <v>6985</v>
      </c>
      <c r="D697" s="3" t="s">
        <v>1120</v>
      </c>
      <c r="E697" s="3">
        <v>696</v>
      </c>
      <c r="F697" s="3" t="s">
        <v>1639</v>
      </c>
      <c r="G697" s="3" t="s">
        <v>1100</v>
      </c>
      <c r="H697" s="3" t="str">
        <f t="shared" si="13"/>
        <v>Data QA applied on Target Tendon 5, computed by BMT WinMon.</v>
      </c>
    </row>
    <row r="698" spans="1:8" x14ac:dyDescent="0.25">
      <c r="A698" s="3" t="s">
        <v>6983</v>
      </c>
      <c r="B698" s="3" t="s">
        <v>6989</v>
      </c>
      <c r="C698" s="3" t="s">
        <v>6985</v>
      </c>
      <c r="D698" s="3" t="s">
        <v>1120</v>
      </c>
      <c r="E698" s="3">
        <v>697</v>
      </c>
      <c r="F698" s="3" t="s">
        <v>1640</v>
      </c>
      <c r="G698" s="3" t="s">
        <v>1100</v>
      </c>
      <c r="H698" s="3" t="str">
        <f t="shared" si="13"/>
        <v>Data QA applied on Target Tendon 6, computed by BMT WinMon.</v>
      </c>
    </row>
    <row r="699" spans="1:8" x14ac:dyDescent="0.25">
      <c r="A699" s="3" t="s">
        <v>6983</v>
      </c>
      <c r="B699" s="3" t="s">
        <v>6989</v>
      </c>
      <c r="C699" s="3" t="s">
        <v>6985</v>
      </c>
      <c r="D699" s="3" t="s">
        <v>1120</v>
      </c>
      <c r="E699" s="3">
        <v>698</v>
      </c>
      <c r="F699" s="3" t="s">
        <v>1641</v>
      </c>
      <c r="G699" s="3" t="s">
        <v>1100</v>
      </c>
      <c r="H699" s="3" t="str">
        <f t="shared" si="13"/>
        <v>Data QA applied on Target Tendon 7, computed by BMT WinMon.</v>
      </c>
    </row>
    <row r="700" spans="1:8" x14ac:dyDescent="0.25">
      <c r="A700" s="3" t="s">
        <v>6983</v>
      </c>
      <c r="B700" s="3" t="s">
        <v>6989</v>
      </c>
      <c r="C700" s="3" t="s">
        <v>6985</v>
      </c>
      <c r="D700" s="3" t="s">
        <v>1120</v>
      </c>
      <c r="E700" s="3">
        <v>699</v>
      </c>
      <c r="F700" s="3" t="s">
        <v>1642</v>
      </c>
      <c r="G700" s="3" t="s">
        <v>1100</v>
      </c>
      <c r="H700" s="3" t="str">
        <f t="shared" si="13"/>
        <v>Data QA applied on Target Tendon 8, computed by BMT WinMon.</v>
      </c>
    </row>
    <row r="701" spans="1:8" x14ac:dyDescent="0.25">
      <c r="A701" s="3" t="s">
        <v>6983</v>
      </c>
      <c r="B701" s="3" t="s">
        <v>6989</v>
      </c>
      <c r="C701" s="3" t="s">
        <v>6985</v>
      </c>
      <c r="D701" s="3" t="s">
        <v>1120</v>
      </c>
      <c r="E701" s="3">
        <v>700</v>
      </c>
      <c r="F701" s="3" t="s">
        <v>1643</v>
      </c>
      <c r="G701" s="3" t="s">
        <v>1100</v>
      </c>
      <c r="H701" s="3" t="str">
        <f t="shared" si="13"/>
        <v>Data QA applied on Target Tendon 9, computed by BMT WinMon.</v>
      </c>
    </row>
    <row r="702" spans="1:8" x14ac:dyDescent="0.25">
      <c r="A702" s="3" t="s">
        <v>6983</v>
      </c>
      <c r="B702" s="3" t="s">
        <v>6989</v>
      </c>
      <c r="C702" s="3" t="s">
        <v>6985</v>
      </c>
      <c r="D702" s="3" t="s">
        <v>1120</v>
      </c>
      <c r="E702" s="3">
        <v>701</v>
      </c>
      <c r="F702" s="3" t="s">
        <v>1666</v>
      </c>
      <c r="G702" s="3" t="s">
        <v>1093</v>
      </c>
      <c r="H702" s="3" t="str">
        <f t="shared" si="13"/>
        <v>Data QA applied on Platform KG, computed by BMT WinMon.</v>
      </c>
    </row>
    <row r="703" spans="1:8" x14ac:dyDescent="0.25">
      <c r="A703" s="3" t="s">
        <v>6983</v>
      </c>
      <c r="B703" s="3" t="s">
        <v>6989</v>
      </c>
      <c r="C703" s="3" t="s">
        <v>6985</v>
      </c>
      <c r="D703" s="3" t="s">
        <v>1120</v>
      </c>
      <c r="E703" s="3">
        <v>702</v>
      </c>
      <c r="F703" s="3" t="s">
        <v>1633</v>
      </c>
      <c r="G703" s="3" t="s">
        <v>16</v>
      </c>
      <c r="H703" s="3" t="s">
        <v>6961</v>
      </c>
    </row>
    <row r="704" spans="1:8" x14ac:dyDescent="0.25">
      <c r="A704" s="3" t="s">
        <v>6983</v>
      </c>
      <c r="B704" s="3" t="s">
        <v>6989</v>
      </c>
      <c r="C704" s="3" t="s">
        <v>6985</v>
      </c>
      <c r="D704" s="3" t="s">
        <v>1120</v>
      </c>
      <c r="E704" s="3">
        <v>703</v>
      </c>
      <c r="F704" s="3" t="s">
        <v>3099</v>
      </c>
      <c r="G704" s="3" t="s">
        <v>1093</v>
      </c>
      <c r="H704" s="3" t="str">
        <f t="shared" si="13"/>
        <v>Data QA applied on WPN-B, computed by BMT WinMon.</v>
      </c>
    </row>
    <row r="705" spans="1:8" x14ac:dyDescent="0.25">
      <c r="A705" s="3" t="s">
        <v>6983</v>
      </c>
      <c r="B705" s="3" t="s">
        <v>6989</v>
      </c>
      <c r="C705" s="3" t="s">
        <v>6985</v>
      </c>
      <c r="D705" s="3" t="s">
        <v>1120</v>
      </c>
      <c r="E705" s="3">
        <v>704</v>
      </c>
      <c r="F705" s="3" t="s">
        <v>3100</v>
      </c>
      <c r="G705" s="3" t="s">
        <v>1093</v>
      </c>
      <c r="H705" s="3" t="str">
        <f t="shared" ref="H705:H768" si="14">_xlfn.CONCAT("Data QA applied on ",F705, ", computed by BMT WinMon.")</f>
        <v>Data QA applied on WPS-B, computed by BMT WinMon.</v>
      </c>
    </row>
    <row r="706" spans="1:8" x14ac:dyDescent="0.25">
      <c r="A706" s="3" t="s">
        <v>6983</v>
      </c>
      <c r="B706" s="3" t="s">
        <v>6989</v>
      </c>
      <c r="C706" s="3" t="s">
        <v>6985</v>
      </c>
      <c r="D706" s="3" t="s">
        <v>1120</v>
      </c>
      <c r="E706" s="3">
        <v>705</v>
      </c>
      <c r="F706" s="3" t="s">
        <v>3101</v>
      </c>
      <c r="G706" s="3" t="s">
        <v>1100</v>
      </c>
      <c r="H706" s="3" t="str">
        <f t="shared" si="14"/>
        <v>Data QA applied on DECK SURVEY Weight HI, computed by BMT WinMon.</v>
      </c>
    </row>
    <row r="707" spans="1:8" x14ac:dyDescent="0.25">
      <c r="A707" s="3" t="s">
        <v>6983</v>
      </c>
      <c r="B707" s="3" t="s">
        <v>6989</v>
      </c>
      <c r="C707" s="3" t="s">
        <v>6985</v>
      </c>
      <c r="D707" s="3" t="s">
        <v>1120</v>
      </c>
      <c r="E707" s="3">
        <v>706</v>
      </c>
      <c r="F707" s="3" t="s">
        <v>3102</v>
      </c>
      <c r="G707" s="3" t="s">
        <v>1100</v>
      </c>
      <c r="H707" s="3" t="str">
        <f t="shared" si="14"/>
        <v>Data QA applied on DECK SURVEY Weight LO, computed by BMT WinMon.</v>
      </c>
    </row>
    <row r="708" spans="1:8" x14ac:dyDescent="0.25">
      <c r="A708" s="3" t="s">
        <v>6983</v>
      </c>
      <c r="B708" s="3" t="s">
        <v>6989</v>
      </c>
      <c r="C708" s="3" t="s">
        <v>6985</v>
      </c>
      <c r="D708" s="3" t="s">
        <v>1120</v>
      </c>
      <c r="E708" s="3">
        <v>707</v>
      </c>
      <c r="F708" s="3" t="s">
        <v>3103</v>
      </c>
      <c r="G708" s="3" t="s">
        <v>1093</v>
      </c>
      <c r="H708" s="3" t="str">
        <f t="shared" si="14"/>
        <v>Data QA applied on DECK SURVEY VCG PV, computed by BMT WinMon.</v>
      </c>
    </row>
    <row r="709" spans="1:8" x14ac:dyDescent="0.25">
      <c r="A709" s="3" t="s">
        <v>6983</v>
      </c>
      <c r="B709" s="3" t="s">
        <v>6989</v>
      </c>
      <c r="C709" s="3" t="s">
        <v>6985</v>
      </c>
      <c r="D709" s="3" t="s">
        <v>1120</v>
      </c>
      <c r="E709" s="3">
        <v>708</v>
      </c>
      <c r="F709" s="3" t="s">
        <v>3104</v>
      </c>
      <c r="G709" s="3" t="s">
        <v>1093</v>
      </c>
      <c r="H709" s="3" t="str">
        <f t="shared" si="14"/>
        <v>Data QA applied on DECK SURVEY CG EW PV, computed by BMT WinMon.</v>
      </c>
    </row>
    <row r="710" spans="1:8" x14ac:dyDescent="0.25">
      <c r="A710" s="3" t="s">
        <v>6983</v>
      </c>
      <c r="B710" s="3" t="s">
        <v>6989</v>
      </c>
      <c r="C710" s="3" t="s">
        <v>6985</v>
      </c>
      <c r="D710" s="3" t="s">
        <v>1120</v>
      </c>
      <c r="E710" s="3">
        <v>709</v>
      </c>
      <c r="F710" s="3" t="s">
        <v>3105</v>
      </c>
      <c r="G710" s="3" t="s">
        <v>1093</v>
      </c>
      <c r="H710" s="3" t="str">
        <f t="shared" si="14"/>
        <v>Data QA applied on DECK SURVEY CG NS PV, computed by BMT WinMon.</v>
      </c>
    </row>
    <row r="711" spans="1:8" x14ac:dyDescent="0.25">
      <c r="A711" s="3" t="s">
        <v>6983</v>
      </c>
      <c r="B711" s="3" t="s">
        <v>6989</v>
      </c>
      <c r="C711" s="3" t="s">
        <v>6985</v>
      </c>
      <c r="D711" s="3" t="s">
        <v>1120</v>
      </c>
      <c r="E711" s="3">
        <v>710</v>
      </c>
      <c r="F711" s="3" t="s">
        <v>3106</v>
      </c>
      <c r="G711" s="3" t="s">
        <v>1101</v>
      </c>
      <c r="H711" s="3" t="str">
        <f t="shared" si="14"/>
        <v>Data QA applied on DECK SURVEY VMOM PV, computed by BMT WinMon.</v>
      </c>
    </row>
    <row r="712" spans="1:8" x14ac:dyDescent="0.25">
      <c r="A712" s="3" t="s">
        <v>6983</v>
      </c>
      <c r="B712" s="3" t="s">
        <v>6989</v>
      </c>
      <c r="C712" s="3" t="s">
        <v>6985</v>
      </c>
      <c r="D712" s="3" t="s">
        <v>1120</v>
      </c>
      <c r="E712" s="3">
        <v>711</v>
      </c>
      <c r="F712" s="3" t="s">
        <v>3107</v>
      </c>
      <c r="G712" s="3" t="s">
        <v>1101</v>
      </c>
      <c r="H712" s="3" t="str">
        <f t="shared" si="14"/>
        <v>Data QA applied on DECK SURVEY EW MOM PV, computed by BMT WinMon.</v>
      </c>
    </row>
    <row r="713" spans="1:8" x14ac:dyDescent="0.25">
      <c r="A713" s="3" t="s">
        <v>6983</v>
      </c>
      <c r="B713" s="3" t="s">
        <v>6989</v>
      </c>
      <c r="C713" s="3" t="s">
        <v>6985</v>
      </c>
      <c r="D713" s="3" t="s">
        <v>1120</v>
      </c>
      <c r="E713" s="3">
        <v>712</v>
      </c>
      <c r="F713" s="3" t="s">
        <v>3108</v>
      </c>
      <c r="G713" s="3" t="s">
        <v>1101</v>
      </c>
      <c r="H713" s="3" t="str">
        <f t="shared" si="14"/>
        <v>Data QA applied on DECK SURVEY NS MOM PV, computed by BMT WinMon.</v>
      </c>
    </row>
    <row r="714" spans="1:8" x14ac:dyDescent="0.25">
      <c r="A714" s="3" t="s">
        <v>6983</v>
      </c>
      <c r="B714" s="3" t="s">
        <v>6989</v>
      </c>
      <c r="C714" s="3" t="s">
        <v>6985</v>
      </c>
      <c r="D714" s="3" t="s">
        <v>1120</v>
      </c>
      <c r="E714" s="3">
        <v>713</v>
      </c>
      <c r="F714" s="3" t="s">
        <v>3109</v>
      </c>
      <c r="G714" s="3" t="s">
        <v>1100</v>
      </c>
      <c r="H714" s="3" t="str">
        <f t="shared" si="14"/>
        <v>Data QA applied on BAL Weight HI, computed by BMT WinMon.</v>
      </c>
    </row>
    <row r="715" spans="1:8" x14ac:dyDescent="0.25">
      <c r="A715" s="3" t="s">
        <v>6983</v>
      </c>
      <c r="B715" s="3" t="s">
        <v>6989</v>
      </c>
      <c r="C715" s="3" t="s">
        <v>6985</v>
      </c>
      <c r="D715" s="3" t="s">
        <v>1120</v>
      </c>
      <c r="E715" s="3">
        <v>714</v>
      </c>
      <c r="F715" s="3" t="s">
        <v>3110</v>
      </c>
      <c r="G715" s="3" t="s">
        <v>1100</v>
      </c>
      <c r="H715" s="3" t="str">
        <f t="shared" si="14"/>
        <v>Data QA applied on BAL Weight LO, computed by BMT WinMon.</v>
      </c>
    </row>
    <row r="716" spans="1:8" x14ac:dyDescent="0.25">
      <c r="A716" s="3" t="s">
        <v>6983</v>
      </c>
      <c r="B716" s="3" t="s">
        <v>6989</v>
      </c>
      <c r="C716" s="3" t="s">
        <v>6985</v>
      </c>
      <c r="D716" s="3" t="s">
        <v>1120</v>
      </c>
      <c r="E716" s="3">
        <v>715</v>
      </c>
      <c r="F716" s="3" t="s">
        <v>3111</v>
      </c>
      <c r="G716" s="3" t="s">
        <v>1093</v>
      </c>
      <c r="H716" s="3" t="str">
        <f t="shared" si="14"/>
        <v>Data QA applied on BAL VCG PV, computed by BMT WinMon.</v>
      </c>
    </row>
    <row r="717" spans="1:8" x14ac:dyDescent="0.25">
      <c r="A717" s="3" t="s">
        <v>6983</v>
      </c>
      <c r="B717" s="3" t="s">
        <v>6989</v>
      </c>
      <c r="C717" s="3" t="s">
        <v>6985</v>
      </c>
      <c r="D717" s="3" t="s">
        <v>1120</v>
      </c>
      <c r="E717" s="3">
        <v>716</v>
      </c>
      <c r="F717" s="3" t="s">
        <v>3112</v>
      </c>
      <c r="G717" s="3" t="s">
        <v>1093</v>
      </c>
      <c r="H717" s="3" t="str">
        <f t="shared" si="14"/>
        <v>Data QA applied on BAL CG EW PV, computed by BMT WinMon.</v>
      </c>
    </row>
    <row r="718" spans="1:8" x14ac:dyDescent="0.25">
      <c r="A718" s="3" t="s">
        <v>6983</v>
      </c>
      <c r="B718" s="3" t="s">
        <v>6989</v>
      </c>
      <c r="C718" s="3" t="s">
        <v>6985</v>
      </c>
      <c r="D718" s="3" t="s">
        <v>1120</v>
      </c>
      <c r="E718" s="3">
        <v>717</v>
      </c>
      <c r="F718" s="3" t="s">
        <v>3113</v>
      </c>
      <c r="G718" s="3" t="s">
        <v>1093</v>
      </c>
      <c r="H718" s="3" t="str">
        <f t="shared" si="14"/>
        <v>Data QA applied on BAL CG NS PV, computed by BMT WinMon.</v>
      </c>
    </row>
    <row r="719" spans="1:8" x14ac:dyDescent="0.25">
      <c r="A719" s="3" t="s">
        <v>6983</v>
      </c>
      <c r="B719" s="3" t="s">
        <v>6989</v>
      </c>
      <c r="C719" s="3" t="s">
        <v>6985</v>
      </c>
      <c r="D719" s="3" t="s">
        <v>1120</v>
      </c>
      <c r="E719" s="3">
        <v>718</v>
      </c>
      <c r="F719" s="3" t="s">
        <v>3114</v>
      </c>
      <c r="G719" s="3" t="s">
        <v>1101</v>
      </c>
      <c r="H719" s="3" t="str">
        <f t="shared" si="14"/>
        <v>Data QA applied on BAL VMOM PV, computed by BMT WinMon.</v>
      </c>
    </row>
    <row r="720" spans="1:8" x14ac:dyDescent="0.25">
      <c r="A720" s="3" t="s">
        <v>6983</v>
      </c>
      <c r="B720" s="3" t="s">
        <v>6989</v>
      </c>
      <c r="C720" s="3" t="s">
        <v>6985</v>
      </c>
      <c r="D720" s="3" t="s">
        <v>1120</v>
      </c>
      <c r="E720" s="3">
        <v>719</v>
      </c>
      <c r="F720" s="3" t="s">
        <v>3115</v>
      </c>
      <c r="G720" s="3" t="s">
        <v>1101</v>
      </c>
      <c r="H720" s="3" t="str">
        <f t="shared" si="14"/>
        <v>Data QA applied on BAL EW MOM PV, computed by BMT WinMon.</v>
      </c>
    </row>
    <row r="721" spans="1:8" x14ac:dyDescent="0.25">
      <c r="A721" s="3" t="s">
        <v>6983</v>
      </c>
      <c r="B721" s="3" t="s">
        <v>6989</v>
      </c>
      <c r="C721" s="3" t="s">
        <v>6985</v>
      </c>
      <c r="D721" s="3" t="s">
        <v>1120</v>
      </c>
      <c r="E721" s="3">
        <v>720</v>
      </c>
      <c r="F721" s="3" t="s">
        <v>3116</v>
      </c>
      <c r="G721" s="3" t="s">
        <v>1101</v>
      </c>
      <c r="H721" s="3" t="str">
        <f t="shared" si="14"/>
        <v>Data QA applied on BAL NS MOM PV, computed by BMT WinMon.</v>
      </c>
    </row>
    <row r="722" spans="1:8" x14ac:dyDescent="0.25">
      <c r="A722" s="3" t="s">
        <v>6983</v>
      </c>
      <c r="B722" s="3" t="s">
        <v>6989</v>
      </c>
      <c r="C722" s="3" t="s">
        <v>6985</v>
      </c>
      <c r="D722" s="3" t="s">
        <v>1120</v>
      </c>
      <c r="E722" s="3">
        <v>721</v>
      </c>
      <c r="F722" s="3" t="s">
        <v>3117</v>
      </c>
      <c r="G722" s="3" t="s">
        <v>1101</v>
      </c>
      <c r="H722" s="3" t="str">
        <f t="shared" si="14"/>
        <v>Data QA applied on BAL EW FS MOM PV, computed by BMT WinMon.</v>
      </c>
    </row>
    <row r="723" spans="1:8" x14ac:dyDescent="0.25">
      <c r="A723" s="3" t="s">
        <v>6983</v>
      </c>
      <c r="B723" s="3" t="s">
        <v>6989</v>
      </c>
      <c r="C723" s="3" t="s">
        <v>6985</v>
      </c>
      <c r="D723" s="3" t="s">
        <v>1120</v>
      </c>
      <c r="E723" s="3">
        <v>722</v>
      </c>
      <c r="F723" s="3" t="s">
        <v>3118</v>
      </c>
      <c r="G723" s="3" t="s">
        <v>1101</v>
      </c>
      <c r="H723" s="3" t="str">
        <f t="shared" si="14"/>
        <v>Data QA applied on BAL NS FS MOM PV, computed by BMT WinMon.</v>
      </c>
    </row>
    <row r="724" spans="1:8" x14ac:dyDescent="0.25">
      <c r="A724" s="3" t="s">
        <v>6983</v>
      </c>
      <c r="B724" s="3" t="s">
        <v>6989</v>
      </c>
      <c r="C724" s="3" t="s">
        <v>6985</v>
      </c>
      <c r="D724" s="3" t="s">
        <v>1120</v>
      </c>
      <c r="E724" s="3">
        <v>723</v>
      </c>
      <c r="F724" s="3" t="s">
        <v>3119</v>
      </c>
      <c r="G724" s="3" t="s">
        <v>1100</v>
      </c>
      <c r="H724" s="3" t="str">
        <f t="shared" si="14"/>
        <v>Data QA applied on VOID Weight HI, computed by BMT WinMon.</v>
      </c>
    </row>
    <row r="725" spans="1:8" x14ac:dyDescent="0.25">
      <c r="A725" s="3" t="s">
        <v>6983</v>
      </c>
      <c r="B725" s="3" t="s">
        <v>6989</v>
      </c>
      <c r="C725" s="3" t="s">
        <v>6985</v>
      </c>
      <c r="D725" s="3" t="s">
        <v>1120</v>
      </c>
      <c r="E725" s="3">
        <v>724</v>
      </c>
      <c r="F725" s="3" t="s">
        <v>3120</v>
      </c>
      <c r="G725" s="3" t="s">
        <v>1100</v>
      </c>
      <c r="H725" s="3" t="str">
        <f t="shared" si="14"/>
        <v>Data QA applied on VOID Weight LO, computed by BMT WinMon.</v>
      </c>
    </row>
    <row r="726" spans="1:8" x14ac:dyDescent="0.25">
      <c r="A726" s="3" t="s">
        <v>6983</v>
      </c>
      <c r="B726" s="3" t="s">
        <v>6989</v>
      </c>
      <c r="C726" s="3" t="s">
        <v>6985</v>
      </c>
      <c r="D726" s="3" t="s">
        <v>1120</v>
      </c>
      <c r="E726" s="3">
        <v>725</v>
      </c>
      <c r="F726" s="3" t="s">
        <v>3121</v>
      </c>
      <c r="G726" s="3" t="s">
        <v>1093</v>
      </c>
      <c r="H726" s="3" t="str">
        <f t="shared" si="14"/>
        <v>Data QA applied on VOID VCG PV, computed by BMT WinMon.</v>
      </c>
    </row>
    <row r="727" spans="1:8" x14ac:dyDescent="0.25">
      <c r="A727" s="3" t="s">
        <v>6983</v>
      </c>
      <c r="B727" s="3" t="s">
        <v>6989</v>
      </c>
      <c r="C727" s="3" t="s">
        <v>6985</v>
      </c>
      <c r="D727" s="3" t="s">
        <v>1120</v>
      </c>
      <c r="E727" s="3">
        <v>726</v>
      </c>
      <c r="F727" s="3" t="s">
        <v>3122</v>
      </c>
      <c r="G727" s="3" t="s">
        <v>1093</v>
      </c>
      <c r="H727" s="3" t="str">
        <f t="shared" si="14"/>
        <v>Data QA applied on VOID CG EW PV, computed by BMT WinMon.</v>
      </c>
    </row>
    <row r="728" spans="1:8" x14ac:dyDescent="0.25">
      <c r="A728" s="3" t="s">
        <v>6983</v>
      </c>
      <c r="B728" s="3" t="s">
        <v>6989</v>
      </c>
      <c r="C728" s="3" t="s">
        <v>6985</v>
      </c>
      <c r="D728" s="3" t="s">
        <v>1120</v>
      </c>
      <c r="E728" s="3">
        <v>727</v>
      </c>
      <c r="F728" s="3" t="s">
        <v>3123</v>
      </c>
      <c r="G728" s="3" t="s">
        <v>1093</v>
      </c>
      <c r="H728" s="3" t="str">
        <f t="shared" si="14"/>
        <v>Data QA applied on VOID CG NS PV, computed by BMT WinMon.</v>
      </c>
    </row>
    <row r="729" spans="1:8" x14ac:dyDescent="0.25">
      <c r="A729" s="3" t="s">
        <v>6983</v>
      </c>
      <c r="B729" s="3" t="s">
        <v>6989</v>
      </c>
      <c r="C729" s="3" t="s">
        <v>6985</v>
      </c>
      <c r="D729" s="3" t="s">
        <v>1120</v>
      </c>
      <c r="E729" s="3">
        <v>728</v>
      </c>
      <c r="F729" s="3" t="s">
        <v>3124</v>
      </c>
      <c r="G729" s="3" t="s">
        <v>1101</v>
      </c>
      <c r="H729" s="3" t="str">
        <f t="shared" si="14"/>
        <v>Data QA applied on VOID VMOM PV, computed by BMT WinMon.</v>
      </c>
    </row>
    <row r="730" spans="1:8" x14ac:dyDescent="0.25">
      <c r="A730" s="3" t="s">
        <v>6983</v>
      </c>
      <c r="B730" s="3" t="s">
        <v>6989</v>
      </c>
      <c r="C730" s="3" t="s">
        <v>6985</v>
      </c>
      <c r="D730" s="3" t="s">
        <v>1120</v>
      </c>
      <c r="E730" s="3">
        <v>729</v>
      </c>
      <c r="F730" s="3" t="s">
        <v>3125</v>
      </c>
      <c r="G730" s="3" t="s">
        <v>1101</v>
      </c>
      <c r="H730" s="3" t="str">
        <f t="shared" si="14"/>
        <v>Data QA applied on VOID EW MOM PV, computed by BMT WinMon.</v>
      </c>
    </row>
    <row r="731" spans="1:8" x14ac:dyDescent="0.25">
      <c r="A731" s="3" t="s">
        <v>6983</v>
      </c>
      <c r="B731" s="3" t="s">
        <v>6989</v>
      </c>
      <c r="C731" s="3" t="s">
        <v>6985</v>
      </c>
      <c r="D731" s="3" t="s">
        <v>1120</v>
      </c>
      <c r="E731" s="3">
        <v>730</v>
      </c>
      <c r="F731" s="3" t="s">
        <v>3126</v>
      </c>
      <c r="G731" s="3" t="s">
        <v>1101</v>
      </c>
      <c r="H731" s="3" t="str">
        <f t="shared" si="14"/>
        <v>Data QA applied on VOID NS MOM PV, computed by BMT WinMon.</v>
      </c>
    </row>
    <row r="732" spans="1:8" x14ac:dyDescent="0.25">
      <c r="A732" s="3" t="s">
        <v>6983</v>
      </c>
      <c r="B732" s="3" t="s">
        <v>6989</v>
      </c>
      <c r="C732" s="3" t="s">
        <v>6985</v>
      </c>
      <c r="D732" s="3" t="s">
        <v>1120</v>
      </c>
      <c r="E732" s="3">
        <v>731</v>
      </c>
      <c r="F732" s="3" t="s">
        <v>3127</v>
      </c>
      <c r="G732" s="3" t="s">
        <v>1101</v>
      </c>
      <c r="H732" s="3" t="str">
        <f t="shared" si="14"/>
        <v>Data QA applied on VOID EW FS MOM PV, computed by BMT WinMon.</v>
      </c>
    </row>
    <row r="733" spans="1:8" x14ac:dyDescent="0.25">
      <c r="A733" s="3" t="s">
        <v>6983</v>
      </c>
      <c r="B733" s="3" t="s">
        <v>6989</v>
      </c>
      <c r="C733" s="3" t="s">
        <v>6985</v>
      </c>
      <c r="D733" s="3" t="s">
        <v>1120</v>
      </c>
      <c r="E733" s="3">
        <v>732</v>
      </c>
      <c r="F733" s="3" t="s">
        <v>3128</v>
      </c>
      <c r="G733" s="3" t="s">
        <v>1101</v>
      </c>
      <c r="H733" s="3" t="str">
        <f t="shared" si="14"/>
        <v>Data QA applied on VOID NS FS MOM PV, computed by BMT WinMon.</v>
      </c>
    </row>
    <row r="734" spans="1:8" x14ac:dyDescent="0.25">
      <c r="A734" s="3" t="s">
        <v>6983</v>
      </c>
      <c r="B734" s="3" t="s">
        <v>6989</v>
      </c>
      <c r="C734" s="3" t="s">
        <v>6985</v>
      </c>
      <c r="D734" s="3" t="s">
        <v>1120</v>
      </c>
      <c r="E734" s="3">
        <v>733</v>
      </c>
      <c r="F734" s="3" t="s">
        <v>3129</v>
      </c>
      <c r="G734" s="3" t="s">
        <v>1100</v>
      </c>
      <c r="H734" s="3" t="str">
        <f t="shared" si="14"/>
        <v>Data QA applied on HULL FLUIDS Weight HI, computed by BMT WinMon.</v>
      </c>
    </row>
    <row r="735" spans="1:8" x14ac:dyDescent="0.25">
      <c r="A735" s="3" t="s">
        <v>6983</v>
      </c>
      <c r="B735" s="3" t="s">
        <v>6989</v>
      </c>
      <c r="C735" s="3" t="s">
        <v>6985</v>
      </c>
      <c r="D735" s="3" t="s">
        <v>1120</v>
      </c>
      <c r="E735" s="3">
        <v>734</v>
      </c>
      <c r="F735" s="3" t="s">
        <v>3130</v>
      </c>
      <c r="G735" s="3" t="s">
        <v>1100</v>
      </c>
      <c r="H735" s="3" t="str">
        <f t="shared" si="14"/>
        <v>Data QA applied on HULL FLUIDS Weight LO, computed by BMT WinMon.</v>
      </c>
    </row>
    <row r="736" spans="1:8" x14ac:dyDescent="0.25">
      <c r="A736" s="3" t="s">
        <v>6983</v>
      </c>
      <c r="B736" s="3" t="s">
        <v>6989</v>
      </c>
      <c r="C736" s="3" t="s">
        <v>6985</v>
      </c>
      <c r="D736" s="3" t="s">
        <v>1120</v>
      </c>
      <c r="E736" s="3">
        <v>735</v>
      </c>
      <c r="F736" s="3" t="s">
        <v>3131</v>
      </c>
      <c r="G736" s="3" t="s">
        <v>1093</v>
      </c>
      <c r="H736" s="3" t="str">
        <f t="shared" si="14"/>
        <v>Data QA applied on HULL FLUIDS VCG PV, computed by BMT WinMon.</v>
      </c>
    </row>
    <row r="737" spans="1:8" x14ac:dyDescent="0.25">
      <c r="A737" s="3" t="s">
        <v>6983</v>
      </c>
      <c r="B737" s="3" t="s">
        <v>6989</v>
      </c>
      <c r="C737" s="3" t="s">
        <v>6985</v>
      </c>
      <c r="D737" s="3" t="s">
        <v>1120</v>
      </c>
      <c r="E737" s="3">
        <v>736</v>
      </c>
      <c r="F737" s="3" t="s">
        <v>3132</v>
      </c>
      <c r="G737" s="3" t="s">
        <v>1093</v>
      </c>
      <c r="H737" s="3" t="str">
        <f t="shared" si="14"/>
        <v>Data QA applied on HULL FLUIDS CG EW PV, computed by BMT WinMon.</v>
      </c>
    </row>
    <row r="738" spans="1:8" x14ac:dyDescent="0.25">
      <c r="A738" s="3" t="s">
        <v>6983</v>
      </c>
      <c r="B738" s="3" t="s">
        <v>6989</v>
      </c>
      <c r="C738" s="3" t="s">
        <v>6985</v>
      </c>
      <c r="D738" s="3" t="s">
        <v>1120</v>
      </c>
      <c r="E738" s="3">
        <v>737</v>
      </c>
      <c r="F738" s="3" t="s">
        <v>3133</v>
      </c>
      <c r="G738" s="3" t="s">
        <v>1093</v>
      </c>
      <c r="H738" s="3" t="str">
        <f t="shared" si="14"/>
        <v>Data QA applied on HULL FLUIDS CG NS PV, computed by BMT WinMon.</v>
      </c>
    </row>
    <row r="739" spans="1:8" x14ac:dyDescent="0.25">
      <c r="A739" s="3" t="s">
        <v>6983</v>
      </c>
      <c r="B739" s="3" t="s">
        <v>6989</v>
      </c>
      <c r="C739" s="3" t="s">
        <v>6985</v>
      </c>
      <c r="D739" s="3" t="s">
        <v>1120</v>
      </c>
      <c r="E739" s="3">
        <v>738</v>
      </c>
      <c r="F739" s="3" t="s">
        <v>3134</v>
      </c>
      <c r="G739" s="3" t="s">
        <v>1101</v>
      </c>
      <c r="H739" s="3" t="str">
        <f t="shared" si="14"/>
        <v>Data QA applied on HULL FLUIDS VMOM PV, computed by BMT WinMon.</v>
      </c>
    </row>
    <row r="740" spans="1:8" x14ac:dyDescent="0.25">
      <c r="A740" s="3" t="s">
        <v>6983</v>
      </c>
      <c r="B740" s="3" t="s">
        <v>6989</v>
      </c>
      <c r="C740" s="3" t="s">
        <v>6985</v>
      </c>
      <c r="D740" s="3" t="s">
        <v>1120</v>
      </c>
      <c r="E740" s="3">
        <v>739</v>
      </c>
      <c r="F740" s="3" t="s">
        <v>3135</v>
      </c>
      <c r="G740" s="3" t="s">
        <v>1101</v>
      </c>
      <c r="H740" s="3" t="str">
        <f t="shared" si="14"/>
        <v>Data QA applied on HULL FLUIDS EW MOM PV, computed by BMT WinMon.</v>
      </c>
    </row>
    <row r="741" spans="1:8" x14ac:dyDescent="0.25">
      <c r="A741" s="3" t="s">
        <v>6983</v>
      </c>
      <c r="B741" s="3" t="s">
        <v>6989</v>
      </c>
      <c r="C741" s="3" t="s">
        <v>6985</v>
      </c>
      <c r="D741" s="3" t="s">
        <v>1120</v>
      </c>
      <c r="E741" s="3">
        <v>740</v>
      </c>
      <c r="F741" s="3" t="s">
        <v>3136</v>
      </c>
      <c r="G741" s="3" t="s">
        <v>1101</v>
      </c>
      <c r="H741" s="3" t="str">
        <f t="shared" si="14"/>
        <v>Data QA applied on HULL FLUIDS NS MOM PV, computed by BMT WinMon.</v>
      </c>
    </row>
    <row r="742" spans="1:8" x14ac:dyDescent="0.25">
      <c r="A742" s="3" t="s">
        <v>6983</v>
      </c>
      <c r="B742" s="3" t="s">
        <v>6989</v>
      </c>
      <c r="C742" s="3" t="s">
        <v>6985</v>
      </c>
      <c r="D742" s="3" t="s">
        <v>1120</v>
      </c>
      <c r="E742" s="3">
        <v>741</v>
      </c>
      <c r="F742" s="3" t="s">
        <v>3137</v>
      </c>
      <c r="G742" s="3" t="s">
        <v>1101</v>
      </c>
      <c r="H742" s="3" t="str">
        <f t="shared" si="14"/>
        <v>Data QA applied on HULL FLUIDS EW FS MOM PV, computed by BMT WinMon.</v>
      </c>
    </row>
    <row r="743" spans="1:8" x14ac:dyDescent="0.25">
      <c r="A743" s="3" t="s">
        <v>6983</v>
      </c>
      <c r="B743" s="3" t="s">
        <v>6989</v>
      </c>
      <c r="C743" s="3" t="s">
        <v>6985</v>
      </c>
      <c r="D743" s="3" t="s">
        <v>1120</v>
      </c>
      <c r="E743" s="3">
        <v>742</v>
      </c>
      <c r="F743" s="3" t="s">
        <v>3138</v>
      </c>
      <c r="G743" s="3" t="s">
        <v>1101</v>
      </c>
      <c r="H743" s="3" t="str">
        <f t="shared" si="14"/>
        <v>Data QA applied on HULL FLUIDS NS FS MOM PV, computed by BMT WinMon.</v>
      </c>
    </row>
    <row r="744" spans="1:8" x14ac:dyDescent="0.25">
      <c r="A744" s="3" t="s">
        <v>6983</v>
      </c>
      <c r="B744" s="3" t="s">
        <v>6989</v>
      </c>
      <c r="C744" s="3" t="s">
        <v>6985</v>
      </c>
      <c r="D744" s="3" t="s">
        <v>1120</v>
      </c>
      <c r="E744" s="3">
        <v>743</v>
      </c>
      <c r="F744" s="3" t="s">
        <v>3139</v>
      </c>
      <c r="G744" s="3" t="s">
        <v>1100</v>
      </c>
      <c r="H744" s="3" t="str">
        <f t="shared" si="14"/>
        <v>Data QA applied on DRILL TANKS Weight HI, computed by BMT WinMon.</v>
      </c>
    </row>
    <row r="745" spans="1:8" x14ac:dyDescent="0.25">
      <c r="A745" s="3" t="s">
        <v>6983</v>
      </c>
      <c r="B745" s="3" t="s">
        <v>6989</v>
      </c>
      <c r="C745" s="3" t="s">
        <v>6985</v>
      </c>
      <c r="D745" s="3" t="s">
        <v>1120</v>
      </c>
      <c r="E745" s="3">
        <v>744</v>
      </c>
      <c r="F745" s="3" t="s">
        <v>3140</v>
      </c>
      <c r="G745" s="3" t="s">
        <v>1100</v>
      </c>
      <c r="H745" s="3" t="str">
        <f t="shared" si="14"/>
        <v>Data QA applied on DRILL TANKS Weight LO, computed by BMT WinMon.</v>
      </c>
    </row>
    <row r="746" spans="1:8" x14ac:dyDescent="0.25">
      <c r="A746" s="3" t="s">
        <v>6983</v>
      </c>
      <c r="B746" s="3" t="s">
        <v>6989</v>
      </c>
      <c r="C746" s="3" t="s">
        <v>6985</v>
      </c>
      <c r="D746" s="3" t="s">
        <v>1120</v>
      </c>
      <c r="E746" s="3">
        <v>745</v>
      </c>
      <c r="F746" s="3" t="s">
        <v>3141</v>
      </c>
      <c r="G746" s="3" t="s">
        <v>1093</v>
      </c>
      <c r="H746" s="3" t="str">
        <f t="shared" si="14"/>
        <v>Data QA applied on DRILL TANKS VCG PV, computed by BMT WinMon.</v>
      </c>
    </row>
    <row r="747" spans="1:8" x14ac:dyDescent="0.25">
      <c r="A747" s="3" t="s">
        <v>6983</v>
      </c>
      <c r="B747" s="3" t="s">
        <v>6989</v>
      </c>
      <c r="C747" s="3" t="s">
        <v>6985</v>
      </c>
      <c r="D747" s="3" t="s">
        <v>1120</v>
      </c>
      <c r="E747" s="3">
        <v>746</v>
      </c>
      <c r="F747" s="3" t="s">
        <v>3142</v>
      </c>
      <c r="G747" s="3" t="s">
        <v>1093</v>
      </c>
      <c r="H747" s="3" t="str">
        <f t="shared" si="14"/>
        <v>Data QA applied on DRILL TANKS CG EW PV, computed by BMT WinMon.</v>
      </c>
    </row>
    <row r="748" spans="1:8" x14ac:dyDescent="0.25">
      <c r="A748" s="3" t="s">
        <v>6983</v>
      </c>
      <c r="B748" s="3" t="s">
        <v>6989</v>
      </c>
      <c r="C748" s="3" t="s">
        <v>6985</v>
      </c>
      <c r="D748" s="3" t="s">
        <v>1120</v>
      </c>
      <c r="E748" s="3">
        <v>747</v>
      </c>
      <c r="F748" s="3" t="s">
        <v>3143</v>
      </c>
      <c r="G748" s="3" t="s">
        <v>1093</v>
      </c>
      <c r="H748" s="3" t="str">
        <f t="shared" si="14"/>
        <v>Data QA applied on DRILL TANKS CG NS PV, computed by BMT WinMon.</v>
      </c>
    </row>
    <row r="749" spans="1:8" x14ac:dyDescent="0.25">
      <c r="A749" s="3" t="s">
        <v>6983</v>
      </c>
      <c r="B749" s="3" t="s">
        <v>6989</v>
      </c>
      <c r="C749" s="3" t="s">
        <v>6985</v>
      </c>
      <c r="D749" s="3" t="s">
        <v>1120</v>
      </c>
      <c r="E749" s="3">
        <v>748</v>
      </c>
      <c r="F749" s="3" t="s">
        <v>3144</v>
      </c>
      <c r="G749" s="3" t="s">
        <v>1101</v>
      </c>
      <c r="H749" s="3" t="str">
        <f t="shared" si="14"/>
        <v>Data QA applied on DRILL TANKS VMOM PV, computed by BMT WinMon.</v>
      </c>
    </row>
    <row r="750" spans="1:8" x14ac:dyDescent="0.25">
      <c r="A750" s="3" t="s">
        <v>6983</v>
      </c>
      <c r="B750" s="3" t="s">
        <v>6989</v>
      </c>
      <c r="C750" s="3" t="s">
        <v>6985</v>
      </c>
      <c r="D750" s="3" t="s">
        <v>1120</v>
      </c>
      <c r="E750" s="3">
        <v>749</v>
      </c>
      <c r="F750" s="3" t="s">
        <v>3145</v>
      </c>
      <c r="G750" s="3" t="s">
        <v>1101</v>
      </c>
      <c r="H750" s="3" t="str">
        <f t="shared" si="14"/>
        <v>Data QA applied on DRILL TANKS EW MOM PV, computed by BMT WinMon.</v>
      </c>
    </row>
    <row r="751" spans="1:8" x14ac:dyDescent="0.25">
      <c r="A751" s="3" t="s">
        <v>6983</v>
      </c>
      <c r="B751" s="3" t="s">
        <v>6989</v>
      </c>
      <c r="C751" s="3" t="s">
        <v>6985</v>
      </c>
      <c r="D751" s="3" t="s">
        <v>1120</v>
      </c>
      <c r="E751" s="3">
        <v>750</v>
      </c>
      <c r="F751" s="3" t="s">
        <v>3146</v>
      </c>
      <c r="G751" s="3" t="s">
        <v>1101</v>
      </c>
      <c r="H751" s="3" t="str">
        <f t="shared" si="14"/>
        <v>Data QA applied on DRILL TANKS NS MOM PV, computed by BMT WinMon.</v>
      </c>
    </row>
    <row r="752" spans="1:8" x14ac:dyDescent="0.25">
      <c r="A752" s="3" t="s">
        <v>6983</v>
      </c>
      <c r="B752" s="3" t="s">
        <v>6989</v>
      </c>
      <c r="C752" s="3" t="s">
        <v>6985</v>
      </c>
      <c r="D752" s="3" t="s">
        <v>1120</v>
      </c>
      <c r="E752" s="3">
        <v>751</v>
      </c>
      <c r="F752" s="3" t="s">
        <v>3147</v>
      </c>
      <c r="G752" s="3" t="s">
        <v>1101</v>
      </c>
      <c r="H752" s="3" t="str">
        <f t="shared" si="14"/>
        <v>Data QA applied on DRILL TANKS EW FS MOM PV, computed by BMT WinMon.</v>
      </c>
    </row>
    <row r="753" spans="1:8" x14ac:dyDescent="0.25">
      <c r="A753" s="3" t="s">
        <v>6983</v>
      </c>
      <c r="B753" s="3" t="s">
        <v>6989</v>
      </c>
      <c r="C753" s="3" t="s">
        <v>6985</v>
      </c>
      <c r="D753" s="3" t="s">
        <v>1120</v>
      </c>
      <c r="E753" s="3">
        <v>752</v>
      </c>
      <c r="F753" s="3" t="s">
        <v>3148</v>
      </c>
      <c r="G753" s="3" t="s">
        <v>1101</v>
      </c>
      <c r="H753" s="3" t="str">
        <f t="shared" si="14"/>
        <v>Data QA applied on DRILL TANKS NS FS MOM PV, computed by BMT WinMon.</v>
      </c>
    </row>
    <row r="754" spans="1:8" x14ac:dyDescent="0.25">
      <c r="A754" s="3" t="s">
        <v>6983</v>
      </c>
      <c r="B754" s="3" t="s">
        <v>6989</v>
      </c>
      <c r="C754" s="3" t="s">
        <v>6985</v>
      </c>
      <c r="D754" s="3" t="s">
        <v>1120</v>
      </c>
      <c r="E754" s="3">
        <v>753</v>
      </c>
      <c r="F754" s="3" t="s">
        <v>3149</v>
      </c>
      <c r="G754" s="3" t="s">
        <v>1100</v>
      </c>
      <c r="H754" s="3" t="str">
        <f t="shared" si="14"/>
        <v>Data QA applied on LSMOD Weight HI, computed by BMT WinMon.</v>
      </c>
    </row>
    <row r="755" spans="1:8" x14ac:dyDescent="0.25">
      <c r="A755" s="3" t="s">
        <v>6983</v>
      </c>
      <c r="B755" s="3" t="s">
        <v>6989</v>
      </c>
      <c r="C755" s="3" t="s">
        <v>6985</v>
      </c>
      <c r="D755" s="3" t="s">
        <v>1120</v>
      </c>
      <c r="E755" s="3">
        <v>754</v>
      </c>
      <c r="F755" s="3" t="s">
        <v>3150</v>
      </c>
      <c r="G755" s="3" t="s">
        <v>1100</v>
      </c>
      <c r="H755" s="3" t="str">
        <f t="shared" si="14"/>
        <v>Data QA applied on LSMOD Weight LO, computed by BMT WinMon.</v>
      </c>
    </row>
    <row r="756" spans="1:8" x14ac:dyDescent="0.25">
      <c r="A756" s="3" t="s">
        <v>6983</v>
      </c>
      <c r="B756" s="3" t="s">
        <v>6989</v>
      </c>
      <c r="C756" s="3" t="s">
        <v>6985</v>
      </c>
      <c r="D756" s="3" t="s">
        <v>1120</v>
      </c>
      <c r="E756" s="3">
        <v>755</v>
      </c>
      <c r="F756" s="3" t="s">
        <v>3151</v>
      </c>
      <c r="G756" s="3" t="s">
        <v>1093</v>
      </c>
      <c r="H756" s="3" t="str">
        <f t="shared" si="14"/>
        <v>Data QA applied on LSMOD VCG PV, computed by BMT WinMon.</v>
      </c>
    </row>
    <row r="757" spans="1:8" x14ac:dyDescent="0.25">
      <c r="A757" s="3" t="s">
        <v>6983</v>
      </c>
      <c r="B757" s="3" t="s">
        <v>6989</v>
      </c>
      <c r="C757" s="3" t="s">
        <v>6985</v>
      </c>
      <c r="D757" s="3" t="s">
        <v>1120</v>
      </c>
      <c r="E757" s="3">
        <v>756</v>
      </c>
      <c r="F757" s="3" t="s">
        <v>3152</v>
      </c>
      <c r="G757" s="3" t="s">
        <v>1093</v>
      </c>
      <c r="H757" s="3" t="str">
        <f t="shared" si="14"/>
        <v>Data QA applied on LSMOD CG EW PV, computed by BMT WinMon.</v>
      </c>
    </row>
    <row r="758" spans="1:8" x14ac:dyDescent="0.25">
      <c r="A758" s="3" t="s">
        <v>6983</v>
      </c>
      <c r="B758" s="3" t="s">
        <v>6989</v>
      </c>
      <c r="C758" s="3" t="s">
        <v>6985</v>
      </c>
      <c r="D758" s="3" t="s">
        <v>1120</v>
      </c>
      <c r="E758" s="3">
        <v>757</v>
      </c>
      <c r="F758" s="3" t="s">
        <v>3153</v>
      </c>
      <c r="G758" s="3" t="s">
        <v>1093</v>
      </c>
      <c r="H758" s="3" t="str">
        <f t="shared" si="14"/>
        <v>Data QA applied on LSMOD CG NS PV, computed by BMT WinMon.</v>
      </c>
    </row>
    <row r="759" spans="1:8" x14ac:dyDescent="0.25">
      <c r="A759" s="3" t="s">
        <v>6983</v>
      </c>
      <c r="B759" s="3" t="s">
        <v>6989</v>
      </c>
      <c r="C759" s="3" t="s">
        <v>6985</v>
      </c>
      <c r="D759" s="3" t="s">
        <v>1120</v>
      </c>
      <c r="E759" s="3">
        <v>758</v>
      </c>
      <c r="F759" s="3" t="s">
        <v>3154</v>
      </c>
      <c r="G759" s="3" t="s">
        <v>1101</v>
      </c>
      <c r="H759" s="3" t="str">
        <f t="shared" si="14"/>
        <v>Data QA applied on LSMOD VMOM PV, computed by BMT WinMon.</v>
      </c>
    </row>
    <row r="760" spans="1:8" x14ac:dyDescent="0.25">
      <c r="A760" s="3" t="s">
        <v>6983</v>
      </c>
      <c r="B760" s="3" t="s">
        <v>6989</v>
      </c>
      <c r="C760" s="3" t="s">
        <v>6985</v>
      </c>
      <c r="D760" s="3" t="s">
        <v>1120</v>
      </c>
      <c r="E760" s="3">
        <v>759</v>
      </c>
      <c r="F760" s="3" t="s">
        <v>3155</v>
      </c>
      <c r="G760" s="3" t="s">
        <v>1101</v>
      </c>
      <c r="H760" s="3" t="str">
        <f t="shared" si="14"/>
        <v>Data QA applied on LSMOD EW MOM PV, computed by BMT WinMon.</v>
      </c>
    </row>
    <row r="761" spans="1:8" x14ac:dyDescent="0.25">
      <c r="A761" s="3" t="s">
        <v>6983</v>
      </c>
      <c r="B761" s="3" t="s">
        <v>6989</v>
      </c>
      <c r="C761" s="3" t="s">
        <v>6985</v>
      </c>
      <c r="D761" s="3" t="s">
        <v>1120</v>
      </c>
      <c r="E761" s="3">
        <v>760</v>
      </c>
      <c r="F761" s="3" t="s">
        <v>3156</v>
      </c>
      <c r="G761" s="3" t="s">
        <v>1101</v>
      </c>
      <c r="H761" s="3" t="str">
        <f t="shared" si="14"/>
        <v>Data QA applied on LSMOD NS MOM PV, computed by BMT WinMon.</v>
      </c>
    </row>
    <row r="762" spans="1:8" x14ac:dyDescent="0.25">
      <c r="A762" s="3" t="s">
        <v>6983</v>
      </c>
      <c r="B762" s="3" t="s">
        <v>6989</v>
      </c>
      <c r="C762" s="3" t="s">
        <v>6985</v>
      </c>
      <c r="D762" s="3" t="s">
        <v>1120</v>
      </c>
      <c r="E762" s="3">
        <v>761</v>
      </c>
      <c r="F762" s="3" t="s">
        <v>3157</v>
      </c>
      <c r="G762" s="3" t="s">
        <v>1100</v>
      </c>
      <c r="H762" s="3" t="str">
        <f t="shared" si="14"/>
        <v>Data QA applied on DRILL LOAD Weight HI, computed by BMT WinMon.</v>
      </c>
    </row>
    <row r="763" spans="1:8" x14ac:dyDescent="0.25">
      <c r="A763" s="3" t="s">
        <v>6983</v>
      </c>
      <c r="B763" s="3" t="s">
        <v>6989</v>
      </c>
      <c r="C763" s="3" t="s">
        <v>6985</v>
      </c>
      <c r="D763" s="3" t="s">
        <v>1120</v>
      </c>
      <c r="E763" s="3">
        <v>762</v>
      </c>
      <c r="F763" s="3" t="s">
        <v>3158</v>
      </c>
      <c r="G763" s="3" t="s">
        <v>1100</v>
      </c>
      <c r="H763" s="3" t="str">
        <f t="shared" si="14"/>
        <v>Data QA applied on DRILL LOAD Weight LO, computed by BMT WinMon.</v>
      </c>
    </row>
    <row r="764" spans="1:8" x14ac:dyDescent="0.25">
      <c r="A764" s="3" t="s">
        <v>6983</v>
      </c>
      <c r="B764" s="3" t="s">
        <v>6989</v>
      </c>
      <c r="C764" s="3" t="s">
        <v>6985</v>
      </c>
      <c r="D764" s="3" t="s">
        <v>1120</v>
      </c>
      <c r="E764" s="3">
        <v>763</v>
      </c>
      <c r="F764" s="3" t="s">
        <v>3159</v>
      </c>
      <c r="G764" s="3" t="s">
        <v>1093</v>
      </c>
      <c r="H764" s="3" t="str">
        <f t="shared" si="14"/>
        <v>Data QA applied on DRILL LOAD VCG PV, computed by BMT WinMon.</v>
      </c>
    </row>
    <row r="765" spans="1:8" x14ac:dyDescent="0.25">
      <c r="A765" s="3" t="s">
        <v>6983</v>
      </c>
      <c r="B765" s="3" t="s">
        <v>6989</v>
      </c>
      <c r="C765" s="3" t="s">
        <v>6985</v>
      </c>
      <c r="D765" s="3" t="s">
        <v>1120</v>
      </c>
      <c r="E765" s="3">
        <v>764</v>
      </c>
      <c r="F765" s="3" t="s">
        <v>3160</v>
      </c>
      <c r="G765" s="3" t="s">
        <v>1093</v>
      </c>
      <c r="H765" s="3" t="str">
        <f t="shared" si="14"/>
        <v>Data QA applied on DRILL LOAD CG EW PV, computed by BMT WinMon.</v>
      </c>
    </row>
    <row r="766" spans="1:8" x14ac:dyDescent="0.25">
      <c r="A766" s="3" t="s">
        <v>6983</v>
      </c>
      <c r="B766" s="3" t="s">
        <v>6989</v>
      </c>
      <c r="C766" s="3" t="s">
        <v>6985</v>
      </c>
      <c r="D766" s="3" t="s">
        <v>1120</v>
      </c>
      <c r="E766" s="3">
        <v>765</v>
      </c>
      <c r="F766" s="3" t="s">
        <v>3161</v>
      </c>
      <c r="G766" s="3" t="s">
        <v>1093</v>
      </c>
      <c r="H766" s="3" t="str">
        <f t="shared" si="14"/>
        <v>Data QA applied on DRILL LOAD CG NS PV, computed by BMT WinMon.</v>
      </c>
    </row>
    <row r="767" spans="1:8" x14ac:dyDescent="0.25">
      <c r="A767" s="3" t="s">
        <v>6983</v>
      </c>
      <c r="B767" s="3" t="s">
        <v>6989</v>
      </c>
      <c r="C767" s="3" t="s">
        <v>6985</v>
      </c>
      <c r="D767" s="3" t="s">
        <v>1120</v>
      </c>
      <c r="E767" s="3">
        <v>766</v>
      </c>
      <c r="F767" s="3" t="s">
        <v>3162</v>
      </c>
      <c r="G767" s="3" t="s">
        <v>1101</v>
      </c>
      <c r="H767" s="3" t="str">
        <f t="shared" si="14"/>
        <v>Data QA applied on DRILL LOAD VMOM PV, computed by BMT WinMon.</v>
      </c>
    </row>
    <row r="768" spans="1:8" x14ac:dyDescent="0.25">
      <c r="A768" s="3" t="s">
        <v>6983</v>
      </c>
      <c r="B768" s="3" t="s">
        <v>6989</v>
      </c>
      <c r="C768" s="3" t="s">
        <v>6985</v>
      </c>
      <c r="D768" s="3" t="s">
        <v>1120</v>
      </c>
      <c r="E768" s="3">
        <v>767</v>
      </c>
      <c r="F768" s="3" t="s">
        <v>3163</v>
      </c>
      <c r="G768" s="3" t="s">
        <v>1101</v>
      </c>
      <c r="H768" s="3" t="str">
        <f t="shared" si="14"/>
        <v>Data QA applied on DRILL LOAD EW MOM PV, computed by BMT WinMon.</v>
      </c>
    </row>
    <row r="769" spans="1:8" x14ac:dyDescent="0.25">
      <c r="A769" s="3" t="s">
        <v>6983</v>
      </c>
      <c r="B769" s="3" t="s">
        <v>6989</v>
      </c>
      <c r="C769" s="3" t="s">
        <v>6985</v>
      </c>
      <c r="D769" s="3" t="s">
        <v>1120</v>
      </c>
      <c r="E769" s="3">
        <v>768</v>
      </c>
      <c r="F769" s="3" t="s">
        <v>3164</v>
      </c>
      <c r="G769" s="3" t="s">
        <v>1101</v>
      </c>
      <c r="H769" s="3" t="str">
        <f t="shared" ref="H769:H813" si="15">_xlfn.CONCAT("Data QA applied on ",F769, ", computed by BMT WinMon.")</f>
        <v>Data QA applied on DRILL LOAD NS MOM PV, computed by BMT WinMon.</v>
      </c>
    </row>
    <row r="770" spans="1:8" x14ac:dyDescent="0.25">
      <c r="A770" s="3" t="s">
        <v>6983</v>
      </c>
      <c r="B770" s="3" t="s">
        <v>6989</v>
      </c>
      <c r="C770" s="3" t="s">
        <v>6985</v>
      </c>
      <c r="D770" s="3" t="s">
        <v>1120</v>
      </c>
      <c r="E770" s="3">
        <v>769</v>
      </c>
      <c r="F770" s="3" t="s">
        <v>3165</v>
      </c>
      <c r="G770" s="3" t="s">
        <v>1100</v>
      </c>
      <c r="H770" s="3" t="str">
        <f t="shared" si="15"/>
        <v>Data QA applied on LIVE LOAD Weight HI, computed by BMT WinMon.</v>
      </c>
    </row>
    <row r="771" spans="1:8" x14ac:dyDescent="0.25">
      <c r="A771" s="3" t="s">
        <v>6983</v>
      </c>
      <c r="B771" s="3" t="s">
        <v>6989</v>
      </c>
      <c r="C771" s="3" t="s">
        <v>6985</v>
      </c>
      <c r="D771" s="3" t="s">
        <v>1120</v>
      </c>
      <c r="E771" s="3">
        <v>770</v>
      </c>
      <c r="F771" s="3" t="s">
        <v>3166</v>
      </c>
      <c r="G771" s="3" t="s">
        <v>1100</v>
      </c>
      <c r="H771" s="3" t="str">
        <f t="shared" si="15"/>
        <v>Data QA applied on LIVE LOAD Weight LO, computed by BMT WinMon.</v>
      </c>
    </row>
    <row r="772" spans="1:8" x14ac:dyDescent="0.25">
      <c r="A772" s="3" t="s">
        <v>6983</v>
      </c>
      <c r="B772" s="3" t="s">
        <v>6989</v>
      </c>
      <c r="C772" s="3" t="s">
        <v>6985</v>
      </c>
      <c r="D772" s="3" t="s">
        <v>1120</v>
      </c>
      <c r="E772" s="3">
        <v>771</v>
      </c>
      <c r="F772" s="3" t="s">
        <v>3167</v>
      </c>
      <c r="G772" s="3" t="s">
        <v>1093</v>
      </c>
      <c r="H772" s="3" t="str">
        <f t="shared" si="15"/>
        <v>Data QA applied on LIVE LOAD VCG PV, computed by BMT WinMon.</v>
      </c>
    </row>
    <row r="773" spans="1:8" x14ac:dyDescent="0.25">
      <c r="A773" s="3" t="s">
        <v>6983</v>
      </c>
      <c r="B773" s="3" t="s">
        <v>6989</v>
      </c>
      <c r="C773" s="3" t="s">
        <v>6985</v>
      </c>
      <c r="D773" s="3" t="s">
        <v>1120</v>
      </c>
      <c r="E773" s="3">
        <v>772</v>
      </c>
      <c r="F773" s="3" t="s">
        <v>3168</v>
      </c>
      <c r="G773" s="3" t="s">
        <v>1093</v>
      </c>
      <c r="H773" s="3" t="str">
        <f t="shared" si="15"/>
        <v>Data QA applied on LIVE LOAD CG EW PV, computed by BMT WinMon.</v>
      </c>
    </row>
    <row r="774" spans="1:8" x14ac:dyDescent="0.25">
      <c r="A774" s="3" t="s">
        <v>6983</v>
      </c>
      <c r="B774" s="3" t="s">
        <v>6989</v>
      </c>
      <c r="C774" s="3" t="s">
        <v>6985</v>
      </c>
      <c r="D774" s="3" t="s">
        <v>1120</v>
      </c>
      <c r="E774" s="3">
        <v>773</v>
      </c>
      <c r="F774" s="3" t="s">
        <v>3169</v>
      </c>
      <c r="G774" s="3" t="s">
        <v>1093</v>
      </c>
      <c r="H774" s="3" t="str">
        <f t="shared" si="15"/>
        <v>Data QA applied on LIVE LOAD CG NS PV, computed by BMT WinMon.</v>
      </c>
    </row>
    <row r="775" spans="1:8" x14ac:dyDescent="0.25">
      <c r="A775" s="3" t="s">
        <v>6983</v>
      </c>
      <c r="B775" s="3" t="s">
        <v>6989</v>
      </c>
      <c r="C775" s="3" t="s">
        <v>6985</v>
      </c>
      <c r="D775" s="3" t="s">
        <v>1120</v>
      </c>
      <c r="E775" s="3">
        <v>774</v>
      </c>
      <c r="F775" s="3" t="s">
        <v>3170</v>
      </c>
      <c r="G775" s="3" t="s">
        <v>1101</v>
      </c>
      <c r="H775" s="3" t="str">
        <f t="shared" si="15"/>
        <v>Data QA applied on LIVE LOAD VMOM PV, computed by BMT WinMon.</v>
      </c>
    </row>
    <row r="776" spans="1:8" x14ac:dyDescent="0.25">
      <c r="A776" s="3" t="s">
        <v>6983</v>
      </c>
      <c r="B776" s="3" t="s">
        <v>6989</v>
      </c>
      <c r="C776" s="3" t="s">
        <v>6985</v>
      </c>
      <c r="D776" s="3" t="s">
        <v>1120</v>
      </c>
      <c r="E776" s="3">
        <v>775</v>
      </c>
      <c r="F776" s="3" t="s">
        <v>3171</v>
      </c>
      <c r="G776" s="3" t="s">
        <v>1101</v>
      </c>
      <c r="H776" s="3" t="str">
        <f t="shared" si="15"/>
        <v>Data QA applied on LIVE LOAD EW MOM PV, computed by BMT WinMon.</v>
      </c>
    </row>
    <row r="777" spans="1:8" x14ac:dyDescent="0.25">
      <c r="A777" s="3" t="s">
        <v>6983</v>
      </c>
      <c r="B777" s="3" t="s">
        <v>6989</v>
      </c>
      <c r="C777" s="3" t="s">
        <v>6985</v>
      </c>
      <c r="D777" s="3" t="s">
        <v>1120</v>
      </c>
      <c r="E777" s="3">
        <v>776</v>
      </c>
      <c r="F777" s="3" t="s">
        <v>3172</v>
      </c>
      <c r="G777" s="3" t="s">
        <v>1101</v>
      </c>
      <c r="H777" s="3" t="str">
        <f t="shared" si="15"/>
        <v>Data QA applied on LIVE LOAD NS MOM PV, computed by BMT WinMon.</v>
      </c>
    </row>
    <row r="778" spans="1:8" x14ac:dyDescent="0.25">
      <c r="A778" s="3" t="s">
        <v>6983</v>
      </c>
      <c r="B778" s="3" t="s">
        <v>6989</v>
      </c>
      <c r="C778" s="3" t="s">
        <v>6985</v>
      </c>
      <c r="D778" s="3" t="s">
        <v>1120</v>
      </c>
      <c r="E778" s="3">
        <v>777</v>
      </c>
      <c r="F778" s="3" t="s">
        <v>3173</v>
      </c>
      <c r="G778" s="3" t="s">
        <v>1100</v>
      </c>
      <c r="H778" s="3" t="str">
        <f t="shared" si="15"/>
        <v>Data QA applied on SCR Weight HI, computed by BMT WinMon.</v>
      </c>
    </row>
    <row r="779" spans="1:8" x14ac:dyDescent="0.25">
      <c r="A779" s="3" t="s">
        <v>6983</v>
      </c>
      <c r="B779" s="3" t="s">
        <v>6989</v>
      </c>
      <c r="C779" s="3" t="s">
        <v>6985</v>
      </c>
      <c r="D779" s="3" t="s">
        <v>1120</v>
      </c>
      <c r="E779" s="3">
        <v>778</v>
      </c>
      <c r="F779" s="3" t="s">
        <v>3174</v>
      </c>
      <c r="G779" s="3" t="s">
        <v>1100</v>
      </c>
      <c r="H779" s="3" t="str">
        <f t="shared" si="15"/>
        <v>Data QA applied on SCR Weight LO, computed by BMT WinMon.</v>
      </c>
    </row>
    <row r="780" spans="1:8" x14ac:dyDescent="0.25">
      <c r="A780" s="3" t="s">
        <v>6983</v>
      </c>
      <c r="B780" s="3" t="s">
        <v>6989</v>
      </c>
      <c r="C780" s="3" t="s">
        <v>6985</v>
      </c>
      <c r="D780" s="3" t="s">
        <v>1120</v>
      </c>
      <c r="E780" s="3">
        <v>779</v>
      </c>
      <c r="F780" s="3" t="s">
        <v>3175</v>
      </c>
      <c r="G780" s="3" t="s">
        <v>1093</v>
      </c>
      <c r="H780" s="3" t="str">
        <f t="shared" si="15"/>
        <v>Data QA applied on SCR VCG PV, computed by BMT WinMon.</v>
      </c>
    </row>
    <row r="781" spans="1:8" x14ac:dyDescent="0.25">
      <c r="A781" s="3" t="s">
        <v>6983</v>
      </c>
      <c r="B781" s="3" t="s">
        <v>6989</v>
      </c>
      <c r="C781" s="3" t="s">
        <v>6985</v>
      </c>
      <c r="D781" s="3" t="s">
        <v>1120</v>
      </c>
      <c r="E781" s="3">
        <v>780</v>
      </c>
      <c r="F781" s="3" t="s">
        <v>3176</v>
      </c>
      <c r="G781" s="3" t="s">
        <v>1093</v>
      </c>
      <c r="H781" s="3" t="str">
        <f t="shared" si="15"/>
        <v>Data QA applied on SCR CG EW PV, computed by BMT WinMon.</v>
      </c>
    </row>
    <row r="782" spans="1:8" x14ac:dyDescent="0.25">
      <c r="A782" s="3" t="s">
        <v>6983</v>
      </c>
      <c r="B782" s="3" t="s">
        <v>6989</v>
      </c>
      <c r="C782" s="3" t="s">
        <v>6985</v>
      </c>
      <c r="D782" s="3" t="s">
        <v>1120</v>
      </c>
      <c r="E782" s="3">
        <v>781</v>
      </c>
      <c r="F782" s="3" t="s">
        <v>3177</v>
      </c>
      <c r="G782" s="3" t="s">
        <v>1093</v>
      </c>
      <c r="H782" s="3" t="str">
        <f t="shared" si="15"/>
        <v>Data QA applied on SCR CG NS PV, computed by BMT WinMon.</v>
      </c>
    </row>
    <row r="783" spans="1:8" x14ac:dyDescent="0.25">
      <c r="A783" s="3" t="s">
        <v>6983</v>
      </c>
      <c r="B783" s="3" t="s">
        <v>6989</v>
      </c>
      <c r="C783" s="3" t="s">
        <v>6985</v>
      </c>
      <c r="D783" s="3" t="s">
        <v>1120</v>
      </c>
      <c r="E783" s="3">
        <v>782</v>
      </c>
      <c r="F783" s="3" t="s">
        <v>3178</v>
      </c>
      <c r="G783" s="3" t="s">
        <v>1101</v>
      </c>
      <c r="H783" s="3" t="str">
        <f t="shared" si="15"/>
        <v>Data QA applied on SCR VMOM PV, computed by BMT WinMon.</v>
      </c>
    </row>
    <row r="784" spans="1:8" x14ac:dyDescent="0.25">
      <c r="A784" s="3" t="s">
        <v>6983</v>
      </c>
      <c r="B784" s="3" t="s">
        <v>6989</v>
      </c>
      <c r="C784" s="3" t="s">
        <v>6985</v>
      </c>
      <c r="D784" s="3" t="s">
        <v>1120</v>
      </c>
      <c r="E784" s="3">
        <v>783</v>
      </c>
      <c r="F784" s="3" t="s">
        <v>3179</v>
      </c>
      <c r="G784" s="3" t="s">
        <v>1101</v>
      </c>
      <c r="H784" s="3" t="str">
        <f t="shared" si="15"/>
        <v>Data QA applied on SCR EW MOM PV, computed by BMT WinMon.</v>
      </c>
    </row>
    <row r="785" spans="1:8" x14ac:dyDescent="0.25">
      <c r="A785" s="3" t="s">
        <v>6983</v>
      </c>
      <c r="B785" s="3" t="s">
        <v>6989</v>
      </c>
      <c r="C785" s="3" t="s">
        <v>6985</v>
      </c>
      <c r="D785" s="3" t="s">
        <v>1120</v>
      </c>
      <c r="E785" s="3">
        <v>784</v>
      </c>
      <c r="F785" s="3" t="s">
        <v>3180</v>
      </c>
      <c r="G785" s="3" t="s">
        <v>1101</v>
      </c>
      <c r="H785" s="3" t="str">
        <f t="shared" si="15"/>
        <v>Data QA applied on SCR NS MOM PV, computed by BMT WinMon.</v>
      </c>
    </row>
    <row r="786" spans="1:8" x14ac:dyDescent="0.25">
      <c r="A786" s="3" t="s">
        <v>6983</v>
      </c>
      <c r="B786" s="3" t="s">
        <v>6989</v>
      </c>
      <c r="C786" s="3" t="s">
        <v>6985</v>
      </c>
      <c r="D786" s="3" t="s">
        <v>1120</v>
      </c>
      <c r="E786" s="3">
        <v>785</v>
      </c>
      <c r="F786" s="3" t="s">
        <v>3181</v>
      </c>
      <c r="G786" s="3" t="s">
        <v>1100</v>
      </c>
      <c r="H786" s="3" t="str">
        <f t="shared" si="15"/>
        <v>Data QA applied on BIAS LINE Weight HI, computed by BMT WinMon.</v>
      </c>
    </row>
    <row r="787" spans="1:8" x14ac:dyDescent="0.25">
      <c r="A787" s="3" t="s">
        <v>6983</v>
      </c>
      <c r="B787" s="3" t="s">
        <v>6989</v>
      </c>
      <c r="C787" s="3" t="s">
        <v>6985</v>
      </c>
      <c r="D787" s="3" t="s">
        <v>1120</v>
      </c>
      <c r="E787" s="3">
        <v>786</v>
      </c>
      <c r="F787" s="3" t="s">
        <v>3182</v>
      </c>
      <c r="G787" s="3" t="s">
        <v>1100</v>
      </c>
      <c r="H787" s="3" t="str">
        <f t="shared" si="15"/>
        <v>Data QA applied on BIAS LINE Weight LO, computed by BMT WinMon.</v>
      </c>
    </row>
    <row r="788" spans="1:8" x14ac:dyDescent="0.25">
      <c r="A788" s="3" t="s">
        <v>6983</v>
      </c>
      <c r="B788" s="3" t="s">
        <v>6989</v>
      </c>
      <c r="C788" s="3" t="s">
        <v>6985</v>
      </c>
      <c r="D788" s="3" t="s">
        <v>1120</v>
      </c>
      <c r="E788" s="3">
        <v>787</v>
      </c>
      <c r="F788" s="3" t="s">
        <v>3183</v>
      </c>
      <c r="G788" s="3" t="s">
        <v>1093</v>
      </c>
      <c r="H788" s="3" t="str">
        <f t="shared" si="15"/>
        <v>Data QA applied on BIAS LINE VCG PV, computed by BMT WinMon.</v>
      </c>
    </row>
    <row r="789" spans="1:8" x14ac:dyDescent="0.25">
      <c r="A789" s="3" t="s">
        <v>6983</v>
      </c>
      <c r="B789" s="3" t="s">
        <v>6989</v>
      </c>
      <c r="C789" s="3" t="s">
        <v>6985</v>
      </c>
      <c r="D789" s="3" t="s">
        <v>1120</v>
      </c>
      <c r="E789" s="3">
        <v>788</v>
      </c>
      <c r="F789" s="3" t="s">
        <v>3184</v>
      </c>
      <c r="G789" s="3" t="s">
        <v>1093</v>
      </c>
      <c r="H789" s="3" t="str">
        <f t="shared" si="15"/>
        <v>Data QA applied on BIAS LINE CG EW PV, computed by BMT WinMon.</v>
      </c>
    </row>
    <row r="790" spans="1:8" x14ac:dyDescent="0.25">
      <c r="A790" s="3" t="s">
        <v>6983</v>
      </c>
      <c r="B790" s="3" t="s">
        <v>6989</v>
      </c>
      <c r="C790" s="3" t="s">
        <v>6985</v>
      </c>
      <c r="D790" s="3" t="s">
        <v>1120</v>
      </c>
      <c r="E790" s="3">
        <v>789</v>
      </c>
      <c r="F790" s="3" t="s">
        <v>3185</v>
      </c>
      <c r="G790" s="3" t="s">
        <v>1093</v>
      </c>
      <c r="H790" s="3" t="str">
        <f t="shared" si="15"/>
        <v>Data QA applied on BIAS LINE CG NS PV, computed by BMT WinMon.</v>
      </c>
    </row>
    <row r="791" spans="1:8" x14ac:dyDescent="0.25">
      <c r="A791" s="3" t="s">
        <v>6983</v>
      </c>
      <c r="B791" s="3" t="s">
        <v>6989</v>
      </c>
      <c r="C791" s="3" t="s">
        <v>6985</v>
      </c>
      <c r="D791" s="3" t="s">
        <v>1120</v>
      </c>
      <c r="E791" s="3">
        <v>790</v>
      </c>
      <c r="F791" s="3" t="s">
        <v>3186</v>
      </c>
      <c r="G791" s="3" t="s">
        <v>1101</v>
      </c>
      <c r="H791" s="3" t="str">
        <f t="shared" si="15"/>
        <v>Data QA applied on BIAS LINE VMOM PV, computed by BMT WinMon.</v>
      </c>
    </row>
    <row r="792" spans="1:8" x14ac:dyDescent="0.25">
      <c r="A792" s="3" t="s">
        <v>6983</v>
      </c>
      <c r="B792" s="3" t="s">
        <v>6989</v>
      </c>
      <c r="C792" s="3" t="s">
        <v>6985</v>
      </c>
      <c r="D792" s="3" t="s">
        <v>1120</v>
      </c>
      <c r="E792" s="3">
        <v>791</v>
      </c>
      <c r="F792" s="3" t="s">
        <v>3187</v>
      </c>
      <c r="G792" s="3" t="s">
        <v>1101</v>
      </c>
      <c r="H792" s="3" t="str">
        <f t="shared" si="15"/>
        <v>Data QA applied on BIAS LINE EW MOM PV, computed by BMT WinMon.</v>
      </c>
    </row>
    <row r="793" spans="1:8" x14ac:dyDescent="0.25">
      <c r="A793" s="3" t="s">
        <v>6983</v>
      </c>
      <c r="B793" s="3" t="s">
        <v>6989</v>
      </c>
      <c r="C793" s="3" t="s">
        <v>6985</v>
      </c>
      <c r="D793" s="3" t="s">
        <v>1120</v>
      </c>
      <c r="E793" s="3">
        <v>792</v>
      </c>
      <c r="F793" s="3" t="s">
        <v>3188</v>
      </c>
      <c r="G793" s="3" t="s">
        <v>1101</v>
      </c>
      <c r="H793" s="3" t="str">
        <f t="shared" si="15"/>
        <v>Data QA applied on BIAS LINE NS MOM PV, computed by BMT WinMon.</v>
      </c>
    </row>
    <row r="794" spans="1:8" x14ac:dyDescent="0.25">
      <c r="A794" s="3" t="s">
        <v>6983</v>
      </c>
      <c r="B794" s="3" t="s">
        <v>6989</v>
      </c>
      <c r="C794" s="3" t="s">
        <v>6985</v>
      </c>
      <c r="D794" s="3" t="s">
        <v>1120</v>
      </c>
      <c r="E794" s="3">
        <v>793</v>
      </c>
      <c r="F794" s="3" t="s">
        <v>3189</v>
      </c>
      <c r="G794" s="3" t="s">
        <v>1100</v>
      </c>
      <c r="H794" s="3" t="str">
        <f t="shared" si="15"/>
        <v>Data QA applied on TENDON Weight HI, computed by BMT WinMon.</v>
      </c>
    </row>
    <row r="795" spans="1:8" x14ac:dyDescent="0.25">
      <c r="A795" s="3" t="s">
        <v>6983</v>
      </c>
      <c r="B795" s="3" t="s">
        <v>6989</v>
      </c>
      <c r="C795" s="3" t="s">
        <v>6985</v>
      </c>
      <c r="D795" s="3" t="s">
        <v>1120</v>
      </c>
      <c r="E795" s="3">
        <v>794</v>
      </c>
      <c r="F795" s="3" t="s">
        <v>3190</v>
      </c>
      <c r="G795" s="3" t="s">
        <v>1100</v>
      </c>
      <c r="H795" s="3" t="str">
        <f t="shared" si="15"/>
        <v>Data QA applied on TENDON Weight LO, computed by BMT WinMon.</v>
      </c>
    </row>
    <row r="796" spans="1:8" x14ac:dyDescent="0.25">
      <c r="A796" s="3" t="s">
        <v>6983</v>
      </c>
      <c r="B796" s="3" t="s">
        <v>6989</v>
      </c>
      <c r="C796" s="3" t="s">
        <v>6985</v>
      </c>
      <c r="D796" s="3" t="s">
        <v>1120</v>
      </c>
      <c r="E796" s="3">
        <v>795</v>
      </c>
      <c r="F796" s="3" t="s">
        <v>3191</v>
      </c>
      <c r="G796" s="3" t="s">
        <v>1093</v>
      </c>
      <c r="H796" s="3" t="str">
        <f t="shared" si="15"/>
        <v>Data QA applied on TENDON VCG PV, computed by BMT WinMon.</v>
      </c>
    </row>
    <row r="797" spans="1:8" x14ac:dyDescent="0.25">
      <c r="A797" s="3" t="s">
        <v>6983</v>
      </c>
      <c r="B797" s="3" t="s">
        <v>6989</v>
      </c>
      <c r="C797" s="3" t="s">
        <v>6985</v>
      </c>
      <c r="D797" s="3" t="s">
        <v>1120</v>
      </c>
      <c r="E797" s="3">
        <v>796</v>
      </c>
      <c r="F797" s="3" t="s">
        <v>3192</v>
      </c>
      <c r="G797" s="3" t="s">
        <v>1093</v>
      </c>
      <c r="H797" s="3" t="str">
        <f t="shared" si="15"/>
        <v>Data QA applied on TENDON CG EW PV, computed by BMT WinMon.</v>
      </c>
    </row>
    <row r="798" spans="1:8" x14ac:dyDescent="0.25">
      <c r="A798" s="3" t="s">
        <v>6983</v>
      </c>
      <c r="B798" s="3" t="s">
        <v>6989</v>
      </c>
      <c r="C798" s="3" t="s">
        <v>6985</v>
      </c>
      <c r="D798" s="3" t="s">
        <v>1120</v>
      </c>
      <c r="E798" s="3">
        <v>797</v>
      </c>
      <c r="F798" s="3" t="s">
        <v>3193</v>
      </c>
      <c r="G798" s="3" t="s">
        <v>1093</v>
      </c>
      <c r="H798" s="3" t="str">
        <f t="shared" si="15"/>
        <v>Data QA applied on TENDON CG NS PV, computed by BMT WinMon.</v>
      </c>
    </row>
    <row r="799" spans="1:8" x14ac:dyDescent="0.25">
      <c r="A799" s="3" t="s">
        <v>6983</v>
      </c>
      <c r="B799" s="3" t="s">
        <v>6989</v>
      </c>
      <c r="C799" s="3" t="s">
        <v>6985</v>
      </c>
      <c r="D799" s="3" t="s">
        <v>1120</v>
      </c>
      <c r="E799" s="3">
        <v>798</v>
      </c>
      <c r="F799" s="3" t="s">
        <v>3194</v>
      </c>
      <c r="G799" s="3" t="s">
        <v>1101</v>
      </c>
      <c r="H799" s="3" t="str">
        <f t="shared" si="15"/>
        <v>Data QA applied on TENDON VMOM PV, computed by BMT WinMon.</v>
      </c>
    </row>
    <row r="800" spans="1:8" x14ac:dyDescent="0.25">
      <c r="A800" s="3" t="s">
        <v>6983</v>
      </c>
      <c r="B800" s="3" t="s">
        <v>6989</v>
      </c>
      <c r="C800" s="3" t="s">
        <v>6985</v>
      </c>
      <c r="D800" s="3" t="s">
        <v>1120</v>
      </c>
      <c r="E800" s="3">
        <v>799</v>
      </c>
      <c r="F800" s="3" t="s">
        <v>3195</v>
      </c>
      <c r="G800" s="3" t="s">
        <v>1101</v>
      </c>
      <c r="H800" s="3" t="str">
        <f t="shared" si="15"/>
        <v>Data QA applied on TENDON EW MOM PV, computed by BMT WinMon.</v>
      </c>
    </row>
    <row r="801" spans="1:8" x14ac:dyDescent="0.25">
      <c r="A801" s="3" t="s">
        <v>6983</v>
      </c>
      <c r="B801" s="3" t="s">
        <v>6989</v>
      </c>
      <c r="C801" s="3" t="s">
        <v>6985</v>
      </c>
      <c r="D801" s="3" t="s">
        <v>1120</v>
      </c>
      <c r="E801" s="3">
        <v>800</v>
      </c>
      <c r="F801" s="3" t="s">
        <v>3196</v>
      </c>
      <c r="G801" s="3" t="s">
        <v>1101</v>
      </c>
      <c r="H801" s="3" t="str">
        <f t="shared" si="15"/>
        <v>Data QA applied on TENDON NS MOM PV, computed by BMT WinMon.</v>
      </c>
    </row>
    <row r="802" spans="1:8" x14ac:dyDescent="0.25">
      <c r="A802" s="3" t="s">
        <v>6983</v>
      </c>
      <c r="B802" s="3" t="s">
        <v>6989</v>
      </c>
      <c r="C802" s="3" t="s">
        <v>6985</v>
      </c>
      <c r="D802" s="3" t="s">
        <v>1120</v>
      </c>
      <c r="E802" s="3">
        <v>801</v>
      </c>
      <c r="F802" s="3" t="s">
        <v>3197</v>
      </c>
      <c r="G802" s="3" t="s">
        <v>1100</v>
      </c>
      <c r="H802" s="3" t="str">
        <f t="shared" si="15"/>
        <v>Data QA applied on TTR Weight HI, computed by BMT WinMon.</v>
      </c>
    </row>
    <row r="803" spans="1:8" x14ac:dyDescent="0.25">
      <c r="A803" s="3" t="s">
        <v>6983</v>
      </c>
      <c r="B803" s="3" t="s">
        <v>6989</v>
      </c>
      <c r="C803" s="3" t="s">
        <v>6985</v>
      </c>
      <c r="D803" s="3" t="s">
        <v>1120</v>
      </c>
      <c r="E803" s="3">
        <v>802</v>
      </c>
      <c r="F803" s="3" t="s">
        <v>3198</v>
      </c>
      <c r="G803" s="3" t="s">
        <v>1100</v>
      </c>
      <c r="H803" s="3" t="str">
        <f t="shared" si="15"/>
        <v>Data QA applied on TTR Weight LO, computed by BMT WinMon.</v>
      </c>
    </row>
    <row r="804" spans="1:8" x14ac:dyDescent="0.25">
      <c r="A804" s="3" t="s">
        <v>6983</v>
      </c>
      <c r="B804" s="3" t="s">
        <v>6989</v>
      </c>
      <c r="C804" s="3" t="s">
        <v>6985</v>
      </c>
      <c r="D804" s="3" t="s">
        <v>1120</v>
      </c>
      <c r="E804" s="3">
        <v>803</v>
      </c>
      <c r="F804" s="3" t="s">
        <v>3199</v>
      </c>
      <c r="G804" s="3" t="s">
        <v>1093</v>
      </c>
      <c r="H804" s="3" t="str">
        <f t="shared" si="15"/>
        <v>Data QA applied on TTR VCG PV, computed by BMT WinMon.</v>
      </c>
    </row>
    <row r="805" spans="1:8" x14ac:dyDescent="0.25">
      <c r="A805" s="3" t="s">
        <v>6983</v>
      </c>
      <c r="B805" s="3" t="s">
        <v>6989</v>
      </c>
      <c r="C805" s="3" t="s">
        <v>6985</v>
      </c>
      <c r="D805" s="3" t="s">
        <v>1120</v>
      </c>
      <c r="E805" s="3">
        <v>804</v>
      </c>
      <c r="F805" s="3" t="s">
        <v>3200</v>
      </c>
      <c r="G805" s="3" t="s">
        <v>1093</v>
      </c>
      <c r="H805" s="3" t="str">
        <f t="shared" si="15"/>
        <v>Data QA applied on TTR CG EW PV, computed by BMT WinMon.</v>
      </c>
    </row>
    <row r="806" spans="1:8" x14ac:dyDescent="0.25">
      <c r="A806" s="3" t="s">
        <v>6983</v>
      </c>
      <c r="B806" s="3" t="s">
        <v>6989</v>
      </c>
      <c r="C806" s="3" t="s">
        <v>6985</v>
      </c>
      <c r="D806" s="3" t="s">
        <v>1120</v>
      </c>
      <c r="E806" s="3">
        <v>805</v>
      </c>
      <c r="F806" s="3" t="s">
        <v>3201</v>
      </c>
      <c r="G806" s="3" t="s">
        <v>1093</v>
      </c>
      <c r="H806" s="3" t="str">
        <f t="shared" si="15"/>
        <v>Data QA applied on TTR CG NS PV, computed by BMT WinMon.</v>
      </c>
    </row>
    <row r="807" spans="1:8" x14ac:dyDescent="0.25">
      <c r="A807" s="3" t="s">
        <v>6983</v>
      </c>
      <c r="B807" s="3" t="s">
        <v>6989</v>
      </c>
      <c r="C807" s="3" t="s">
        <v>6985</v>
      </c>
      <c r="D807" s="3" t="s">
        <v>1120</v>
      </c>
      <c r="E807" s="3">
        <v>806</v>
      </c>
      <c r="F807" s="3" t="s">
        <v>3202</v>
      </c>
      <c r="G807" s="3" t="s">
        <v>1101</v>
      </c>
      <c r="H807" s="3" t="str">
        <f t="shared" si="15"/>
        <v>Data QA applied on TTR VMOM PV, computed by BMT WinMon.</v>
      </c>
    </row>
    <row r="808" spans="1:8" x14ac:dyDescent="0.25">
      <c r="A808" s="3" t="s">
        <v>6983</v>
      </c>
      <c r="B808" s="3" t="s">
        <v>6989</v>
      </c>
      <c r="C808" s="3" t="s">
        <v>6985</v>
      </c>
      <c r="D808" s="3" t="s">
        <v>1120</v>
      </c>
      <c r="E808" s="3">
        <v>807</v>
      </c>
      <c r="F808" s="3" t="s">
        <v>3203</v>
      </c>
      <c r="G808" s="3" t="s">
        <v>1101</v>
      </c>
      <c r="H808" s="3" t="str">
        <f t="shared" si="15"/>
        <v>Data QA applied on TTR EW MOM PV, computed by BMT WinMon.</v>
      </c>
    </row>
    <row r="809" spans="1:8" x14ac:dyDescent="0.25">
      <c r="A809" s="3" t="s">
        <v>6983</v>
      </c>
      <c r="B809" s="3" t="s">
        <v>6989</v>
      </c>
      <c r="C809" s="3" t="s">
        <v>6985</v>
      </c>
      <c r="D809" s="3" t="s">
        <v>1120</v>
      </c>
      <c r="E809" s="3">
        <v>808</v>
      </c>
      <c r="F809" s="3" t="s">
        <v>3204</v>
      </c>
      <c r="G809" s="3" t="s">
        <v>1101</v>
      </c>
      <c r="H809" s="3" t="str">
        <f t="shared" si="15"/>
        <v>Data QA applied on TTR NS MOM PV, computed by BMT WinMon.</v>
      </c>
    </row>
    <row r="810" spans="1:8" x14ac:dyDescent="0.25">
      <c r="A810" s="3" t="s">
        <v>6983</v>
      </c>
      <c r="B810" s="3" t="s">
        <v>6989</v>
      </c>
      <c r="C810" s="3" t="s">
        <v>6985</v>
      </c>
      <c r="D810" s="3" t="s">
        <v>1120</v>
      </c>
      <c r="E810" s="3">
        <v>809</v>
      </c>
      <c r="F810" s="3" t="s">
        <v>3205</v>
      </c>
      <c r="G810" s="3" t="s">
        <v>1093</v>
      </c>
      <c r="H810" s="3" t="str">
        <f t="shared" si="15"/>
        <v>Data QA applied on KG Corrected EW PV, computed by BMT WinMon.</v>
      </c>
    </row>
    <row r="811" spans="1:8" x14ac:dyDescent="0.25">
      <c r="A811" s="3" t="s">
        <v>6983</v>
      </c>
      <c r="B811" s="3" t="s">
        <v>6989</v>
      </c>
      <c r="C811" s="3" t="s">
        <v>6985</v>
      </c>
      <c r="D811" s="3" t="s">
        <v>1120</v>
      </c>
      <c r="E811" s="3">
        <v>810</v>
      </c>
      <c r="F811" s="3" t="s">
        <v>3206</v>
      </c>
      <c r="G811" s="3" t="s">
        <v>1093</v>
      </c>
      <c r="H811" s="3" t="str">
        <f t="shared" si="15"/>
        <v>Data QA applied on KG Corrected NS PV, computed by BMT WinMon.</v>
      </c>
    </row>
    <row r="812" spans="1:8" x14ac:dyDescent="0.25">
      <c r="A812" s="3" t="s">
        <v>6983</v>
      </c>
      <c r="B812" s="3" t="s">
        <v>6989</v>
      </c>
      <c r="C812" s="3" t="s">
        <v>6985</v>
      </c>
      <c r="D812" s="3" t="s">
        <v>1120</v>
      </c>
      <c r="E812" s="3">
        <v>811</v>
      </c>
      <c r="F812" s="3" t="s">
        <v>3207</v>
      </c>
      <c r="G812" s="3" t="s">
        <v>1093</v>
      </c>
      <c r="H812" s="3" t="str">
        <f t="shared" si="15"/>
        <v>Data QA applied on GM Corrected EW PV, computed by BMT WinMon.</v>
      </c>
    </row>
    <row r="813" spans="1:8" x14ac:dyDescent="0.25">
      <c r="A813" s="3" t="s">
        <v>6983</v>
      </c>
      <c r="B813" s="3" t="s">
        <v>6989</v>
      </c>
      <c r="C813" s="3" t="s">
        <v>6985</v>
      </c>
      <c r="D813" s="3" t="s">
        <v>1120</v>
      </c>
      <c r="E813" s="3">
        <v>812</v>
      </c>
      <c r="F813" s="3" t="s">
        <v>3208</v>
      </c>
      <c r="G813" s="3" t="s">
        <v>1093</v>
      </c>
      <c r="H813" s="3" t="str">
        <f t="shared" si="15"/>
        <v>Data QA applied on GM Corrected NS PV, computed by BMT WinMon.</v>
      </c>
    </row>
    <row r="814" spans="1:8" x14ac:dyDescent="0.25">
      <c r="A814" s="3" t="s">
        <v>6983</v>
      </c>
      <c r="B814" s="3" t="s">
        <v>6989</v>
      </c>
      <c r="C814" s="3" t="s">
        <v>6985</v>
      </c>
      <c r="D814" s="3" t="s">
        <v>6340</v>
      </c>
      <c r="E814" s="3">
        <v>813</v>
      </c>
      <c r="F814" s="3" t="s">
        <v>3209</v>
      </c>
      <c r="G814" s="3" t="s">
        <v>3853</v>
      </c>
    </row>
    <row r="815" spans="1:8" x14ac:dyDescent="0.25">
      <c r="A815" s="3" t="s">
        <v>6983</v>
      </c>
      <c r="B815" s="3" t="s">
        <v>6989</v>
      </c>
      <c r="C815" s="3" t="s">
        <v>6985</v>
      </c>
      <c r="D815" s="3" t="s">
        <v>6340</v>
      </c>
      <c r="E815" s="3">
        <v>814</v>
      </c>
      <c r="F815" s="3" t="s">
        <v>3210</v>
      </c>
      <c r="G815" s="3" t="s">
        <v>3853</v>
      </c>
    </row>
    <row r="816" spans="1:8" x14ac:dyDescent="0.25">
      <c r="A816" s="3" t="s">
        <v>6983</v>
      </c>
      <c r="B816" s="3" t="s">
        <v>6989</v>
      </c>
      <c r="C816" s="3" t="s">
        <v>6985</v>
      </c>
      <c r="D816" s="3" t="s">
        <v>6349</v>
      </c>
      <c r="E816" s="3">
        <v>815</v>
      </c>
      <c r="F816" s="3" t="s">
        <v>3211</v>
      </c>
      <c r="G816" s="3" t="s">
        <v>4</v>
      </c>
      <c r="H816" s="3" t="s">
        <v>6640</v>
      </c>
    </row>
    <row r="817" spans="1:8" x14ac:dyDescent="0.25">
      <c r="A817" s="3" t="s">
        <v>6983</v>
      </c>
      <c r="B817" s="3" t="s">
        <v>6989</v>
      </c>
      <c r="C817" s="3" t="s">
        <v>6985</v>
      </c>
      <c r="D817" s="3" t="s">
        <v>6349</v>
      </c>
      <c r="E817" s="3">
        <v>816</v>
      </c>
      <c r="F817" s="3" t="s">
        <v>3212</v>
      </c>
      <c r="G817" s="3" t="s">
        <v>13</v>
      </c>
      <c r="H817" s="3" t="s">
        <v>6641</v>
      </c>
    </row>
    <row r="818" spans="1:8" x14ac:dyDescent="0.25">
      <c r="A818" s="3" t="s">
        <v>6983</v>
      </c>
      <c r="B818" s="3" t="s">
        <v>6989</v>
      </c>
      <c r="C818" s="3" t="s">
        <v>6985</v>
      </c>
      <c r="D818" s="3" t="s">
        <v>6349</v>
      </c>
      <c r="E818" s="3">
        <v>817</v>
      </c>
      <c r="F818" s="3" t="s">
        <v>3213</v>
      </c>
      <c r="G818" s="3" t="s">
        <v>4</v>
      </c>
      <c r="H818" s="3" t="s">
        <v>6642</v>
      </c>
    </row>
    <row r="819" spans="1:8" x14ac:dyDescent="0.25">
      <c r="A819" s="3" t="s">
        <v>6983</v>
      </c>
      <c r="B819" s="3" t="s">
        <v>6989</v>
      </c>
      <c r="C819" s="3" t="s">
        <v>6985</v>
      </c>
      <c r="D819" s="3" t="s">
        <v>6350</v>
      </c>
      <c r="E819" s="3">
        <v>818</v>
      </c>
      <c r="F819" s="3" t="s">
        <v>3214</v>
      </c>
      <c r="G819" s="3" t="s">
        <v>4</v>
      </c>
      <c r="H819" s="3" t="s">
        <v>6637</v>
      </c>
    </row>
    <row r="820" spans="1:8" x14ac:dyDescent="0.25">
      <c r="A820" s="3" t="s">
        <v>6983</v>
      </c>
      <c r="B820" s="3" t="s">
        <v>6989</v>
      </c>
      <c r="C820" s="3" t="s">
        <v>6985</v>
      </c>
      <c r="D820" s="3" t="s">
        <v>6350</v>
      </c>
      <c r="E820" s="3">
        <v>819</v>
      </c>
      <c r="F820" s="3" t="s">
        <v>3215</v>
      </c>
      <c r="G820" s="3" t="s">
        <v>13</v>
      </c>
      <c r="H820" s="3" t="s">
        <v>6638</v>
      </c>
    </row>
    <row r="821" spans="1:8" x14ac:dyDescent="0.25">
      <c r="A821" s="3" t="s">
        <v>6983</v>
      </c>
      <c r="B821" s="3" t="s">
        <v>6989</v>
      </c>
      <c r="C821" s="3" t="s">
        <v>6985</v>
      </c>
      <c r="D821" s="3" t="s">
        <v>6350</v>
      </c>
      <c r="E821" s="3">
        <v>820</v>
      </c>
      <c r="F821" s="3" t="s">
        <v>3216</v>
      </c>
      <c r="G821" s="3" t="s">
        <v>4</v>
      </c>
      <c r="H821" s="3" t="s">
        <v>6639</v>
      </c>
    </row>
    <row r="822" spans="1:8" x14ac:dyDescent="0.25">
      <c r="A822" s="3" t="s">
        <v>6983</v>
      </c>
      <c r="B822" s="3" t="s">
        <v>6989</v>
      </c>
      <c r="C822" s="3" t="s">
        <v>6985</v>
      </c>
      <c r="D822" s="3" t="s">
        <v>6351</v>
      </c>
      <c r="E822" s="3">
        <v>821</v>
      </c>
      <c r="F822" s="3" t="s">
        <v>3217</v>
      </c>
      <c r="G822" s="3" t="s">
        <v>4</v>
      </c>
      <c r="H822" s="3" t="s">
        <v>6634</v>
      </c>
    </row>
    <row r="823" spans="1:8" x14ac:dyDescent="0.25">
      <c r="A823" s="3" t="s">
        <v>6983</v>
      </c>
      <c r="B823" s="3" t="s">
        <v>6989</v>
      </c>
      <c r="C823" s="3" t="s">
        <v>6985</v>
      </c>
      <c r="D823" s="3" t="s">
        <v>6351</v>
      </c>
      <c r="E823" s="3">
        <v>822</v>
      </c>
      <c r="F823" s="3" t="s">
        <v>3218</v>
      </c>
      <c r="G823" s="3" t="s">
        <v>13</v>
      </c>
      <c r="H823" s="3" t="s">
        <v>6635</v>
      </c>
    </row>
    <row r="824" spans="1:8" x14ac:dyDescent="0.25">
      <c r="A824" s="3" t="s">
        <v>6983</v>
      </c>
      <c r="B824" s="3" t="s">
        <v>6989</v>
      </c>
      <c r="C824" s="3" t="s">
        <v>6985</v>
      </c>
      <c r="D824" s="3" t="s">
        <v>6351</v>
      </c>
      <c r="E824" s="3">
        <v>823</v>
      </c>
      <c r="F824" s="3" t="s">
        <v>3219</v>
      </c>
      <c r="G824" s="3" t="s">
        <v>4</v>
      </c>
      <c r="H824" s="3" t="s">
        <v>6636</v>
      </c>
    </row>
    <row r="825" spans="1:8" x14ac:dyDescent="0.25">
      <c r="A825" s="3" t="s">
        <v>6983</v>
      </c>
      <c r="B825" s="3" t="s">
        <v>6989</v>
      </c>
      <c r="C825" s="3" t="s">
        <v>6985</v>
      </c>
      <c r="D825" s="3" t="s">
        <v>1138</v>
      </c>
      <c r="E825" s="3">
        <v>824</v>
      </c>
      <c r="F825" s="3" t="s">
        <v>3220</v>
      </c>
      <c r="G825" s="3" t="s">
        <v>13</v>
      </c>
      <c r="H825" s="4" t="s">
        <v>6644</v>
      </c>
    </row>
    <row r="826" spans="1:8" x14ac:dyDescent="0.25">
      <c r="A826" s="3" t="s">
        <v>6983</v>
      </c>
      <c r="B826" s="3" t="s">
        <v>6989</v>
      </c>
      <c r="C826" s="3" t="s">
        <v>6985</v>
      </c>
      <c r="D826" s="3" t="s">
        <v>1138</v>
      </c>
      <c r="E826" s="3">
        <v>825</v>
      </c>
      <c r="F826" s="3" t="s">
        <v>3221</v>
      </c>
      <c r="G826" s="3" t="s">
        <v>9</v>
      </c>
      <c r="H826" s="4" t="s">
        <v>6643</v>
      </c>
    </row>
    <row r="827" spans="1:8" x14ac:dyDescent="0.25">
      <c r="A827" s="3" t="s">
        <v>6983</v>
      </c>
      <c r="B827" s="3" t="s">
        <v>6989</v>
      </c>
      <c r="C827" s="3" t="s">
        <v>6985</v>
      </c>
      <c r="D827" s="3" t="s">
        <v>1138</v>
      </c>
      <c r="E827" s="3">
        <v>826</v>
      </c>
      <c r="F827" s="3" t="s">
        <v>3222</v>
      </c>
      <c r="G827" s="3" t="s">
        <v>13</v>
      </c>
      <c r="H827" s="4" t="s">
        <v>6730</v>
      </c>
    </row>
    <row r="828" spans="1:8" x14ac:dyDescent="0.25">
      <c r="A828" s="3" t="s">
        <v>6983</v>
      </c>
      <c r="B828" s="3" t="s">
        <v>6989</v>
      </c>
      <c r="C828" s="3" t="s">
        <v>6985</v>
      </c>
      <c r="D828" s="3" t="s">
        <v>1138</v>
      </c>
      <c r="E828" s="3">
        <v>827</v>
      </c>
      <c r="F828" s="3" t="s">
        <v>3223</v>
      </c>
      <c r="G828" s="3" t="s">
        <v>13</v>
      </c>
      <c r="H828" s="3" t="s">
        <v>6731</v>
      </c>
    </row>
    <row r="829" spans="1:8" x14ac:dyDescent="0.25">
      <c r="A829" s="3" t="s">
        <v>6983</v>
      </c>
      <c r="B829" s="3" t="s">
        <v>6989</v>
      </c>
      <c r="C829" s="3" t="s">
        <v>6985</v>
      </c>
      <c r="D829" s="3" t="s">
        <v>1138</v>
      </c>
      <c r="E829" s="3">
        <v>828</v>
      </c>
      <c r="F829" s="3" t="s">
        <v>3224</v>
      </c>
      <c r="G829" s="3" t="s">
        <v>13</v>
      </c>
      <c r="H829" s="4" t="s">
        <v>6732</v>
      </c>
    </row>
    <row r="830" spans="1:8" x14ac:dyDescent="0.25">
      <c r="A830" s="3" t="s">
        <v>6983</v>
      </c>
      <c r="B830" s="3" t="s">
        <v>6989</v>
      </c>
      <c r="C830" s="3" t="s">
        <v>6985</v>
      </c>
      <c r="D830" s="3" t="s">
        <v>1138</v>
      </c>
      <c r="E830" s="3">
        <v>829</v>
      </c>
      <c r="F830" s="3" t="s">
        <v>3225</v>
      </c>
      <c r="G830" s="3" t="s">
        <v>9</v>
      </c>
      <c r="H830" s="4" t="s">
        <v>6733</v>
      </c>
    </row>
    <row r="831" spans="1:8" x14ac:dyDescent="0.25">
      <c r="A831" s="3" t="s">
        <v>6983</v>
      </c>
      <c r="B831" s="3" t="s">
        <v>6989</v>
      </c>
      <c r="C831" s="3" t="s">
        <v>6985</v>
      </c>
      <c r="D831" s="3" t="s">
        <v>1138</v>
      </c>
      <c r="E831" s="3">
        <v>830</v>
      </c>
      <c r="F831" s="3" t="s">
        <v>3226</v>
      </c>
      <c r="G831" s="3" t="s">
        <v>13</v>
      </c>
      <c r="H831" s="4" t="s">
        <v>6736</v>
      </c>
    </row>
    <row r="832" spans="1:8" x14ac:dyDescent="0.25">
      <c r="A832" s="3" t="s">
        <v>6983</v>
      </c>
      <c r="B832" s="3" t="s">
        <v>6989</v>
      </c>
      <c r="C832" s="3" t="s">
        <v>6985</v>
      </c>
      <c r="D832" s="3" t="s">
        <v>1138</v>
      </c>
      <c r="E832" s="3">
        <v>831</v>
      </c>
      <c r="F832" s="3" t="s">
        <v>3227</v>
      </c>
      <c r="G832" s="3" t="s">
        <v>9</v>
      </c>
      <c r="H832" s="4" t="s">
        <v>6737</v>
      </c>
    </row>
    <row r="833" spans="1:8" x14ac:dyDescent="0.25">
      <c r="A833" s="3" t="s">
        <v>6983</v>
      </c>
      <c r="B833" s="3" t="s">
        <v>6989</v>
      </c>
      <c r="C833" s="3" t="s">
        <v>6985</v>
      </c>
      <c r="D833" s="3" t="s">
        <v>1138</v>
      </c>
      <c r="E833" s="3">
        <v>832</v>
      </c>
      <c r="F833" s="3" t="s">
        <v>3228</v>
      </c>
      <c r="G833" s="3" t="s">
        <v>13</v>
      </c>
      <c r="H833" s="4" t="s">
        <v>6734</v>
      </c>
    </row>
    <row r="834" spans="1:8" x14ac:dyDescent="0.25">
      <c r="A834" s="3" t="s">
        <v>6983</v>
      </c>
      <c r="B834" s="3" t="s">
        <v>6989</v>
      </c>
      <c r="C834" s="3" t="s">
        <v>6985</v>
      </c>
      <c r="D834" s="3" t="s">
        <v>1138</v>
      </c>
      <c r="E834" s="3">
        <v>833</v>
      </c>
      <c r="F834" s="3" t="s">
        <v>3229</v>
      </c>
      <c r="G834" s="3" t="s">
        <v>9</v>
      </c>
      <c r="H834" s="4" t="s">
        <v>6735</v>
      </c>
    </row>
    <row r="835" spans="1:8" x14ac:dyDescent="0.25">
      <c r="A835" s="3" t="s">
        <v>6983</v>
      </c>
      <c r="B835" s="3" t="s">
        <v>6989</v>
      </c>
      <c r="C835" s="3" t="s">
        <v>6985</v>
      </c>
      <c r="D835" s="3" t="s">
        <v>1138</v>
      </c>
      <c r="E835" s="3">
        <v>834</v>
      </c>
      <c r="F835" s="3" t="s">
        <v>3230</v>
      </c>
      <c r="G835" s="3" t="s">
        <v>13</v>
      </c>
      <c r="H835" s="4" t="s">
        <v>6647</v>
      </c>
    </row>
    <row r="836" spans="1:8" x14ac:dyDescent="0.25">
      <c r="A836" s="3" t="s">
        <v>6983</v>
      </c>
      <c r="B836" s="3" t="s">
        <v>6989</v>
      </c>
      <c r="C836" s="3" t="s">
        <v>6985</v>
      </c>
      <c r="D836" s="3" t="s">
        <v>1138</v>
      </c>
      <c r="E836" s="3">
        <v>835</v>
      </c>
      <c r="F836" s="3" t="s">
        <v>3231</v>
      </c>
      <c r="G836" s="3" t="s">
        <v>9</v>
      </c>
      <c r="H836" s="4" t="s">
        <v>6648</v>
      </c>
    </row>
    <row r="837" spans="1:8" x14ac:dyDescent="0.25">
      <c r="A837" s="3" t="s">
        <v>6983</v>
      </c>
      <c r="B837" s="3" t="s">
        <v>6989</v>
      </c>
      <c r="C837" s="3" t="s">
        <v>6985</v>
      </c>
      <c r="D837" s="3" t="s">
        <v>1138</v>
      </c>
      <c r="E837" s="3">
        <v>836</v>
      </c>
      <c r="F837" s="3" t="s">
        <v>3232</v>
      </c>
      <c r="G837" s="3" t="s">
        <v>13</v>
      </c>
      <c r="H837" s="4" t="s">
        <v>6738</v>
      </c>
    </row>
    <row r="838" spans="1:8" x14ac:dyDescent="0.25">
      <c r="A838" s="3" t="s">
        <v>6983</v>
      </c>
      <c r="B838" s="3" t="s">
        <v>6989</v>
      </c>
      <c r="C838" s="3" t="s">
        <v>6985</v>
      </c>
      <c r="D838" s="3" t="s">
        <v>1138</v>
      </c>
      <c r="E838" s="3">
        <v>837</v>
      </c>
      <c r="F838" s="3" t="s">
        <v>3233</v>
      </c>
      <c r="G838" s="3" t="s">
        <v>13</v>
      </c>
      <c r="H838" s="3" t="s">
        <v>6739</v>
      </c>
    </row>
    <row r="839" spans="1:8" x14ac:dyDescent="0.25">
      <c r="A839" s="3" t="s">
        <v>6983</v>
      </c>
      <c r="B839" s="3" t="s">
        <v>6989</v>
      </c>
      <c r="C839" s="3" t="s">
        <v>6985</v>
      </c>
      <c r="D839" s="3" t="s">
        <v>1138</v>
      </c>
      <c r="E839" s="3">
        <v>838</v>
      </c>
      <c r="F839" s="3" t="s">
        <v>3234</v>
      </c>
      <c r="G839" s="3" t="s">
        <v>13</v>
      </c>
      <c r="H839" s="4" t="s">
        <v>6740</v>
      </c>
    </row>
    <row r="840" spans="1:8" x14ac:dyDescent="0.25">
      <c r="A840" s="3" t="s">
        <v>6983</v>
      </c>
      <c r="B840" s="3" t="s">
        <v>6989</v>
      </c>
      <c r="C840" s="3" t="s">
        <v>6985</v>
      </c>
      <c r="D840" s="3" t="s">
        <v>1138</v>
      </c>
      <c r="E840" s="3">
        <v>839</v>
      </c>
      <c r="F840" s="3" t="s">
        <v>3235</v>
      </c>
      <c r="G840" s="3" t="s">
        <v>9</v>
      </c>
      <c r="H840" s="4" t="s">
        <v>6741</v>
      </c>
    </row>
    <row r="841" spans="1:8" x14ac:dyDescent="0.25">
      <c r="A841" s="3" t="s">
        <v>6983</v>
      </c>
      <c r="B841" s="3" t="s">
        <v>6989</v>
      </c>
      <c r="C841" s="3" t="s">
        <v>6985</v>
      </c>
      <c r="D841" s="3" t="s">
        <v>1138</v>
      </c>
      <c r="E841" s="3">
        <v>840</v>
      </c>
      <c r="F841" s="3" t="s">
        <v>3236</v>
      </c>
      <c r="G841" s="3" t="s">
        <v>13</v>
      </c>
      <c r="H841" s="4" t="s">
        <v>6742</v>
      </c>
    </row>
    <row r="842" spans="1:8" x14ac:dyDescent="0.25">
      <c r="A842" s="3" t="s">
        <v>6983</v>
      </c>
      <c r="B842" s="3" t="s">
        <v>6989</v>
      </c>
      <c r="C842" s="3" t="s">
        <v>6985</v>
      </c>
      <c r="D842" s="3" t="s">
        <v>1138</v>
      </c>
      <c r="E842" s="3">
        <v>841</v>
      </c>
      <c r="F842" s="3" t="s">
        <v>3237</v>
      </c>
      <c r="G842" s="3" t="s">
        <v>9</v>
      </c>
      <c r="H842" s="4" t="s">
        <v>6743</v>
      </c>
    </row>
    <row r="843" spans="1:8" x14ac:dyDescent="0.25">
      <c r="A843" s="3" t="s">
        <v>6983</v>
      </c>
      <c r="B843" s="3" t="s">
        <v>6989</v>
      </c>
      <c r="C843" s="3" t="s">
        <v>6985</v>
      </c>
      <c r="D843" s="3" t="s">
        <v>1138</v>
      </c>
      <c r="E843" s="3">
        <v>842</v>
      </c>
      <c r="F843" s="3" t="s">
        <v>3238</v>
      </c>
      <c r="G843" s="3" t="s">
        <v>13</v>
      </c>
      <c r="H843" s="4" t="s">
        <v>6744</v>
      </c>
    </row>
    <row r="844" spans="1:8" x14ac:dyDescent="0.25">
      <c r="A844" s="3" t="s">
        <v>6983</v>
      </c>
      <c r="B844" s="3" t="s">
        <v>6989</v>
      </c>
      <c r="C844" s="3" t="s">
        <v>6985</v>
      </c>
      <c r="D844" s="3" t="s">
        <v>1138</v>
      </c>
      <c r="E844" s="3">
        <v>843</v>
      </c>
      <c r="F844" s="3" t="s">
        <v>3239</v>
      </c>
      <c r="G844" s="3" t="s">
        <v>9</v>
      </c>
      <c r="H844" s="4" t="s">
        <v>6745</v>
      </c>
    </row>
    <row r="845" spans="1:8" x14ac:dyDescent="0.25">
      <c r="A845" s="3" t="s">
        <v>6983</v>
      </c>
      <c r="B845" s="3" t="s">
        <v>6989</v>
      </c>
      <c r="C845" s="3" t="s">
        <v>6985</v>
      </c>
      <c r="D845" s="3" t="s">
        <v>1138</v>
      </c>
      <c r="E845" s="3">
        <v>844</v>
      </c>
      <c r="F845" s="3" t="s">
        <v>3240</v>
      </c>
      <c r="G845" s="3" t="s">
        <v>13</v>
      </c>
      <c r="H845" s="4" t="s">
        <v>6645</v>
      </c>
    </row>
    <row r="846" spans="1:8" x14ac:dyDescent="0.25">
      <c r="A846" s="3" t="s">
        <v>6983</v>
      </c>
      <c r="B846" s="3" t="s">
        <v>6989</v>
      </c>
      <c r="C846" s="3" t="s">
        <v>6985</v>
      </c>
      <c r="D846" s="3" t="s">
        <v>1138</v>
      </c>
      <c r="E846" s="3">
        <v>845</v>
      </c>
      <c r="F846" s="3" t="s">
        <v>3241</v>
      </c>
      <c r="G846" s="3" t="s">
        <v>9</v>
      </c>
      <c r="H846" s="4" t="s">
        <v>6646</v>
      </c>
    </row>
    <row r="847" spans="1:8" x14ac:dyDescent="0.25">
      <c r="A847" s="3" t="s">
        <v>6983</v>
      </c>
      <c r="B847" s="3" t="s">
        <v>6989</v>
      </c>
      <c r="C847" s="3" t="s">
        <v>6985</v>
      </c>
      <c r="D847" s="3" t="s">
        <v>1138</v>
      </c>
      <c r="E847" s="3">
        <v>846</v>
      </c>
      <c r="F847" s="3" t="s">
        <v>3242</v>
      </c>
      <c r="G847" s="3" t="s">
        <v>13</v>
      </c>
      <c r="H847" s="4" t="s">
        <v>6746</v>
      </c>
    </row>
    <row r="848" spans="1:8" x14ac:dyDescent="0.25">
      <c r="A848" s="3" t="s">
        <v>6983</v>
      </c>
      <c r="B848" s="3" t="s">
        <v>6989</v>
      </c>
      <c r="C848" s="3" t="s">
        <v>6985</v>
      </c>
      <c r="D848" s="3" t="s">
        <v>1138</v>
      </c>
      <c r="E848" s="3">
        <v>847</v>
      </c>
      <c r="F848" s="3" t="s">
        <v>3243</v>
      </c>
      <c r="G848" s="3" t="s">
        <v>13</v>
      </c>
      <c r="H848" s="3" t="s">
        <v>6747</v>
      </c>
    </row>
    <row r="849" spans="1:10" x14ac:dyDescent="0.25">
      <c r="A849" s="3" t="s">
        <v>6983</v>
      </c>
      <c r="B849" s="3" t="s">
        <v>6989</v>
      </c>
      <c r="C849" s="3" t="s">
        <v>6985</v>
      </c>
      <c r="D849" s="3" t="s">
        <v>1138</v>
      </c>
      <c r="E849" s="3">
        <v>848</v>
      </c>
      <c r="F849" s="3" t="s">
        <v>3244</v>
      </c>
      <c r="G849" s="3" t="s">
        <v>13</v>
      </c>
      <c r="H849" s="4" t="s">
        <v>6748</v>
      </c>
    </row>
    <row r="850" spans="1:10" x14ac:dyDescent="0.25">
      <c r="A850" s="3" t="s">
        <v>6983</v>
      </c>
      <c r="B850" s="3" t="s">
        <v>6989</v>
      </c>
      <c r="C850" s="3" t="s">
        <v>6985</v>
      </c>
      <c r="D850" s="3" t="s">
        <v>1138</v>
      </c>
      <c r="E850" s="3">
        <v>849</v>
      </c>
      <c r="F850" s="3" t="s">
        <v>3245</v>
      </c>
      <c r="G850" s="3" t="s">
        <v>9</v>
      </c>
      <c r="H850" s="4" t="s">
        <v>6749</v>
      </c>
    </row>
    <row r="851" spans="1:10" x14ac:dyDescent="0.25">
      <c r="A851" s="3" t="s">
        <v>6983</v>
      </c>
      <c r="B851" s="3" t="s">
        <v>6989</v>
      </c>
      <c r="C851" s="3" t="s">
        <v>6985</v>
      </c>
      <c r="D851" s="3" t="s">
        <v>1138</v>
      </c>
      <c r="E851" s="3">
        <v>850</v>
      </c>
      <c r="F851" s="3" t="s">
        <v>3246</v>
      </c>
      <c r="G851" s="3" t="s">
        <v>13</v>
      </c>
      <c r="H851" s="4" t="s">
        <v>6750</v>
      </c>
    </row>
    <row r="852" spans="1:10" x14ac:dyDescent="0.25">
      <c r="A852" s="3" t="s">
        <v>6983</v>
      </c>
      <c r="B852" s="3" t="s">
        <v>6989</v>
      </c>
      <c r="C852" s="3" t="s">
        <v>6985</v>
      </c>
      <c r="D852" s="3" t="s">
        <v>1138</v>
      </c>
      <c r="E852" s="3">
        <v>851</v>
      </c>
      <c r="F852" s="3" t="s">
        <v>3247</v>
      </c>
      <c r="G852" s="3" t="s">
        <v>9</v>
      </c>
      <c r="H852" s="4" t="s">
        <v>6751</v>
      </c>
    </row>
    <row r="853" spans="1:10" x14ac:dyDescent="0.25">
      <c r="A853" s="3" t="s">
        <v>6983</v>
      </c>
      <c r="B853" s="3" t="s">
        <v>6989</v>
      </c>
      <c r="C853" s="3" t="s">
        <v>6985</v>
      </c>
      <c r="D853" s="3" t="s">
        <v>1138</v>
      </c>
      <c r="E853" s="3">
        <v>852</v>
      </c>
      <c r="F853" s="3" t="s">
        <v>3248</v>
      </c>
      <c r="G853" s="3" t="s">
        <v>13</v>
      </c>
      <c r="H853" s="4" t="s">
        <v>6752</v>
      </c>
    </row>
    <row r="854" spans="1:10" x14ac:dyDescent="0.25">
      <c r="A854" s="3" t="s">
        <v>6983</v>
      </c>
      <c r="B854" s="3" t="s">
        <v>6989</v>
      </c>
      <c r="C854" s="3" t="s">
        <v>6985</v>
      </c>
      <c r="D854" s="3" t="s">
        <v>1138</v>
      </c>
      <c r="E854" s="3">
        <v>853</v>
      </c>
      <c r="F854" s="3" t="s">
        <v>3249</v>
      </c>
      <c r="G854" s="3" t="s">
        <v>9</v>
      </c>
      <c r="H854" s="4" t="s">
        <v>6753</v>
      </c>
    </row>
    <row r="855" spans="1:10" x14ac:dyDescent="0.25">
      <c r="A855" s="3" t="s">
        <v>6983</v>
      </c>
      <c r="B855" s="3" t="s">
        <v>6989</v>
      </c>
      <c r="C855" s="3" t="s">
        <v>6985</v>
      </c>
      <c r="D855" s="3" t="s">
        <v>1138</v>
      </c>
      <c r="E855" s="3">
        <v>854</v>
      </c>
      <c r="F855" s="3" t="s">
        <v>2007</v>
      </c>
      <c r="G855" s="3" t="s">
        <v>13</v>
      </c>
      <c r="H855" s="4" t="s">
        <v>6754</v>
      </c>
      <c r="J855" s="3" t="s">
        <v>6649</v>
      </c>
    </row>
    <row r="856" spans="1:10" x14ac:dyDescent="0.25">
      <c r="A856" s="3" t="s">
        <v>6983</v>
      </c>
      <c r="B856" s="3" t="s">
        <v>6989</v>
      </c>
      <c r="C856" s="3" t="s">
        <v>6985</v>
      </c>
      <c r="D856" s="3" t="s">
        <v>1138</v>
      </c>
      <c r="E856" s="3">
        <v>855</v>
      </c>
      <c r="F856" s="3" t="s">
        <v>3250</v>
      </c>
      <c r="G856" s="3" t="s">
        <v>9</v>
      </c>
      <c r="H856" s="4" t="s">
        <v>6755</v>
      </c>
    </row>
    <row r="857" spans="1:10" x14ac:dyDescent="0.25">
      <c r="A857" s="3" t="s">
        <v>6983</v>
      </c>
      <c r="B857" s="3" t="s">
        <v>6989</v>
      </c>
      <c r="C857" s="3" t="s">
        <v>6985</v>
      </c>
      <c r="D857" s="3" t="s">
        <v>1138</v>
      </c>
      <c r="E857" s="3">
        <v>856</v>
      </c>
      <c r="F857" s="3" t="s">
        <v>3251</v>
      </c>
      <c r="G857" s="3" t="s">
        <v>13</v>
      </c>
      <c r="H857" s="4" t="s">
        <v>6756</v>
      </c>
    </row>
    <row r="858" spans="1:10" x14ac:dyDescent="0.25">
      <c r="A858" s="3" t="s">
        <v>6983</v>
      </c>
      <c r="B858" s="3" t="s">
        <v>6989</v>
      </c>
      <c r="C858" s="3" t="s">
        <v>6985</v>
      </c>
      <c r="D858" s="3" t="s">
        <v>1138</v>
      </c>
      <c r="E858" s="3">
        <v>857</v>
      </c>
      <c r="F858" s="3" t="s">
        <v>3252</v>
      </c>
      <c r="G858" s="3" t="s">
        <v>13</v>
      </c>
      <c r="H858" s="3" t="s">
        <v>6757</v>
      </c>
    </row>
    <row r="859" spans="1:10" x14ac:dyDescent="0.25">
      <c r="A859" s="3" t="s">
        <v>6983</v>
      </c>
      <c r="B859" s="3" t="s">
        <v>6989</v>
      </c>
      <c r="C859" s="3" t="s">
        <v>6985</v>
      </c>
      <c r="D859" s="3" t="s">
        <v>1138</v>
      </c>
      <c r="E859" s="3">
        <v>858</v>
      </c>
      <c r="F859" s="3" t="s">
        <v>3253</v>
      </c>
      <c r="G859" s="3" t="s">
        <v>13</v>
      </c>
      <c r="H859" s="4" t="s">
        <v>6758</v>
      </c>
    </row>
    <row r="860" spans="1:10" x14ac:dyDescent="0.25">
      <c r="A860" s="3" t="s">
        <v>6983</v>
      </c>
      <c r="B860" s="3" t="s">
        <v>6989</v>
      </c>
      <c r="C860" s="3" t="s">
        <v>6985</v>
      </c>
      <c r="D860" s="3" t="s">
        <v>1138</v>
      </c>
      <c r="E860" s="3">
        <v>859</v>
      </c>
      <c r="F860" s="3" t="s">
        <v>3254</v>
      </c>
      <c r="G860" s="3" t="s">
        <v>9</v>
      </c>
      <c r="H860" s="4" t="s">
        <v>6759</v>
      </c>
    </row>
    <row r="861" spans="1:10" x14ac:dyDescent="0.25">
      <c r="A861" s="3" t="s">
        <v>6983</v>
      </c>
      <c r="B861" s="3" t="s">
        <v>6989</v>
      </c>
      <c r="C861" s="3" t="s">
        <v>6985</v>
      </c>
      <c r="D861" s="3" t="s">
        <v>1138</v>
      </c>
      <c r="E861" s="3">
        <v>860</v>
      </c>
      <c r="F861" s="3" t="s">
        <v>3255</v>
      </c>
      <c r="G861" s="3" t="s">
        <v>13</v>
      </c>
      <c r="H861" s="4" t="s">
        <v>6760</v>
      </c>
    </row>
    <row r="862" spans="1:10" x14ac:dyDescent="0.25">
      <c r="A862" s="3" t="s">
        <v>6983</v>
      </c>
      <c r="B862" s="3" t="s">
        <v>6989</v>
      </c>
      <c r="C862" s="3" t="s">
        <v>6985</v>
      </c>
      <c r="D862" s="3" t="s">
        <v>1138</v>
      </c>
      <c r="E862" s="3">
        <v>861</v>
      </c>
      <c r="F862" s="3" t="s">
        <v>3256</v>
      </c>
      <c r="G862" s="3" t="s">
        <v>9</v>
      </c>
      <c r="H862" s="4" t="s">
        <v>6761</v>
      </c>
    </row>
    <row r="863" spans="1:10" x14ac:dyDescent="0.25">
      <c r="A863" s="3" t="s">
        <v>6983</v>
      </c>
      <c r="B863" s="3" t="s">
        <v>6989</v>
      </c>
      <c r="C863" s="3" t="s">
        <v>6985</v>
      </c>
      <c r="D863" s="3" t="s">
        <v>1138</v>
      </c>
      <c r="E863" s="3">
        <v>862</v>
      </c>
      <c r="F863" s="3" t="s">
        <v>3257</v>
      </c>
      <c r="G863" s="3" t="s">
        <v>13</v>
      </c>
      <c r="H863" s="4" t="s">
        <v>6762</v>
      </c>
    </row>
    <row r="864" spans="1:10" x14ac:dyDescent="0.25">
      <c r="A864" s="3" t="s">
        <v>6983</v>
      </c>
      <c r="B864" s="3" t="s">
        <v>6989</v>
      </c>
      <c r="C864" s="3" t="s">
        <v>6985</v>
      </c>
      <c r="D864" s="3" t="s">
        <v>1138</v>
      </c>
      <c r="E864" s="3">
        <v>863</v>
      </c>
      <c r="F864" s="3" t="s">
        <v>3258</v>
      </c>
      <c r="G864" s="3" t="s">
        <v>9</v>
      </c>
      <c r="H864" s="4" t="s">
        <v>6763</v>
      </c>
    </row>
    <row r="865" spans="1:9" x14ac:dyDescent="0.25">
      <c r="A865" s="3" t="s">
        <v>6983</v>
      </c>
      <c r="B865" s="3" t="s">
        <v>6989</v>
      </c>
      <c r="C865" s="3" t="s">
        <v>6985</v>
      </c>
      <c r="D865" s="3" t="s">
        <v>1138</v>
      </c>
      <c r="E865" s="3">
        <v>864</v>
      </c>
      <c r="F865" s="3" t="s">
        <v>3259</v>
      </c>
      <c r="G865" s="3" t="s">
        <v>1104</v>
      </c>
    </row>
    <row r="866" spans="1:9" ht="15" customHeight="1" x14ac:dyDescent="0.25">
      <c r="A866" s="3" t="s">
        <v>6983</v>
      </c>
      <c r="B866" s="3" t="s">
        <v>6989</v>
      </c>
      <c r="C866" s="3" t="s">
        <v>6985</v>
      </c>
      <c r="D866" s="3" t="s">
        <v>1138</v>
      </c>
      <c r="E866" s="3">
        <v>865</v>
      </c>
      <c r="F866" s="3" t="s">
        <v>711</v>
      </c>
      <c r="G866" s="3" t="s">
        <v>4</v>
      </c>
      <c r="H866" s="4" t="s">
        <v>1191</v>
      </c>
      <c r="I866" s="3" t="s">
        <v>1179</v>
      </c>
    </row>
    <row r="867" spans="1:9" x14ac:dyDescent="0.25">
      <c r="A867" s="3" t="s">
        <v>6983</v>
      </c>
      <c r="B867" s="3" t="s">
        <v>6989</v>
      </c>
      <c r="C867" s="3" t="s">
        <v>6985</v>
      </c>
      <c r="D867" s="3" t="s">
        <v>1138</v>
      </c>
      <c r="E867" s="3">
        <v>866</v>
      </c>
      <c r="F867" s="3" t="s">
        <v>712</v>
      </c>
      <c r="G867" s="3" t="s">
        <v>4</v>
      </c>
      <c r="H867" s="4" t="s">
        <v>1192</v>
      </c>
      <c r="I867" s="3" t="s">
        <v>1179</v>
      </c>
    </row>
    <row r="868" spans="1:9" x14ac:dyDescent="0.25">
      <c r="A868" s="3" t="s">
        <v>6983</v>
      </c>
      <c r="B868" s="3" t="s">
        <v>6989</v>
      </c>
      <c r="C868" s="3" t="s">
        <v>6985</v>
      </c>
      <c r="D868" s="3" t="s">
        <v>1138</v>
      </c>
      <c r="E868" s="3">
        <v>867</v>
      </c>
      <c r="F868" s="3" t="s">
        <v>713</v>
      </c>
      <c r="G868" s="3" t="s">
        <v>1093</v>
      </c>
      <c r="H868" s="4" t="s">
        <v>1193</v>
      </c>
      <c r="I868" s="3" t="s">
        <v>1179</v>
      </c>
    </row>
    <row r="869" spans="1:9" x14ac:dyDescent="0.25">
      <c r="A869" s="3" t="s">
        <v>6983</v>
      </c>
      <c r="B869" s="3" t="s">
        <v>6989</v>
      </c>
      <c r="C869" s="3" t="s">
        <v>6985</v>
      </c>
      <c r="D869" s="3" t="s">
        <v>1138</v>
      </c>
      <c r="E869" s="3">
        <v>868</v>
      </c>
      <c r="F869" s="3" t="s">
        <v>714</v>
      </c>
      <c r="G869" s="3" t="s">
        <v>1093</v>
      </c>
      <c r="H869" s="4" t="s">
        <v>1194</v>
      </c>
      <c r="I869" s="3" t="s">
        <v>1179</v>
      </c>
    </row>
    <row r="870" spans="1:9" x14ac:dyDescent="0.25">
      <c r="A870" s="3" t="s">
        <v>6983</v>
      </c>
      <c r="B870" s="3" t="s">
        <v>6989</v>
      </c>
      <c r="C870" s="3" t="s">
        <v>6985</v>
      </c>
      <c r="D870" s="3" t="s">
        <v>1138</v>
      </c>
      <c r="E870" s="3">
        <v>869</v>
      </c>
      <c r="F870" s="3" t="s">
        <v>715</v>
      </c>
      <c r="G870" s="3" t="s">
        <v>1093</v>
      </c>
      <c r="H870" s="4" t="s">
        <v>1195</v>
      </c>
      <c r="I870" s="3" t="s">
        <v>1179</v>
      </c>
    </row>
    <row r="871" spans="1:9" x14ac:dyDescent="0.25">
      <c r="A871" s="3" t="s">
        <v>6983</v>
      </c>
      <c r="B871" s="3" t="s">
        <v>6989</v>
      </c>
      <c r="C871" s="3" t="s">
        <v>6985</v>
      </c>
      <c r="D871" s="3" t="s">
        <v>1138</v>
      </c>
      <c r="E871" s="3">
        <v>870</v>
      </c>
      <c r="F871" s="3" t="s">
        <v>716</v>
      </c>
      <c r="G871" s="3" t="s">
        <v>1093</v>
      </c>
      <c r="H871" s="4" t="s">
        <v>1196</v>
      </c>
      <c r="I871" s="3" t="s">
        <v>1179</v>
      </c>
    </row>
    <row r="872" spans="1:9" x14ac:dyDescent="0.25">
      <c r="A872" s="3" t="s">
        <v>6983</v>
      </c>
      <c r="B872" s="3" t="s">
        <v>6989</v>
      </c>
      <c r="C872" s="3" t="s">
        <v>6985</v>
      </c>
      <c r="D872" s="3" t="s">
        <v>1138</v>
      </c>
      <c r="E872" s="3">
        <v>871</v>
      </c>
      <c r="F872" s="3" t="s">
        <v>717</v>
      </c>
      <c r="G872" s="3" t="s">
        <v>1093</v>
      </c>
      <c r="H872" s="4" t="s">
        <v>1197</v>
      </c>
      <c r="I872" s="3" t="s">
        <v>1179</v>
      </c>
    </row>
    <row r="873" spans="1:9" x14ac:dyDescent="0.25">
      <c r="A873" s="3" t="s">
        <v>6983</v>
      </c>
      <c r="B873" s="3" t="s">
        <v>6989</v>
      </c>
      <c r="C873" s="3" t="s">
        <v>6985</v>
      </c>
      <c r="D873" s="3" t="s">
        <v>1138</v>
      </c>
      <c r="E873" s="3">
        <v>872</v>
      </c>
      <c r="F873" s="3" t="s">
        <v>719</v>
      </c>
      <c r="G873" s="3" t="s">
        <v>1093</v>
      </c>
      <c r="H873" s="4" t="s">
        <v>1198</v>
      </c>
      <c r="I873" s="3" t="s">
        <v>1179</v>
      </c>
    </row>
    <row r="874" spans="1:9" x14ac:dyDescent="0.25">
      <c r="A874" s="3" t="s">
        <v>6983</v>
      </c>
      <c r="B874" s="3" t="s">
        <v>6989</v>
      </c>
      <c r="C874" s="3" t="s">
        <v>6985</v>
      </c>
      <c r="D874" s="3" t="s">
        <v>1138</v>
      </c>
      <c r="E874" s="3">
        <v>873</v>
      </c>
      <c r="F874" s="3" t="s">
        <v>720</v>
      </c>
      <c r="G874" s="3" t="s">
        <v>9</v>
      </c>
      <c r="H874" s="4" t="s">
        <v>1199</v>
      </c>
      <c r="I874" s="3" t="s">
        <v>1179</v>
      </c>
    </row>
    <row r="875" spans="1:9" x14ac:dyDescent="0.25">
      <c r="A875" s="3" t="s">
        <v>6983</v>
      </c>
      <c r="B875" s="3" t="s">
        <v>6989</v>
      </c>
      <c r="C875" s="3" t="s">
        <v>6985</v>
      </c>
      <c r="D875" s="3" t="s">
        <v>1138</v>
      </c>
      <c r="E875" s="3">
        <v>874</v>
      </c>
      <c r="F875" s="3" t="s">
        <v>721</v>
      </c>
      <c r="G875" s="3" t="s">
        <v>1093</v>
      </c>
      <c r="H875" s="4" t="s">
        <v>1295</v>
      </c>
      <c r="I875" s="3" t="s">
        <v>1179</v>
      </c>
    </row>
    <row r="876" spans="1:9" x14ac:dyDescent="0.25">
      <c r="A876" s="3" t="s">
        <v>6983</v>
      </c>
      <c r="B876" s="3" t="s">
        <v>6989</v>
      </c>
      <c r="C876" s="3" t="s">
        <v>6985</v>
      </c>
      <c r="D876" s="3" t="s">
        <v>1138</v>
      </c>
      <c r="E876" s="3">
        <v>875</v>
      </c>
      <c r="F876" s="3" t="s">
        <v>722</v>
      </c>
      <c r="G876" s="3" t="s">
        <v>1093</v>
      </c>
      <c r="H876" s="4" t="s">
        <v>1296</v>
      </c>
      <c r="I876" s="3" t="s">
        <v>1179</v>
      </c>
    </row>
    <row r="877" spans="1:9" x14ac:dyDescent="0.25">
      <c r="A877" s="3" t="s">
        <v>6983</v>
      </c>
      <c r="B877" s="3" t="s">
        <v>6989</v>
      </c>
      <c r="C877" s="3" t="s">
        <v>6985</v>
      </c>
      <c r="D877" s="3" t="s">
        <v>1138</v>
      </c>
      <c r="E877" s="3">
        <v>876</v>
      </c>
      <c r="F877" s="3" t="s">
        <v>3260</v>
      </c>
      <c r="G877" s="3" t="s">
        <v>1093</v>
      </c>
      <c r="H877" s="4" t="s">
        <v>6685</v>
      </c>
      <c r="I877" s="3" t="s">
        <v>1179</v>
      </c>
    </row>
    <row r="878" spans="1:9" x14ac:dyDescent="0.25">
      <c r="A878" s="3" t="s">
        <v>6983</v>
      </c>
      <c r="B878" s="3" t="s">
        <v>6989</v>
      </c>
      <c r="C878" s="3" t="s">
        <v>6985</v>
      </c>
      <c r="D878" s="3" t="s">
        <v>1138</v>
      </c>
      <c r="E878" s="3">
        <v>877</v>
      </c>
      <c r="F878" s="3" t="s">
        <v>3261</v>
      </c>
      <c r="G878" s="3" t="s">
        <v>1093</v>
      </c>
      <c r="H878" s="4" t="s">
        <v>6686</v>
      </c>
      <c r="I878" s="3" t="s">
        <v>1179</v>
      </c>
    </row>
    <row r="879" spans="1:9" ht="15" customHeight="1" x14ac:dyDescent="0.25">
      <c r="A879" s="3" t="s">
        <v>6983</v>
      </c>
      <c r="B879" s="3" t="s">
        <v>6989</v>
      </c>
      <c r="C879" s="3" t="s">
        <v>6985</v>
      </c>
      <c r="D879" s="3" t="s">
        <v>1138</v>
      </c>
      <c r="E879" s="3">
        <v>878</v>
      </c>
      <c r="F879" s="3" t="s">
        <v>3262</v>
      </c>
      <c r="G879" s="3" t="s">
        <v>4</v>
      </c>
      <c r="H879" s="4" t="s">
        <v>6399</v>
      </c>
      <c r="I879" s="3" t="s">
        <v>1179</v>
      </c>
    </row>
    <row r="880" spans="1:9" x14ac:dyDescent="0.25">
      <c r="A880" s="3" t="s">
        <v>6983</v>
      </c>
      <c r="B880" s="3" t="s">
        <v>6989</v>
      </c>
      <c r="C880" s="3" t="s">
        <v>6985</v>
      </c>
      <c r="D880" s="3" t="s">
        <v>1138</v>
      </c>
      <c r="E880" s="3">
        <v>879</v>
      </c>
      <c r="F880" s="3" t="s">
        <v>3263</v>
      </c>
      <c r="G880" s="3" t="s">
        <v>4</v>
      </c>
      <c r="H880" s="4" t="s">
        <v>6400</v>
      </c>
      <c r="I880" s="3" t="s">
        <v>1179</v>
      </c>
    </row>
    <row r="881" spans="1:9" x14ac:dyDescent="0.25">
      <c r="A881" s="3" t="s">
        <v>6983</v>
      </c>
      <c r="B881" s="3" t="s">
        <v>6989</v>
      </c>
      <c r="C881" s="3" t="s">
        <v>6985</v>
      </c>
      <c r="D881" s="3" t="s">
        <v>1138</v>
      </c>
      <c r="E881" s="3">
        <v>880</v>
      </c>
      <c r="F881" s="3" t="s">
        <v>3264</v>
      </c>
      <c r="G881" s="3" t="s">
        <v>1093</v>
      </c>
      <c r="H881" s="4" t="s">
        <v>6401</v>
      </c>
      <c r="I881" s="3" t="s">
        <v>1179</v>
      </c>
    </row>
    <row r="882" spans="1:9" x14ac:dyDescent="0.25">
      <c r="A882" s="3" t="s">
        <v>6983</v>
      </c>
      <c r="B882" s="3" t="s">
        <v>6989</v>
      </c>
      <c r="C882" s="3" t="s">
        <v>6985</v>
      </c>
      <c r="D882" s="3" t="s">
        <v>1138</v>
      </c>
      <c r="E882" s="3">
        <v>881</v>
      </c>
      <c r="F882" s="3" t="s">
        <v>3265</v>
      </c>
      <c r="G882" s="3" t="s">
        <v>1093</v>
      </c>
      <c r="H882" s="4" t="s">
        <v>6402</v>
      </c>
      <c r="I882" s="3" t="s">
        <v>1179</v>
      </c>
    </row>
    <row r="883" spans="1:9" x14ac:dyDescent="0.25">
      <c r="A883" s="3" t="s">
        <v>6983</v>
      </c>
      <c r="B883" s="3" t="s">
        <v>6989</v>
      </c>
      <c r="C883" s="3" t="s">
        <v>6985</v>
      </c>
      <c r="D883" s="3" t="s">
        <v>1138</v>
      </c>
      <c r="E883" s="3">
        <v>882</v>
      </c>
      <c r="F883" s="3" t="s">
        <v>3266</v>
      </c>
      <c r="G883" s="3" t="s">
        <v>1093</v>
      </c>
      <c r="H883" s="4" t="s">
        <v>6403</v>
      </c>
      <c r="I883" s="3" t="s">
        <v>1179</v>
      </c>
    </row>
    <row r="884" spans="1:9" x14ac:dyDescent="0.25">
      <c r="A884" s="3" t="s">
        <v>6983</v>
      </c>
      <c r="B884" s="3" t="s">
        <v>6989</v>
      </c>
      <c r="C884" s="3" t="s">
        <v>6985</v>
      </c>
      <c r="D884" s="3" t="s">
        <v>1138</v>
      </c>
      <c r="E884" s="3">
        <v>883</v>
      </c>
      <c r="F884" s="3" t="s">
        <v>3267</v>
      </c>
      <c r="G884" s="3" t="s">
        <v>1093</v>
      </c>
      <c r="H884" s="4" t="s">
        <v>6404</v>
      </c>
      <c r="I884" s="3" t="s">
        <v>1179</v>
      </c>
    </row>
    <row r="885" spans="1:9" x14ac:dyDescent="0.25">
      <c r="A885" s="3" t="s">
        <v>6983</v>
      </c>
      <c r="B885" s="3" t="s">
        <v>6989</v>
      </c>
      <c r="C885" s="3" t="s">
        <v>6985</v>
      </c>
      <c r="D885" s="3" t="s">
        <v>1138</v>
      </c>
      <c r="E885" s="3">
        <v>884</v>
      </c>
      <c r="F885" s="3" t="s">
        <v>3268</v>
      </c>
      <c r="G885" s="3" t="s">
        <v>1093</v>
      </c>
      <c r="H885" s="4" t="s">
        <v>6405</v>
      </c>
      <c r="I885" s="3" t="s">
        <v>1179</v>
      </c>
    </row>
    <row r="886" spans="1:9" x14ac:dyDescent="0.25">
      <c r="A886" s="3" t="s">
        <v>6983</v>
      </c>
      <c r="B886" s="3" t="s">
        <v>6989</v>
      </c>
      <c r="C886" s="3" t="s">
        <v>6985</v>
      </c>
      <c r="D886" s="3" t="s">
        <v>1138</v>
      </c>
      <c r="E886" s="3">
        <v>885</v>
      </c>
      <c r="F886" s="3" t="s">
        <v>3269</v>
      </c>
      <c r="G886" s="3" t="s">
        <v>1093</v>
      </c>
      <c r="H886" s="4" t="s">
        <v>6406</v>
      </c>
      <c r="I886" s="3" t="s">
        <v>1179</v>
      </c>
    </row>
    <row r="887" spans="1:9" x14ac:dyDescent="0.25">
      <c r="A887" s="3" t="s">
        <v>6983</v>
      </c>
      <c r="B887" s="3" t="s">
        <v>6989</v>
      </c>
      <c r="C887" s="3" t="s">
        <v>6985</v>
      </c>
      <c r="D887" s="3" t="s">
        <v>1138</v>
      </c>
      <c r="E887" s="3">
        <v>886</v>
      </c>
      <c r="F887" s="3" t="s">
        <v>3270</v>
      </c>
      <c r="G887" s="3" t="s">
        <v>9</v>
      </c>
      <c r="H887" s="4" t="s">
        <v>6407</v>
      </c>
      <c r="I887" s="3" t="s">
        <v>1179</v>
      </c>
    </row>
    <row r="888" spans="1:9" x14ac:dyDescent="0.25">
      <c r="A888" s="3" t="s">
        <v>6983</v>
      </c>
      <c r="B888" s="3" t="s">
        <v>6989</v>
      </c>
      <c r="C888" s="3" t="s">
        <v>6985</v>
      </c>
      <c r="D888" s="3" t="s">
        <v>1138</v>
      </c>
      <c r="E888" s="3">
        <v>887</v>
      </c>
      <c r="F888" s="3" t="s">
        <v>3271</v>
      </c>
      <c r="G888" s="3" t="s">
        <v>1093</v>
      </c>
      <c r="H888" s="4" t="s">
        <v>6408</v>
      </c>
      <c r="I888" s="3" t="s">
        <v>1179</v>
      </c>
    </row>
    <row r="889" spans="1:9" x14ac:dyDescent="0.25">
      <c r="A889" s="3" t="s">
        <v>6983</v>
      </c>
      <c r="B889" s="3" t="s">
        <v>6989</v>
      </c>
      <c r="C889" s="3" t="s">
        <v>6985</v>
      </c>
      <c r="D889" s="3" t="s">
        <v>1138</v>
      </c>
      <c r="E889" s="3">
        <v>888</v>
      </c>
      <c r="F889" s="3" t="s">
        <v>3272</v>
      </c>
      <c r="G889" s="3" t="s">
        <v>1093</v>
      </c>
      <c r="H889" s="4" t="s">
        <v>6409</v>
      </c>
      <c r="I889" s="3" t="s">
        <v>1179</v>
      </c>
    </row>
    <row r="890" spans="1:9" x14ac:dyDescent="0.25">
      <c r="A890" s="3" t="s">
        <v>6983</v>
      </c>
      <c r="B890" s="3" t="s">
        <v>6989</v>
      </c>
      <c r="C890" s="3" t="s">
        <v>6985</v>
      </c>
      <c r="D890" s="3" t="s">
        <v>1138</v>
      </c>
      <c r="E890" s="3">
        <v>889</v>
      </c>
      <c r="F890" s="3" t="s">
        <v>3273</v>
      </c>
      <c r="G890" s="3" t="s">
        <v>1093</v>
      </c>
      <c r="H890" s="4" t="s">
        <v>6683</v>
      </c>
      <c r="I890" s="3" t="s">
        <v>1179</v>
      </c>
    </row>
    <row r="891" spans="1:9" x14ac:dyDescent="0.25">
      <c r="A891" s="3" t="s">
        <v>6983</v>
      </c>
      <c r="B891" s="3" t="s">
        <v>6989</v>
      </c>
      <c r="C891" s="3" t="s">
        <v>6985</v>
      </c>
      <c r="D891" s="3" t="s">
        <v>1138</v>
      </c>
      <c r="E891" s="3">
        <v>890</v>
      </c>
      <c r="F891" s="3" t="s">
        <v>3274</v>
      </c>
      <c r="G891" s="3" t="s">
        <v>1093</v>
      </c>
      <c r="H891" s="4" t="s">
        <v>6684</v>
      </c>
      <c r="I891" s="3" t="s">
        <v>1179</v>
      </c>
    </row>
    <row r="892" spans="1:9" ht="15" customHeight="1" x14ac:dyDescent="0.25">
      <c r="A892" s="3" t="s">
        <v>6983</v>
      </c>
      <c r="B892" s="3" t="s">
        <v>6989</v>
      </c>
      <c r="C892" s="3" t="s">
        <v>6985</v>
      </c>
      <c r="D892" s="3" t="s">
        <v>1138</v>
      </c>
      <c r="E892" s="3">
        <v>891</v>
      </c>
      <c r="F892" s="3" t="s">
        <v>3275</v>
      </c>
      <c r="G892" s="3" t="s">
        <v>4</v>
      </c>
      <c r="H892" s="4" t="s">
        <v>6379</v>
      </c>
      <c r="I892" s="3" t="s">
        <v>1179</v>
      </c>
    </row>
    <row r="893" spans="1:9" x14ac:dyDescent="0.25">
      <c r="A893" s="3" t="s">
        <v>6983</v>
      </c>
      <c r="B893" s="3" t="s">
        <v>6989</v>
      </c>
      <c r="C893" s="3" t="s">
        <v>6985</v>
      </c>
      <c r="D893" s="3" t="s">
        <v>1138</v>
      </c>
      <c r="E893" s="3">
        <v>892</v>
      </c>
      <c r="F893" s="3" t="s">
        <v>3276</v>
      </c>
      <c r="G893" s="3" t="s">
        <v>4</v>
      </c>
      <c r="H893" s="4" t="s">
        <v>6380</v>
      </c>
      <c r="I893" s="3" t="s">
        <v>1179</v>
      </c>
    </row>
    <row r="894" spans="1:9" x14ac:dyDescent="0.25">
      <c r="A894" s="3" t="s">
        <v>6983</v>
      </c>
      <c r="B894" s="3" t="s">
        <v>6989</v>
      </c>
      <c r="C894" s="3" t="s">
        <v>6985</v>
      </c>
      <c r="D894" s="3" t="s">
        <v>1138</v>
      </c>
      <c r="E894" s="3">
        <v>893</v>
      </c>
      <c r="F894" s="3" t="s">
        <v>3277</v>
      </c>
      <c r="G894" s="3" t="s">
        <v>1093</v>
      </c>
      <c r="H894" s="4" t="s">
        <v>6650</v>
      </c>
      <c r="I894" s="3" t="s">
        <v>1179</v>
      </c>
    </row>
    <row r="895" spans="1:9" x14ac:dyDescent="0.25">
      <c r="A895" s="3" t="s">
        <v>6983</v>
      </c>
      <c r="B895" s="3" t="s">
        <v>6989</v>
      </c>
      <c r="C895" s="3" t="s">
        <v>6985</v>
      </c>
      <c r="D895" s="3" t="s">
        <v>1138</v>
      </c>
      <c r="E895" s="3">
        <v>894</v>
      </c>
      <c r="F895" s="3" t="s">
        <v>3278</v>
      </c>
      <c r="G895" s="3" t="s">
        <v>1093</v>
      </c>
      <c r="H895" s="4" t="s">
        <v>6381</v>
      </c>
      <c r="I895" s="3" t="s">
        <v>1179</v>
      </c>
    </row>
    <row r="896" spans="1:9" x14ac:dyDescent="0.25">
      <c r="A896" s="3" t="s">
        <v>6983</v>
      </c>
      <c r="B896" s="3" t="s">
        <v>6989</v>
      </c>
      <c r="C896" s="3" t="s">
        <v>6985</v>
      </c>
      <c r="D896" s="3" t="s">
        <v>1138</v>
      </c>
      <c r="E896" s="3">
        <v>895</v>
      </c>
      <c r="F896" s="3" t="s">
        <v>3279</v>
      </c>
      <c r="G896" s="3" t="s">
        <v>1093</v>
      </c>
      <c r="H896" s="4" t="s">
        <v>6382</v>
      </c>
      <c r="I896" s="3" t="s">
        <v>1179</v>
      </c>
    </row>
    <row r="897" spans="1:9" x14ac:dyDescent="0.25">
      <c r="A897" s="3" t="s">
        <v>6983</v>
      </c>
      <c r="B897" s="3" t="s">
        <v>6989</v>
      </c>
      <c r="C897" s="3" t="s">
        <v>6985</v>
      </c>
      <c r="D897" s="3" t="s">
        <v>1138</v>
      </c>
      <c r="E897" s="3">
        <v>896</v>
      </c>
      <c r="F897" s="3" t="s">
        <v>3280</v>
      </c>
      <c r="G897" s="3" t="s">
        <v>1093</v>
      </c>
      <c r="H897" s="4" t="s">
        <v>6383</v>
      </c>
      <c r="I897" s="3" t="s">
        <v>1179</v>
      </c>
    </row>
    <row r="898" spans="1:9" x14ac:dyDescent="0.25">
      <c r="A898" s="3" t="s">
        <v>6983</v>
      </c>
      <c r="B898" s="3" t="s">
        <v>6989</v>
      </c>
      <c r="C898" s="3" t="s">
        <v>6985</v>
      </c>
      <c r="D898" s="3" t="s">
        <v>1138</v>
      </c>
      <c r="E898" s="3">
        <v>897</v>
      </c>
      <c r="F898" s="3" t="s">
        <v>3281</v>
      </c>
      <c r="G898" s="3" t="s">
        <v>9</v>
      </c>
      <c r="H898" s="4" t="s">
        <v>6384</v>
      </c>
      <c r="I898" s="3" t="s">
        <v>1179</v>
      </c>
    </row>
    <row r="899" spans="1:9" x14ac:dyDescent="0.25">
      <c r="A899" s="3" t="s">
        <v>6983</v>
      </c>
      <c r="B899" s="3" t="s">
        <v>6989</v>
      </c>
      <c r="C899" s="3" t="s">
        <v>6985</v>
      </c>
      <c r="D899" s="3" t="s">
        <v>1138</v>
      </c>
      <c r="E899" s="3">
        <v>898</v>
      </c>
      <c r="F899" s="3" t="s">
        <v>3282</v>
      </c>
      <c r="G899" s="3" t="s">
        <v>1093</v>
      </c>
      <c r="H899" s="4" t="s">
        <v>6385</v>
      </c>
      <c r="I899" s="3" t="s">
        <v>1179</v>
      </c>
    </row>
    <row r="900" spans="1:9" x14ac:dyDescent="0.25">
      <c r="A900" s="3" t="s">
        <v>6983</v>
      </c>
      <c r="B900" s="3" t="s">
        <v>6989</v>
      </c>
      <c r="C900" s="3" t="s">
        <v>6985</v>
      </c>
      <c r="D900" s="3" t="s">
        <v>1138</v>
      </c>
      <c r="E900" s="3">
        <v>899</v>
      </c>
      <c r="F900" s="3" t="s">
        <v>3283</v>
      </c>
      <c r="G900" s="3" t="s">
        <v>1093</v>
      </c>
      <c r="H900" s="4" t="s">
        <v>6386</v>
      </c>
      <c r="I900" s="3" t="s">
        <v>1179</v>
      </c>
    </row>
    <row r="901" spans="1:9" x14ac:dyDescent="0.25">
      <c r="A901" s="3" t="s">
        <v>6983</v>
      </c>
      <c r="B901" s="3" t="s">
        <v>6989</v>
      </c>
      <c r="C901" s="3" t="s">
        <v>6985</v>
      </c>
      <c r="D901" s="3" t="s">
        <v>1138</v>
      </c>
      <c r="E901" s="3">
        <v>900</v>
      </c>
      <c r="F901" s="3" t="s">
        <v>3284</v>
      </c>
      <c r="G901" s="3" t="s">
        <v>9</v>
      </c>
      <c r="H901" s="4" t="s">
        <v>6387</v>
      </c>
      <c r="I901" s="3" t="s">
        <v>1179</v>
      </c>
    </row>
    <row r="902" spans="1:9" x14ac:dyDescent="0.25">
      <c r="A902" s="3" t="s">
        <v>6983</v>
      </c>
      <c r="B902" s="3" t="s">
        <v>6989</v>
      </c>
      <c r="C902" s="3" t="s">
        <v>6985</v>
      </c>
      <c r="D902" s="3" t="s">
        <v>1138</v>
      </c>
      <c r="E902" s="3">
        <v>901</v>
      </c>
      <c r="F902" s="3" t="s">
        <v>3285</v>
      </c>
      <c r="G902" s="3" t="s">
        <v>19</v>
      </c>
      <c r="H902" s="4" t="s">
        <v>6682</v>
      </c>
      <c r="I902" s="3" t="s">
        <v>1179</v>
      </c>
    </row>
    <row r="903" spans="1:9" x14ac:dyDescent="0.25">
      <c r="A903" s="3" t="s">
        <v>6983</v>
      </c>
      <c r="B903" s="3" t="s">
        <v>6989</v>
      </c>
      <c r="C903" s="3" t="s">
        <v>6985</v>
      </c>
      <c r="D903" s="3" t="s">
        <v>1138</v>
      </c>
      <c r="E903" s="3">
        <v>902</v>
      </c>
      <c r="F903" s="3" t="s">
        <v>3286</v>
      </c>
      <c r="G903" s="3" t="s">
        <v>16</v>
      </c>
      <c r="H903" s="4" t="s">
        <v>6678</v>
      </c>
      <c r="I903" s="3" t="s">
        <v>1179</v>
      </c>
    </row>
    <row r="904" spans="1:9" x14ac:dyDescent="0.25">
      <c r="A904" s="3" t="s">
        <v>6983</v>
      </c>
      <c r="B904" s="3" t="s">
        <v>6989</v>
      </c>
      <c r="C904" s="3" t="s">
        <v>6985</v>
      </c>
      <c r="D904" s="3" t="s">
        <v>1138</v>
      </c>
      <c r="E904" s="3">
        <v>903</v>
      </c>
      <c r="F904" s="3" t="s">
        <v>3287</v>
      </c>
      <c r="G904" s="3" t="s">
        <v>1093</v>
      </c>
      <c r="H904" s="4" t="s">
        <v>6679</v>
      </c>
      <c r="I904" s="3" t="s">
        <v>1179</v>
      </c>
    </row>
    <row r="905" spans="1:9" x14ac:dyDescent="0.25">
      <c r="A905" s="3" t="s">
        <v>6983</v>
      </c>
      <c r="B905" s="3" t="s">
        <v>6989</v>
      </c>
      <c r="C905" s="3" t="s">
        <v>6985</v>
      </c>
      <c r="D905" s="3" t="s">
        <v>1138</v>
      </c>
      <c r="E905" s="3">
        <v>904</v>
      </c>
      <c r="F905" s="3" t="s">
        <v>3288</v>
      </c>
      <c r="G905" s="3" t="s">
        <v>1093</v>
      </c>
      <c r="H905" s="4" t="s">
        <v>6680</v>
      </c>
      <c r="I905" s="3" t="s">
        <v>1179</v>
      </c>
    </row>
    <row r="906" spans="1:9" x14ac:dyDescent="0.25">
      <c r="A906" s="3" t="s">
        <v>6983</v>
      </c>
      <c r="B906" s="3" t="s">
        <v>6989</v>
      </c>
      <c r="C906" s="3" t="s">
        <v>6985</v>
      </c>
      <c r="D906" s="3" t="s">
        <v>1138</v>
      </c>
      <c r="E906" s="3">
        <v>905</v>
      </c>
      <c r="F906" s="3" t="s">
        <v>3289</v>
      </c>
      <c r="G906" s="3" t="s">
        <v>1093</v>
      </c>
      <c r="H906" s="4" t="s">
        <v>6681</v>
      </c>
      <c r="I906" s="3" t="s">
        <v>1179</v>
      </c>
    </row>
    <row r="907" spans="1:9" x14ac:dyDescent="0.25">
      <c r="A907" s="3" t="s">
        <v>6983</v>
      </c>
      <c r="B907" s="3" t="s">
        <v>6989</v>
      </c>
      <c r="C907" s="3" t="s">
        <v>6985</v>
      </c>
      <c r="D907" s="3" t="s">
        <v>1138</v>
      </c>
      <c r="E907" s="3">
        <v>906</v>
      </c>
      <c r="F907" s="3" t="s">
        <v>3290</v>
      </c>
      <c r="G907" s="3" t="s">
        <v>4</v>
      </c>
      <c r="H907" s="4" t="s">
        <v>6676</v>
      </c>
      <c r="I907" s="3" t="s">
        <v>1179</v>
      </c>
    </row>
    <row r="908" spans="1:9" x14ac:dyDescent="0.25">
      <c r="A908" s="3" t="s">
        <v>6983</v>
      </c>
      <c r="B908" s="3" t="s">
        <v>6989</v>
      </c>
      <c r="C908" s="3" t="s">
        <v>6985</v>
      </c>
      <c r="D908" s="3" t="s">
        <v>1138</v>
      </c>
      <c r="E908" s="3">
        <v>907</v>
      </c>
      <c r="F908" s="3" t="s">
        <v>3291</v>
      </c>
      <c r="G908" s="3" t="s">
        <v>1093</v>
      </c>
      <c r="H908" s="4" t="s">
        <v>6677</v>
      </c>
      <c r="I908" s="3" t="s">
        <v>1179</v>
      </c>
    </row>
    <row r="909" spans="1:9" ht="15" customHeight="1" x14ac:dyDescent="0.25">
      <c r="A909" s="3" t="s">
        <v>6983</v>
      </c>
      <c r="B909" s="3" t="s">
        <v>6989</v>
      </c>
      <c r="C909" s="3" t="s">
        <v>6985</v>
      </c>
      <c r="D909" s="3" t="s">
        <v>1138</v>
      </c>
      <c r="E909" s="3">
        <v>908</v>
      </c>
      <c r="F909" s="3" t="s">
        <v>3292</v>
      </c>
      <c r="G909" s="3" t="s">
        <v>4</v>
      </c>
      <c r="H909" s="4" t="s">
        <v>6834</v>
      </c>
      <c r="I909" s="3" t="s">
        <v>1232</v>
      </c>
    </row>
    <row r="910" spans="1:9" x14ac:dyDescent="0.25">
      <c r="A910" s="3" t="s">
        <v>6983</v>
      </c>
      <c r="B910" s="3" t="s">
        <v>6989</v>
      </c>
      <c r="C910" s="3" t="s">
        <v>6985</v>
      </c>
      <c r="D910" s="3" t="s">
        <v>1138</v>
      </c>
      <c r="E910" s="3">
        <v>909</v>
      </c>
      <c r="F910" s="3" t="s">
        <v>3293</v>
      </c>
      <c r="G910" s="3" t="s">
        <v>4</v>
      </c>
      <c r="H910" s="4" t="s">
        <v>6835</v>
      </c>
      <c r="I910" s="3" t="s">
        <v>1232</v>
      </c>
    </row>
    <row r="911" spans="1:9" ht="15" customHeight="1" x14ac:dyDescent="0.25">
      <c r="A911" s="3" t="s">
        <v>6983</v>
      </c>
      <c r="B911" s="3" t="s">
        <v>6989</v>
      </c>
      <c r="C911" s="3" t="s">
        <v>6985</v>
      </c>
      <c r="D911" s="3" t="s">
        <v>1138</v>
      </c>
      <c r="E911" s="3">
        <v>910</v>
      </c>
      <c r="F911" s="3" t="s">
        <v>3294</v>
      </c>
      <c r="G911" s="3" t="s">
        <v>4</v>
      </c>
      <c r="H911" s="4" t="s">
        <v>6836</v>
      </c>
      <c r="I911" s="3" t="s">
        <v>1232</v>
      </c>
    </row>
    <row r="912" spans="1:9" x14ac:dyDescent="0.25">
      <c r="A912" s="3" t="s">
        <v>6983</v>
      </c>
      <c r="B912" s="3" t="s">
        <v>6989</v>
      </c>
      <c r="C912" s="3" t="s">
        <v>6985</v>
      </c>
      <c r="D912" s="3" t="s">
        <v>1138</v>
      </c>
      <c r="E912" s="3">
        <v>911</v>
      </c>
      <c r="F912" s="3" t="s">
        <v>3295</v>
      </c>
      <c r="G912" s="3" t="s">
        <v>4</v>
      </c>
      <c r="H912" s="4" t="s">
        <v>6837</v>
      </c>
      <c r="I912" s="3" t="s">
        <v>1232</v>
      </c>
    </row>
    <row r="913" spans="1:10" x14ac:dyDescent="0.25">
      <c r="A913" s="3" t="s">
        <v>6983</v>
      </c>
      <c r="B913" s="3" t="s">
        <v>6989</v>
      </c>
      <c r="C913" s="3" t="s">
        <v>6985</v>
      </c>
      <c r="D913" s="3" t="s">
        <v>1138</v>
      </c>
      <c r="E913" s="3">
        <v>912</v>
      </c>
      <c r="F913" s="3" t="s">
        <v>3296</v>
      </c>
      <c r="G913" s="3" t="s">
        <v>4</v>
      </c>
      <c r="H913" s="4" t="s">
        <v>6838</v>
      </c>
      <c r="I913" s="3" t="s">
        <v>1232</v>
      </c>
    </row>
    <row r="914" spans="1:10" x14ac:dyDescent="0.25">
      <c r="A914" s="3" t="s">
        <v>6983</v>
      </c>
      <c r="B914" s="3" t="s">
        <v>6989</v>
      </c>
      <c r="C914" s="3" t="s">
        <v>6985</v>
      </c>
      <c r="D914" s="3" t="s">
        <v>1138</v>
      </c>
      <c r="E914" s="3">
        <v>913</v>
      </c>
      <c r="F914" s="3" t="s">
        <v>3297</v>
      </c>
      <c r="G914" s="3" t="s">
        <v>4</v>
      </c>
      <c r="H914" s="4" t="s">
        <v>6839</v>
      </c>
      <c r="I914" s="3" t="s">
        <v>1232</v>
      </c>
    </row>
    <row r="915" spans="1:10" ht="16.5" x14ac:dyDescent="0.25">
      <c r="A915" s="3" t="s">
        <v>6983</v>
      </c>
      <c r="B915" s="3" t="s">
        <v>6989</v>
      </c>
      <c r="C915" s="3" t="s">
        <v>6985</v>
      </c>
      <c r="D915" s="3" t="s">
        <v>1138</v>
      </c>
      <c r="E915" s="3">
        <v>914</v>
      </c>
      <c r="F915" s="3" t="s">
        <v>3298</v>
      </c>
      <c r="G915" s="3" t="s">
        <v>4</v>
      </c>
      <c r="H915" s="4" t="s">
        <v>6840</v>
      </c>
      <c r="I915" s="3" t="s">
        <v>1232</v>
      </c>
    </row>
    <row r="916" spans="1:10" ht="16.5" x14ac:dyDescent="0.25">
      <c r="A916" s="3" t="s">
        <v>6983</v>
      </c>
      <c r="B916" s="3" t="s">
        <v>6989</v>
      </c>
      <c r="C916" s="3" t="s">
        <v>6985</v>
      </c>
      <c r="D916" s="3" t="s">
        <v>1138</v>
      </c>
      <c r="E916" s="3">
        <v>915</v>
      </c>
      <c r="F916" s="3" t="s">
        <v>3299</v>
      </c>
      <c r="G916" s="3" t="s">
        <v>9</v>
      </c>
      <c r="H916" s="4" t="s">
        <v>6854</v>
      </c>
      <c r="I916" s="3" t="s">
        <v>1232</v>
      </c>
    </row>
    <row r="917" spans="1:10" x14ac:dyDescent="0.25">
      <c r="A917" s="3" t="s">
        <v>6983</v>
      </c>
      <c r="B917" s="3" t="s">
        <v>6989</v>
      </c>
      <c r="C917" s="3" t="s">
        <v>6985</v>
      </c>
      <c r="D917" s="3" t="s">
        <v>1138</v>
      </c>
      <c r="E917" s="3">
        <v>916</v>
      </c>
      <c r="F917" s="3" t="s">
        <v>3300</v>
      </c>
      <c r="G917" s="3" t="s">
        <v>1090</v>
      </c>
      <c r="H917" s="4" t="s">
        <v>6841</v>
      </c>
      <c r="I917" s="3" t="s">
        <v>1232</v>
      </c>
    </row>
    <row r="918" spans="1:10" x14ac:dyDescent="0.25">
      <c r="A918" s="3" t="s">
        <v>6983</v>
      </c>
      <c r="B918" s="3" t="s">
        <v>6989</v>
      </c>
      <c r="C918" s="3" t="s">
        <v>6985</v>
      </c>
      <c r="D918" s="3" t="s">
        <v>1138</v>
      </c>
      <c r="E918" s="3">
        <v>917</v>
      </c>
      <c r="F918" s="3" t="s">
        <v>3301</v>
      </c>
      <c r="G918" s="3" t="s">
        <v>1090</v>
      </c>
      <c r="H918" s="4" t="s">
        <v>6842</v>
      </c>
      <c r="I918" s="3" t="s">
        <v>1232</v>
      </c>
    </row>
    <row r="919" spans="1:10" x14ac:dyDescent="0.25">
      <c r="A919" s="3" t="s">
        <v>6983</v>
      </c>
      <c r="B919" s="3" t="s">
        <v>6989</v>
      </c>
      <c r="C919" s="3" t="s">
        <v>6985</v>
      </c>
      <c r="D919" s="3" t="s">
        <v>1138</v>
      </c>
      <c r="E919" s="3">
        <v>918</v>
      </c>
      <c r="F919" s="3" t="s">
        <v>3302</v>
      </c>
      <c r="G919" s="3" t="s">
        <v>1090</v>
      </c>
      <c r="H919" s="4" t="s">
        <v>6843</v>
      </c>
      <c r="I919" s="3" t="s">
        <v>1232</v>
      </c>
    </row>
    <row r="920" spans="1:10" x14ac:dyDescent="0.25">
      <c r="A920" s="3" t="s">
        <v>6983</v>
      </c>
      <c r="B920" s="3" t="s">
        <v>6989</v>
      </c>
      <c r="C920" s="3" t="s">
        <v>6985</v>
      </c>
      <c r="D920" s="3" t="s">
        <v>1138</v>
      </c>
      <c r="E920" s="3">
        <v>919</v>
      </c>
      <c r="F920" s="3" t="s">
        <v>3303</v>
      </c>
      <c r="G920" s="3" t="s">
        <v>1090</v>
      </c>
      <c r="H920" s="3" t="s">
        <v>7090</v>
      </c>
      <c r="I920" s="3" t="s">
        <v>1232</v>
      </c>
    </row>
    <row r="921" spans="1:10" x14ac:dyDescent="0.25">
      <c r="A921" s="3" t="s">
        <v>6983</v>
      </c>
      <c r="B921" s="3" t="s">
        <v>6989</v>
      </c>
      <c r="C921" s="3" t="s">
        <v>6985</v>
      </c>
      <c r="D921" s="3" t="s">
        <v>1138</v>
      </c>
      <c r="E921" s="3">
        <v>920</v>
      </c>
      <c r="F921" s="3" t="s">
        <v>3304</v>
      </c>
      <c r="G921" s="3" t="s">
        <v>4</v>
      </c>
      <c r="H921" s="4" t="s">
        <v>6410</v>
      </c>
      <c r="I921" s="3" t="s">
        <v>1232</v>
      </c>
    </row>
    <row r="922" spans="1:10" x14ac:dyDescent="0.25">
      <c r="A922" s="3" t="s">
        <v>6983</v>
      </c>
      <c r="B922" s="3" t="s">
        <v>6989</v>
      </c>
      <c r="C922" s="3" t="s">
        <v>6985</v>
      </c>
      <c r="D922" s="3" t="s">
        <v>1138</v>
      </c>
      <c r="E922" s="3">
        <v>921</v>
      </c>
      <c r="F922" s="3" t="s">
        <v>3305</v>
      </c>
      <c r="G922" s="3" t="s">
        <v>4</v>
      </c>
      <c r="H922" s="4" t="s">
        <v>6411</v>
      </c>
      <c r="I922" s="3" t="s">
        <v>1232</v>
      </c>
    </row>
    <row r="923" spans="1:10" x14ac:dyDescent="0.25">
      <c r="A923" s="3" t="s">
        <v>6983</v>
      </c>
      <c r="B923" s="3" t="s">
        <v>6989</v>
      </c>
      <c r="C923" s="3" t="s">
        <v>6985</v>
      </c>
      <c r="D923" s="3" t="s">
        <v>1138</v>
      </c>
      <c r="E923" s="3">
        <v>922</v>
      </c>
      <c r="F923" s="3" t="s">
        <v>3306</v>
      </c>
      <c r="G923" s="3" t="s">
        <v>4</v>
      </c>
      <c r="H923" s="4" t="s">
        <v>6845</v>
      </c>
      <c r="I923" s="3" t="s">
        <v>1232</v>
      </c>
    </row>
    <row r="924" spans="1:10" x14ac:dyDescent="0.25">
      <c r="A924" s="3" t="s">
        <v>6983</v>
      </c>
      <c r="B924" s="3" t="s">
        <v>6989</v>
      </c>
      <c r="C924" s="3" t="s">
        <v>6985</v>
      </c>
      <c r="D924" s="3" t="s">
        <v>1138</v>
      </c>
      <c r="E924" s="3">
        <v>923</v>
      </c>
      <c r="F924" s="3" t="s">
        <v>3307</v>
      </c>
      <c r="G924" s="3" t="s">
        <v>4</v>
      </c>
      <c r="H924" s="4" t="s">
        <v>6846</v>
      </c>
      <c r="I924" s="3" t="s">
        <v>1232</v>
      </c>
    </row>
    <row r="925" spans="1:10" x14ac:dyDescent="0.25">
      <c r="A925" s="3" t="s">
        <v>6983</v>
      </c>
      <c r="B925" s="3" t="s">
        <v>6989</v>
      </c>
      <c r="C925" s="3" t="s">
        <v>6985</v>
      </c>
      <c r="D925" s="3" t="s">
        <v>1138</v>
      </c>
      <c r="E925" s="3">
        <v>924</v>
      </c>
      <c r="F925" s="3" t="s">
        <v>3308</v>
      </c>
      <c r="G925" s="3" t="s">
        <v>16</v>
      </c>
      <c r="H925" s="3" t="s">
        <v>6971</v>
      </c>
      <c r="J925" s="3" t="s">
        <v>6649</v>
      </c>
    </row>
    <row r="926" spans="1:10" x14ac:dyDescent="0.25">
      <c r="A926" s="3" t="s">
        <v>6983</v>
      </c>
      <c r="B926" s="3" t="s">
        <v>6989</v>
      </c>
      <c r="C926" s="3" t="s">
        <v>6985</v>
      </c>
      <c r="D926" s="3" t="s">
        <v>1138</v>
      </c>
      <c r="E926" s="3">
        <v>925</v>
      </c>
      <c r="F926" s="3" t="s">
        <v>3309</v>
      </c>
      <c r="G926" s="3" t="s">
        <v>1095</v>
      </c>
      <c r="H926" s="4" t="s">
        <v>6651</v>
      </c>
    </row>
    <row r="927" spans="1:10" x14ac:dyDescent="0.25">
      <c r="A927" s="3" t="s">
        <v>6983</v>
      </c>
      <c r="B927" s="3" t="s">
        <v>6989</v>
      </c>
      <c r="C927" s="3" t="s">
        <v>6985</v>
      </c>
      <c r="D927" s="3" t="s">
        <v>1138</v>
      </c>
      <c r="E927" s="3">
        <v>926</v>
      </c>
      <c r="F927" s="3" t="s">
        <v>3310</v>
      </c>
      <c r="G927" s="3" t="s">
        <v>2100</v>
      </c>
      <c r="H927" s="4" t="s">
        <v>6652</v>
      </c>
    </row>
    <row r="928" spans="1:10" x14ac:dyDescent="0.25">
      <c r="A928" s="3" t="s">
        <v>6983</v>
      </c>
      <c r="B928" s="3" t="s">
        <v>6989</v>
      </c>
      <c r="C928" s="3" t="s">
        <v>6985</v>
      </c>
      <c r="D928" s="3" t="s">
        <v>1138</v>
      </c>
      <c r="E928" s="3">
        <v>927</v>
      </c>
      <c r="F928" s="3" t="s">
        <v>3311</v>
      </c>
      <c r="G928" s="3" t="s">
        <v>1093</v>
      </c>
      <c r="H928" s="4" t="s">
        <v>6653</v>
      </c>
    </row>
    <row r="929" spans="1:8" x14ac:dyDescent="0.25">
      <c r="A929" s="3" t="s">
        <v>6983</v>
      </c>
      <c r="B929" s="3" t="s">
        <v>6989</v>
      </c>
      <c r="C929" s="3" t="s">
        <v>6985</v>
      </c>
      <c r="D929" s="3" t="s">
        <v>1138</v>
      </c>
      <c r="E929" s="3">
        <v>928</v>
      </c>
      <c r="F929" s="3" t="s">
        <v>3312</v>
      </c>
      <c r="G929" s="3" t="s">
        <v>2099</v>
      </c>
      <c r="H929" s="4" t="s">
        <v>6654</v>
      </c>
    </row>
    <row r="930" spans="1:8" x14ac:dyDescent="0.25">
      <c r="A930" s="3" t="s">
        <v>6983</v>
      </c>
      <c r="B930" s="3" t="s">
        <v>6989</v>
      </c>
      <c r="C930" s="3" t="s">
        <v>6985</v>
      </c>
      <c r="D930" s="3" t="s">
        <v>1138</v>
      </c>
      <c r="E930" s="3">
        <v>929</v>
      </c>
      <c r="F930" s="3" t="s">
        <v>3313</v>
      </c>
      <c r="G930" s="3" t="s">
        <v>1100</v>
      </c>
      <c r="H930" s="3" t="str">
        <f>_xlfn.CONCAT("Output ",F930, ", computed by BMT WinMon.")</f>
        <v>Output Riser A Load PT1, computed by BMT WinMon.</v>
      </c>
    </row>
    <row r="931" spans="1:8" x14ac:dyDescent="0.25">
      <c r="A931" s="3" t="s">
        <v>6983</v>
      </c>
      <c r="B931" s="3" t="s">
        <v>6989</v>
      </c>
      <c r="C931" s="3" t="s">
        <v>6985</v>
      </c>
      <c r="D931" s="3" t="s">
        <v>1138</v>
      </c>
      <c r="E931" s="3">
        <v>930</v>
      </c>
      <c r="F931" s="3" t="s">
        <v>3314</v>
      </c>
      <c r="G931" s="3" t="s">
        <v>1100</v>
      </c>
      <c r="H931" s="3" t="str">
        <f t="shared" ref="H931:H994" si="16">_xlfn.CONCAT("Output ",F931, ", computed by BMT WinMon.")</f>
        <v>Output Riser A Load PT2, computed by BMT WinMon.</v>
      </c>
    </row>
    <row r="932" spans="1:8" x14ac:dyDescent="0.25">
      <c r="A932" s="3" t="s">
        <v>6983</v>
      </c>
      <c r="B932" s="3" t="s">
        <v>6989</v>
      </c>
      <c r="C932" s="3" t="s">
        <v>6985</v>
      </c>
      <c r="D932" s="3" t="s">
        <v>1138</v>
      </c>
      <c r="E932" s="3">
        <v>931</v>
      </c>
      <c r="F932" s="3" t="s">
        <v>3315</v>
      </c>
      <c r="G932" s="3" t="s">
        <v>1100</v>
      </c>
      <c r="H932" s="3" t="str">
        <f t="shared" si="16"/>
        <v>Output Riser A Load PT3, computed by BMT WinMon.</v>
      </c>
    </row>
    <row r="933" spans="1:8" x14ac:dyDescent="0.25">
      <c r="A933" s="3" t="s">
        <v>6983</v>
      </c>
      <c r="B933" s="3" t="s">
        <v>6989</v>
      </c>
      <c r="C933" s="3" t="s">
        <v>6985</v>
      </c>
      <c r="D933" s="3" t="s">
        <v>1138</v>
      </c>
      <c r="E933" s="3">
        <v>932</v>
      </c>
      <c r="F933" s="3" t="s">
        <v>3316</v>
      </c>
      <c r="G933" s="3" t="s">
        <v>1100</v>
      </c>
      <c r="H933" s="3" t="str">
        <f t="shared" si="16"/>
        <v>Output Riser A Load PT4, computed by BMT WinMon.</v>
      </c>
    </row>
    <row r="934" spans="1:8" x14ac:dyDescent="0.25">
      <c r="A934" s="3" t="s">
        <v>6983</v>
      </c>
      <c r="B934" s="3" t="s">
        <v>6989</v>
      </c>
      <c r="C934" s="3" t="s">
        <v>6985</v>
      </c>
      <c r="D934" s="3" t="s">
        <v>1138</v>
      </c>
      <c r="E934" s="3">
        <v>933</v>
      </c>
      <c r="F934" s="3" t="s">
        <v>3317</v>
      </c>
      <c r="G934" s="3" t="s">
        <v>1100</v>
      </c>
      <c r="H934" s="3" t="str">
        <f t="shared" si="16"/>
        <v>Output Riser A Load PT5, computed by BMT WinMon.</v>
      </c>
    </row>
    <row r="935" spans="1:8" x14ac:dyDescent="0.25">
      <c r="A935" s="3" t="s">
        <v>6983</v>
      </c>
      <c r="B935" s="3" t="s">
        <v>6989</v>
      </c>
      <c r="C935" s="3" t="s">
        <v>6985</v>
      </c>
      <c r="D935" s="3" t="s">
        <v>1138</v>
      </c>
      <c r="E935" s="3">
        <v>934</v>
      </c>
      <c r="F935" s="3" t="s">
        <v>3318</v>
      </c>
      <c r="G935" s="3" t="s">
        <v>1100</v>
      </c>
      <c r="H935" s="3" t="str">
        <f t="shared" si="16"/>
        <v>Output Riser A Load PT6, computed by BMT WinMon.</v>
      </c>
    </row>
    <row r="936" spans="1:8" x14ac:dyDescent="0.25">
      <c r="A936" s="3" t="s">
        <v>6983</v>
      </c>
      <c r="B936" s="3" t="s">
        <v>6989</v>
      </c>
      <c r="C936" s="3" t="s">
        <v>6985</v>
      </c>
      <c r="D936" s="3" t="s">
        <v>1138</v>
      </c>
      <c r="E936" s="3">
        <v>935</v>
      </c>
      <c r="F936" s="3" t="s">
        <v>3319</v>
      </c>
      <c r="G936" s="3" t="s">
        <v>1100</v>
      </c>
      <c r="H936" s="3" t="str">
        <f t="shared" si="16"/>
        <v>Output Riser A Load PT7, computed by BMT WinMon.</v>
      </c>
    </row>
    <row r="937" spans="1:8" x14ac:dyDescent="0.25">
      <c r="A937" s="3" t="s">
        <v>6983</v>
      </c>
      <c r="B937" s="3" t="s">
        <v>6989</v>
      </c>
      <c r="C937" s="3" t="s">
        <v>6985</v>
      </c>
      <c r="D937" s="3" t="s">
        <v>1138</v>
      </c>
      <c r="E937" s="3">
        <v>936</v>
      </c>
      <c r="F937" s="3" t="s">
        <v>3320</v>
      </c>
      <c r="G937" s="3" t="s">
        <v>1100</v>
      </c>
      <c r="H937" s="3" t="str">
        <f t="shared" si="16"/>
        <v>Output Riser A Load PT8, computed by BMT WinMon.</v>
      </c>
    </row>
    <row r="938" spans="1:8" x14ac:dyDescent="0.25">
      <c r="A938" s="3" t="s">
        <v>6983</v>
      </c>
      <c r="B938" s="3" t="s">
        <v>6989</v>
      </c>
      <c r="C938" s="3" t="s">
        <v>6985</v>
      </c>
      <c r="D938" s="3" t="s">
        <v>1138</v>
      </c>
      <c r="E938" s="3">
        <v>937</v>
      </c>
      <c r="F938" s="3" t="s">
        <v>3321</v>
      </c>
      <c r="G938" s="3" t="s">
        <v>3842</v>
      </c>
      <c r="H938" s="3" t="str">
        <f t="shared" si="16"/>
        <v>Output Riser A PT1 Diff, computed by BMT WinMon.</v>
      </c>
    </row>
    <row r="939" spans="1:8" x14ac:dyDescent="0.25">
      <c r="A939" s="3" t="s">
        <v>6983</v>
      </c>
      <c r="B939" s="3" t="s">
        <v>6989</v>
      </c>
      <c r="C939" s="3" t="s">
        <v>6985</v>
      </c>
      <c r="D939" s="3" t="s">
        <v>1138</v>
      </c>
      <c r="E939" s="3">
        <v>938</v>
      </c>
      <c r="F939" s="3" t="s">
        <v>3322</v>
      </c>
      <c r="G939" s="3" t="s">
        <v>3842</v>
      </c>
      <c r="H939" s="3" t="str">
        <f t="shared" si="16"/>
        <v>Output Riser A PT2 Diff, computed by BMT WinMon.</v>
      </c>
    </row>
    <row r="940" spans="1:8" x14ac:dyDescent="0.25">
      <c r="A940" s="3" t="s">
        <v>6983</v>
      </c>
      <c r="B940" s="3" t="s">
        <v>6989</v>
      </c>
      <c r="C940" s="3" t="s">
        <v>6985</v>
      </c>
      <c r="D940" s="3" t="s">
        <v>1138</v>
      </c>
      <c r="E940" s="3">
        <v>939</v>
      </c>
      <c r="F940" s="3" t="s">
        <v>3323</v>
      </c>
      <c r="G940" s="3" t="s">
        <v>3842</v>
      </c>
      <c r="H940" s="3" t="str">
        <f t="shared" si="16"/>
        <v>Output Riser A PT3 Diff, computed by BMT WinMon.</v>
      </c>
    </row>
    <row r="941" spans="1:8" x14ac:dyDescent="0.25">
      <c r="A941" s="3" t="s">
        <v>6983</v>
      </c>
      <c r="B941" s="3" t="s">
        <v>6989</v>
      </c>
      <c r="C941" s="3" t="s">
        <v>6985</v>
      </c>
      <c r="D941" s="3" t="s">
        <v>1138</v>
      </c>
      <c r="E941" s="3">
        <v>940</v>
      </c>
      <c r="F941" s="3" t="s">
        <v>3324</v>
      </c>
      <c r="G941" s="3" t="s">
        <v>3842</v>
      </c>
      <c r="H941" s="3" t="str">
        <f t="shared" si="16"/>
        <v>Output Riser A PT4 Diff, computed by BMT WinMon.</v>
      </c>
    </row>
    <row r="942" spans="1:8" x14ac:dyDescent="0.25">
      <c r="A942" s="3" t="s">
        <v>6983</v>
      </c>
      <c r="B942" s="3" t="s">
        <v>6989</v>
      </c>
      <c r="C942" s="3" t="s">
        <v>6985</v>
      </c>
      <c r="D942" s="3" t="s">
        <v>1138</v>
      </c>
      <c r="E942" s="3">
        <v>941</v>
      </c>
      <c r="F942" s="3" t="s">
        <v>3325</v>
      </c>
      <c r="G942" s="3" t="s">
        <v>3842</v>
      </c>
      <c r="H942" s="3" t="str">
        <f t="shared" si="16"/>
        <v>Output Riser A PT5 Diff, computed by BMT WinMon.</v>
      </c>
    </row>
    <row r="943" spans="1:8" x14ac:dyDescent="0.25">
      <c r="A943" s="3" t="s">
        <v>6983</v>
      </c>
      <c r="B943" s="3" t="s">
        <v>6989</v>
      </c>
      <c r="C943" s="3" t="s">
        <v>6985</v>
      </c>
      <c r="D943" s="3" t="s">
        <v>1138</v>
      </c>
      <c r="E943" s="3">
        <v>942</v>
      </c>
      <c r="F943" s="3" t="s">
        <v>3326</v>
      </c>
      <c r="G943" s="3" t="s">
        <v>3842</v>
      </c>
      <c r="H943" s="3" t="str">
        <f t="shared" si="16"/>
        <v>Output Riser A PT6 Diff, computed by BMT WinMon.</v>
      </c>
    </row>
    <row r="944" spans="1:8" x14ac:dyDescent="0.25">
      <c r="A944" s="3" t="s">
        <v>6983</v>
      </c>
      <c r="B944" s="3" t="s">
        <v>6989</v>
      </c>
      <c r="C944" s="3" t="s">
        <v>6985</v>
      </c>
      <c r="D944" s="3" t="s">
        <v>1138</v>
      </c>
      <c r="E944" s="3">
        <v>943</v>
      </c>
      <c r="F944" s="3" t="s">
        <v>3327</v>
      </c>
      <c r="G944" s="3" t="s">
        <v>3842</v>
      </c>
      <c r="H944" s="3" t="str">
        <f t="shared" si="16"/>
        <v>Output Riser A PT7 Diff, computed by BMT WinMon.</v>
      </c>
    </row>
    <row r="945" spans="1:8" x14ac:dyDescent="0.25">
      <c r="A945" s="3" t="s">
        <v>6983</v>
      </c>
      <c r="B945" s="3" t="s">
        <v>6989</v>
      </c>
      <c r="C945" s="3" t="s">
        <v>6985</v>
      </c>
      <c r="D945" s="3" t="s">
        <v>1138</v>
      </c>
      <c r="E945" s="3">
        <v>944</v>
      </c>
      <c r="F945" s="3" t="s">
        <v>3328</v>
      </c>
      <c r="G945" s="3" t="s">
        <v>3842</v>
      </c>
      <c r="H945" s="3" t="str">
        <f t="shared" si="16"/>
        <v>Output Riser A PT8 Diff, computed by BMT WinMon.</v>
      </c>
    </row>
    <row r="946" spans="1:8" x14ac:dyDescent="0.25">
      <c r="A946" s="3" t="s">
        <v>6983</v>
      </c>
      <c r="B946" s="3" t="s">
        <v>6989</v>
      </c>
      <c r="C946" s="3" t="s">
        <v>6985</v>
      </c>
      <c r="D946" s="3" t="s">
        <v>1138</v>
      </c>
      <c r="E946" s="3">
        <v>945</v>
      </c>
      <c r="F946" s="3" t="s">
        <v>3329</v>
      </c>
      <c r="G946" s="3" t="s">
        <v>1100</v>
      </c>
      <c r="H946" s="3" t="str">
        <f t="shared" si="16"/>
        <v>Output Riser A Tension, computed by BMT WinMon.</v>
      </c>
    </row>
    <row r="947" spans="1:8" x14ac:dyDescent="0.25">
      <c r="A947" s="3" t="s">
        <v>6983</v>
      </c>
      <c r="B947" s="3" t="s">
        <v>6989</v>
      </c>
      <c r="C947" s="3" t="s">
        <v>6985</v>
      </c>
      <c r="D947" s="3" t="s">
        <v>1138</v>
      </c>
      <c r="E947" s="3">
        <v>946</v>
      </c>
      <c r="F947" s="3" t="s">
        <v>3330</v>
      </c>
      <c r="G947" s="3" t="s">
        <v>1100</v>
      </c>
      <c r="H947" s="3" t="str">
        <f t="shared" si="16"/>
        <v>Output Riser B Load PT1, computed by BMT WinMon.</v>
      </c>
    </row>
    <row r="948" spans="1:8" x14ac:dyDescent="0.25">
      <c r="A948" s="3" t="s">
        <v>6983</v>
      </c>
      <c r="B948" s="3" t="s">
        <v>6989</v>
      </c>
      <c r="C948" s="3" t="s">
        <v>6985</v>
      </c>
      <c r="D948" s="3" t="s">
        <v>1138</v>
      </c>
      <c r="E948" s="3">
        <v>947</v>
      </c>
      <c r="F948" s="3" t="s">
        <v>3331</v>
      </c>
      <c r="G948" s="3" t="s">
        <v>1100</v>
      </c>
      <c r="H948" s="3" t="str">
        <f t="shared" si="16"/>
        <v>Output Riser B Load PT2, computed by BMT WinMon.</v>
      </c>
    </row>
    <row r="949" spans="1:8" x14ac:dyDescent="0.25">
      <c r="A949" s="3" t="s">
        <v>6983</v>
      </c>
      <c r="B949" s="3" t="s">
        <v>6989</v>
      </c>
      <c r="C949" s="3" t="s">
        <v>6985</v>
      </c>
      <c r="D949" s="3" t="s">
        <v>1138</v>
      </c>
      <c r="E949" s="3">
        <v>948</v>
      </c>
      <c r="F949" s="3" t="s">
        <v>3332</v>
      </c>
      <c r="G949" s="3" t="s">
        <v>1100</v>
      </c>
      <c r="H949" s="3" t="str">
        <f t="shared" si="16"/>
        <v>Output Riser B Load PT3, computed by BMT WinMon.</v>
      </c>
    </row>
    <row r="950" spans="1:8" x14ac:dyDescent="0.25">
      <c r="A950" s="3" t="s">
        <v>6983</v>
      </c>
      <c r="B950" s="3" t="s">
        <v>6989</v>
      </c>
      <c r="C950" s="3" t="s">
        <v>6985</v>
      </c>
      <c r="D950" s="3" t="s">
        <v>1138</v>
      </c>
      <c r="E950" s="3">
        <v>949</v>
      </c>
      <c r="F950" s="3" t="s">
        <v>3333</v>
      </c>
      <c r="G950" s="3" t="s">
        <v>1100</v>
      </c>
      <c r="H950" s="3" t="str">
        <f t="shared" si="16"/>
        <v>Output Riser B Load PT4, computed by BMT WinMon.</v>
      </c>
    </row>
    <row r="951" spans="1:8" x14ac:dyDescent="0.25">
      <c r="A951" s="3" t="s">
        <v>6983</v>
      </c>
      <c r="B951" s="3" t="s">
        <v>6989</v>
      </c>
      <c r="C951" s="3" t="s">
        <v>6985</v>
      </c>
      <c r="D951" s="3" t="s">
        <v>1138</v>
      </c>
      <c r="E951" s="3">
        <v>950</v>
      </c>
      <c r="F951" s="3" t="s">
        <v>3334</v>
      </c>
      <c r="G951" s="3" t="s">
        <v>1100</v>
      </c>
      <c r="H951" s="3" t="str">
        <f t="shared" si="16"/>
        <v>Output Riser B Load PT5, computed by BMT WinMon.</v>
      </c>
    </row>
    <row r="952" spans="1:8" x14ac:dyDescent="0.25">
      <c r="A952" s="3" t="s">
        <v>6983</v>
      </c>
      <c r="B952" s="3" t="s">
        <v>6989</v>
      </c>
      <c r="C952" s="3" t="s">
        <v>6985</v>
      </c>
      <c r="D952" s="3" t="s">
        <v>1138</v>
      </c>
      <c r="E952" s="3">
        <v>951</v>
      </c>
      <c r="F952" s="3" t="s">
        <v>3335</v>
      </c>
      <c r="G952" s="3" t="s">
        <v>1100</v>
      </c>
      <c r="H952" s="3" t="str">
        <f t="shared" si="16"/>
        <v>Output Riser B Load PT6, computed by BMT WinMon.</v>
      </c>
    </row>
    <row r="953" spans="1:8" x14ac:dyDescent="0.25">
      <c r="A953" s="3" t="s">
        <v>6983</v>
      </c>
      <c r="B953" s="3" t="s">
        <v>6989</v>
      </c>
      <c r="C953" s="3" t="s">
        <v>6985</v>
      </c>
      <c r="D953" s="3" t="s">
        <v>1138</v>
      </c>
      <c r="E953" s="3">
        <v>952</v>
      </c>
      <c r="F953" s="3" t="s">
        <v>3336</v>
      </c>
      <c r="G953" s="3" t="s">
        <v>1100</v>
      </c>
      <c r="H953" s="3" t="str">
        <f t="shared" si="16"/>
        <v>Output Riser B Load PT7, computed by BMT WinMon.</v>
      </c>
    </row>
    <row r="954" spans="1:8" x14ac:dyDescent="0.25">
      <c r="A954" s="3" t="s">
        <v>6983</v>
      </c>
      <c r="B954" s="3" t="s">
        <v>6989</v>
      </c>
      <c r="C954" s="3" t="s">
        <v>6985</v>
      </c>
      <c r="D954" s="3" t="s">
        <v>1138</v>
      </c>
      <c r="E954" s="3">
        <v>953</v>
      </c>
      <c r="F954" s="3" t="s">
        <v>3337</v>
      </c>
      <c r="G954" s="3" t="s">
        <v>1100</v>
      </c>
      <c r="H954" s="3" t="str">
        <f t="shared" si="16"/>
        <v>Output Riser B Load PT8, computed by BMT WinMon.</v>
      </c>
    </row>
    <row r="955" spans="1:8" x14ac:dyDescent="0.25">
      <c r="A955" s="3" t="s">
        <v>6983</v>
      </c>
      <c r="B955" s="3" t="s">
        <v>6989</v>
      </c>
      <c r="C955" s="3" t="s">
        <v>6985</v>
      </c>
      <c r="D955" s="3" t="s">
        <v>1138</v>
      </c>
      <c r="E955" s="3">
        <v>954</v>
      </c>
      <c r="F955" s="3" t="s">
        <v>3338</v>
      </c>
      <c r="G955" s="3" t="s">
        <v>3842</v>
      </c>
      <c r="H955" s="3" t="str">
        <f t="shared" si="16"/>
        <v>Output Riser B PT1 Diff, computed by BMT WinMon.</v>
      </c>
    </row>
    <row r="956" spans="1:8" x14ac:dyDescent="0.25">
      <c r="A956" s="3" t="s">
        <v>6983</v>
      </c>
      <c r="B956" s="3" t="s">
        <v>6989</v>
      </c>
      <c r="C956" s="3" t="s">
        <v>6985</v>
      </c>
      <c r="D956" s="3" t="s">
        <v>1138</v>
      </c>
      <c r="E956" s="3">
        <v>955</v>
      </c>
      <c r="F956" s="3" t="s">
        <v>3339</v>
      </c>
      <c r="G956" s="3" t="s">
        <v>3842</v>
      </c>
      <c r="H956" s="3" t="str">
        <f t="shared" si="16"/>
        <v>Output Riser B PT2 Diff, computed by BMT WinMon.</v>
      </c>
    </row>
    <row r="957" spans="1:8" x14ac:dyDescent="0.25">
      <c r="A957" s="3" t="s">
        <v>6983</v>
      </c>
      <c r="B957" s="3" t="s">
        <v>6989</v>
      </c>
      <c r="C957" s="3" t="s">
        <v>6985</v>
      </c>
      <c r="D957" s="3" t="s">
        <v>1138</v>
      </c>
      <c r="E957" s="3">
        <v>956</v>
      </c>
      <c r="F957" s="3" t="s">
        <v>3340</v>
      </c>
      <c r="G957" s="3" t="s">
        <v>3842</v>
      </c>
      <c r="H957" s="3" t="str">
        <f t="shared" si="16"/>
        <v>Output Riser B PT3 Diff, computed by BMT WinMon.</v>
      </c>
    </row>
    <row r="958" spans="1:8" x14ac:dyDescent="0.25">
      <c r="A958" s="3" t="s">
        <v>6983</v>
      </c>
      <c r="B958" s="3" t="s">
        <v>6989</v>
      </c>
      <c r="C958" s="3" t="s">
        <v>6985</v>
      </c>
      <c r="D958" s="3" t="s">
        <v>1138</v>
      </c>
      <c r="E958" s="3">
        <v>957</v>
      </c>
      <c r="F958" s="3" t="s">
        <v>3341</v>
      </c>
      <c r="G958" s="3" t="s">
        <v>3842</v>
      </c>
      <c r="H958" s="3" t="str">
        <f t="shared" si="16"/>
        <v>Output Riser B PT4 Diff, computed by BMT WinMon.</v>
      </c>
    </row>
    <row r="959" spans="1:8" x14ac:dyDescent="0.25">
      <c r="A959" s="3" t="s">
        <v>6983</v>
      </c>
      <c r="B959" s="3" t="s">
        <v>6989</v>
      </c>
      <c r="C959" s="3" t="s">
        <v>6985</v>
      </c>
      <c r="D959" s="3" t="s">
        <v>1138</v>
      </c>
      <c r="E959" s="3">
        <v>958</v>
      </c>
      <c r="F959" s="3" t="s">
        <v>3342</v>
      </c>
      <c r="G959" s="3" t="s">
        <v>3842</v>
      </c>
      <c r="H959" s="3" t="str">
        <f t="shared" si="16"/>
        <v>Output Riser B PT5 Diff, computed by BMT WinMon.</v>
      </c>
    </row>
    <row r="960" spans="1:8" x14ac:dyDescent="0.25">
      <c r="A960" s="3" t="s">
        <v>6983</v>
      </c>
      <c r="B960" s="3" t="s">
        <v>6989</v>
      </c>
      <c r="C960" s="3" t="s">
        <v>6985</v>
      </c>
      <c r="D960" s="3" t="s">
        <v>1138</v>
      </c>
      <c r="E960" s="3">
        <v>959</v>
      </c>
      <c r="F960" s="3" t="s">
        <v>3343</v>
      </c>
      <c r="G960" s="3" t="s">
        <v>3842</v>
      </c>
      <c r="H960" s="3" t="str">
        <f t="shared" si="16"/>
        <v>Output Riser B PT6 Diff, computed by BMT WinMon.</v>
      </c>
    </row>
    <row r="961" spans="1:8" x14ac:dyDescent="0.25">
      <c r="A961" s="3" t="s">
        <v>6983</v>
      </c>
      <c r="B961" s="3" t="s">
        <v>6989</v>
      </c>
      <c r="C961" s="3" t="s">
        <v>6985</v>
      </c>
      <c r="D961" s="3" t="s">
        <v>1138</v>
      </c>
      <c r="E961" s="3">
        <v>960</v>
      </c>
      <c r="F961" s="3" t="s">
        <v>3344</v>
      </c>
      <c r="G961" s="3" t="s">
        <v>3842</v>
      </c>
      <c r="H961" s="3" t="str">
        <f t="shared" si="16"/>
        <v>Output Riser B PT7 Diff, computed by BMT WinMon.</v>
      </c>
    </row>
    <row r="962" spans="1:8" x14ac:dyDescent="0.25">
      <c r="A962" s="3" t="s">
        <v>6983</v>
      </c>
      <c r="B962" s="3" t="s">
        <v>6989</v>
      </c>
      <c r="C962" s="3" t="s">
        <v>6985</v>
      </c>
      <c r="D962" s="3" t="s">
        <v>1138</v>
      </c>
      <c r="E962" s="3">
        <v>961</v>
      </c>
      <c r="F962" s="3" t="s">
        <v>3345</v>
      </c>
      <c r="G962" s="3" t="s">
        <v>3842</v>
      </c>
      <c r="H962" s="3" t="str">
        <f t="shared" si="16"/>
        <v>Output Riser B PT8 Diff, computed by BMT WinMon.</v>
      </c>
    </row>
    <row r="963" spans="1:8" x14ac:dyDescent="0.25">
      <c r="A963" s="3" t="s">
        <v>6983</v>
      </c>
      <c r="B963" s="3" t="s">
        <v>6989</v>
      </c>
      <c r="C963" s="3" t="s">
        <v>6985</v>
      </c>
      <c r="D963" s="3" t="s">
        <v>1138</v>
      </c>
      <c r="E963" s="3">
        <v>962</v>
      </c>
      <c r="F963" s="3" t="s">
        <v>3346</v>
      </c>
      <c r="G963" s="3" t="s">
        <v>1100</v>
      </c>
      <c r="H963" s="3" t="str">
        <f t="shared" si="16"/>
        <v>Output Riser B Tension, computed by BMT WinMon.</v>
      </c>
    </row>
    <row r="964" spans="1:8" x14ac:dyDescent="0.25">
      <c r="A964" s="3" t="s">
        <v>6983</v>
      </c>
      <c r="B964" s="3" t="s">
        <v>6989</v>
      </c>
      <c r="C964" s="3" t="s">
        <v>6985</v>
      </c>
      <c r="D964" s="3" t="s">
        <v>1138</v>
      </c>
      <c r="E964" s="3">
        <v>963</v>
      </c>
      <c r="F964" s="3" t="s">
        <v>3347</v>
      </c>
      <c r="G964" s="3" t="s">
        <v>1100</v>
      </c>
      <c r="H964" s="3" t="str">
        <f t="shared" si="16"/>
        <v>Output Riser C Load PT1, computed by BMT WinMon.</v>
      </c>
    </row>
    <row r="965" spans="1:8" x14ac:dyDescent="0.25">
      <c r="A965" s="3" t="s">
        <v>6983</v>
      </c>
      <c r="B965" s="3" t="s">
        <v>6989</v>
      </c>
      <c r="C965" s="3" t="s">
        <v>6985</v>
      </c>
      <c r="D965" s="3" t="s">
        <v>1138</v>
      </c>
      <c r="E965" s="3">
        <v>964</v>
      </c>
      <c r="F965" s="3" t="s">
        <v>3348</v>
      </c>
      <c r="G965" s="3" t="s">
        <v>1100</v>
      </c>
      <c r="H965" s="3" t="str">
        <f t="shared" si="16"/>
        <v>Output Riser C Load PT2, computed by BMT WinMon.</v>
      </c>
    </row>
    <row r="966" spans="1:8" x14ac:dyDescent="0.25">
      <c r="A966" s="3" t="s">
        <v>6983</v>
      </c>
      <c r="B966" s="3" t="s">
        <v>6989</v>
      </c>
      <c r="C966" s="3" t="s">
        <v>6985</v>
      </c>
      <c r="D966" s="3" t="s">
        <v>1138</v>
      </c>
      <c r="E966" s="3">
        <v>965</v>
      </c>
      <c r="F966" s="3" t="s">
        <v>3349</v>
      </c>
      <c r="G966" s="3" t="s">
        <v>1100</v>
      </c>
      <c r="H966" s="3" t="str">
        <f t="shared" si="16"/>
        <v>Output Riser C Load PT3, computed by BMT WinMon.</v>
      </c>
    </row>
    <row r="967" spans="1:8" x14ac:dyDescent="0.25">
      <c r="A967" s="3" t="s">
        <v>6983</v>
      </c>
      <c r="B967" s="3" t="s">
        <v>6989</v>
      </c>
      <c r="C967" s="3" t="s">
        <v>6985</v>
      </c>
      <c r="D967" s="3" t="s">
        <v>1138</v>
      </c>
      <c r="E967" s="3">
        <v>966</v>
      </c>
      <c r="F967" s="3" t="s">
        <v>3350</v>
      </c>
      <c r="G967" s="3" t="s">
        <v>1100</v>
      </c>
      <c r="H967" s="3" t="str">
        <f t="shared" si="16"/>
        <v>Output Riser C Load PT4, computed by BMT WinMon.</v>
      </c>
    </row>
    <row r="968" spans="1:8" x14ac:dyDescent="0.25">
      <c r="A968" s="3" t="s">
        <v>6983</v>
      </c>
      <c r="B968" s="3" t="s">
        <v>6989</v>
      </c>
      <c r="C968" s="3" t="s">
        <v>6985</v>
      </c>
      <c r="D968" s="3" t="s">
        <v>1138</v>
      </c>
      <c r="E968" s="3">
        <v>967</v>
      </c>
      <c r="F968" s="3" t="s">
        <v>3351</v>
      </c>
      <c r="G968" s="3" t="s">
        <v>1100</v>
      </c>
      <c r="H968" s="3" t="str">
        <f t="shared" si="16"/>
        <v>Output Riser C Load PT5, computed by BMT WinMon.</v>
      </c>
    </row>
    <row r="969" spans="1:8" x14ac:dyDescent="0.25">
      <c r="A969" s="3" t="s">
        <v>6983</v>
      </c>
      <c r="B969" s="3" t="s">
        <v>6989</v>
      </c>
      <c r="C969" s="3" t="s">
        <v>6985</v>
      </c>
      <c r="D969" s="3" t="s">
        <v>1138</v>
      </c>
      <c r="E969" s="3">
        <v>968</v>
      </c>
      <c r="F969" s="3" t="s">
        <v>3352</v>
      </c>
      <c r="G969" s="3" t="s">
        <v>1100</v>
      </c>
      <c r="H969" s="3" t="str">
        <f t="shared" si="16"/>
        <v>Output Riser C Load PT6, computed by BMT WinMon.</v>
      </c>
    </row>
    <row r="970" spans="1:8" x14ac:dyDescent="0.25">
      <c r="A970" s="3" t="s">
        <v>6983</v>
      </c>
      <c r="B970" s="3" t="s">
        <v>6989</v>
      </c>
      <c r="C970" s="3" t="s">
        <v>6985</v>
      </c>
      <c r="D970" s="3" t="s">
        <v>1138</v>
      </c>
      <c r="E970" s="3">
        <v>969</v>
      </c>
      <c r="F970" s="3" t="s">
        <v>3353</v>
      </c>
      <c r="G970" s="3" t="s">
        <v>1100</v>
      </c>
      <c r="H970" s="3" t="str">
        <f t="shared" si="16"/>
        <v>Output Riser C Load PT7, computed by BMT WinMon.</v>
      </c>
    </row>
    <row r="971" spans="1:8" x14ac:dyDescent="0.25">
      <c r="A971" s="3" t="s">
        <v>6983</v>
      </c>
      <c r="B971" s="3" t="s">
        <v>6989</v>
      </c>
      <c r="C971" s="3" t="s">
        <v>6985</v>
      </c>
      <c r="D971" s="3" t="s">
        <v>1138</v>
      </c>
      <c r="E971" s="3">
        <v>970</v>
      </c>
      <c r="F971" s="3" t="s">
        <v>3354</v>
      </c>
      <c r="G971" s="3" t="s">
        <v>1100</v>
      </c>
      <c r="H971" s="3" t="str">
        <f t="shared" si="16"/>
        <v>Output Riser C Load PT8, computed by BMT WinMon.</v>
      </c>
    </row>
    <row r="972" spans="1:8" x14ac:dyDescent="0.25">
      <c r="A972" s="3" t="s">
        <v>6983</v>
      </c>
      <c r="B972" s="3" t="s">
        <v>6989</v>
      </c>
      <c r="C972" s="3" t="s">
        <v>6985</v>
      </c>
      <c r="D972" s="3" t="s">
        <v>1138</v>
      </c>
      <c r="E972" s="3">
        <v>971</v>
      </c>
      <c r="F972" s="3" t="s">
        <v>3355</v>
      </c>
      <c r="G972" s="3" t="s">
        <v>3842</v>
      </c>
      <c r="H972" s="3" t="str">
        <f t="shared" si="16"/>
        <v>Output Riser C PT1 Diff, computed by BMT WinMon.</v>
      </c>
    </row>
    <row r="973" spans="1:8" x14ac:dyDescent="0.25">
      <c r="A973" s="3" t="s">
        <v>6983</v>
      </c>
      <c r="B973" s="3" t="s">
        <v>6989</v>
      </c>
      <c r="C973" s="3" t="s">
        <v>6985</v>
      </c>
      <c r="D973" s="3" t="s">
        <v>1138</v>
      </c>
      <c r="E973" s="3">
        <v>972</v>
      </c>
      <c r="F973" s="3" t="s">
        <v>3356</v>
      </c>
      <c r="G973" s="3" t="s">
        <v>3842</v>
      </c>
      <c r="H973" s="3" t="str">
        <f t="shared" si="16"/>
        <v>Output Riser C PT2 Diff, computed by BMT WinMon.</v>
      </c>
    </row>
    <row r="974" spans="1:8" x14ac:dyDescent="0.25">
      <c r="A974" s="3" t="s">
        <v>6983</v>
      </c>
      <c r="B974" s="3" t="s">
        <v>6989</v>
      </c>
      <c r="C974" s="3" t="s">
        <v>6985</v>
      </c>
      <c r="D974" s="3" t="s">
        <v>1138</v>
      </c>
      <c r="E974" s="3">
        <v>973</v>
      </c>
      <c r="F974" s="3" t="s">
        <v>3357</v>
      </c>
      <c r="G974" s="3" t="s">
        <v>3842</v>
      </c>
      <c r="H974" s="3" t="str">
        <f t="shared" si="16"/>
        <v>Output Riser C PT3 Diff, computed by BMT WinMon.</v>
      </c>
    </row>
    <row r="975" spans="1:8" x14ac:dyDescent="0.25">
      <c r="A975" s="3" t="s">
        <v>6983</v>
      </c>
      <c r="B975" s="3" t="s">
        <v>6989</v>
      </c>
      <c r="C975" s="3" t="s">
        <v>6985</v>
      </c>
      <c r="D975" s="3" t="s">
        <v>1138</v>
      </c>
      <c r="E975" s="3">
        <v>974</v>
      </c>
      <c r="F975" s="3" t="s">
        <v>3358</v>
      </c>
      <c r="G975" s="3" t="s">
        <v>3842</v>
      </c>
      <c r="H975" s="3" t="str">
        <f t="shared" si="16"/>
        <v>Output Riser C PT4 Diff, computed by BMT WinMon.</v>
      </c>
    </row>
    <row r="976" spans="1:8" x14ac:dyDescent="0.25">
      <c r="A976" s="3" t="s">
        <v>6983</v>
      </c>
      <c r="B976" s="3" t="s">
        <v>6989</v>
      </c>
      <c r="C976" s="3" t="s">
        <v>6985</v>
      </c>
      <c r="D976" s="3" t="s">
        <v>1138</v>
      </c>
      <c r="E976" s="3">
        <v>975</v>
      </c>
      <c r="F976" s="3" t="s">
        <v>3359</v>
      </c>
      <c r="G976" s="3" t="s">
        <v>3842</v>
      </c>
      <c r="H976" s="3" t="str">
        <f t="shared" si="16"/>
        <v>Output Riser C PT5 Diff, computed by BMT WinMon.</v>
      </c>
    </row>
    <row r="977" spans="1:8" x14ac:dyDescent="0.25">
      <c r="A977" s="3" t="s">
        <v>6983</v>
      </c>
      <c r="B977" s="3" t="s">
        <v>6989</v>
      </c>
      <c r="C977" s="3" t="s">
        <v>6985</v>
      </c>
      <c r="D977" s="3" t="s">
        <v>1138</v>
      </c>
      <c r="E977" s="3">
        <v>976</v>
      </c>
      <c r="F977" s="3" t="s">
        <v>3360</v>
      </c>
      <c r="G977" s="3" t="s">
        <v>3842</v>
      </c>
      <c r="H977" s="3" t="str">
        <f t="shared" si="16"/>
        <v>Output Riser C PT6 Diff, computed by BMT WinMon.</v>
      </c>
    </row>
    <row r="978" spans="1:8" x14ac:dyDescent="0.25">
      <c r="A978" s="3" t="s">
        <v>6983</v>
      </c>
      <c r="B978" s="3" t="s">
        <v>6989</v>
      </c>
      <c r="C978" s="3" t="s">
        <v>6985</v>
      </c>
      <c r="D978" s="3" t="s">
        <v>1138</v>
      </c>
      <c r="E978" s="3">
        <v>977</v>
      </c>
      <c r="F978" s="3" t="s">
        <v>3361</v>
      </c>
      <c r="G978" s="3" t="s">
        <v>3842</v>
      </c>
      <c r="H978" s="3" t="str">
        <f t="shared" si="16"/>
        <v>Output Riser C PT7 Diff, computed by BMT WinMon.</v>
      </c>
    </row>
    <row r="979" spans="1:8" x14ac:dyDescent="0.25">
      <c r="A979" s="3" t="s">
        <v>6983</v>
      </c>
      <c r="B979" s="3" t="s">
        <v>6989</v>
      </c>
      <c r="C979" s="3" t="s">
        <v>6985</v>
      </c>
      <c r="D979" s="3" t="s">
        <v>1138</v>
      </c>
      <c r="E979" s="3">
        <v>978</v>
      </c>
      <c r="F979" s="3" t="s">
        <v>3362</v>
      </c>
      <c r="G979" s="3" t="s">
        <v>3842</v>
      </c>
      <c r="H979" s="3" t="str">
        <f t="shared" si="16"/>
        <v>Output Riser C PT8 Diff, computed by BMT WinMon.</v>
      </c>
    </row>
    <row r="980" spans="1:8" x14ac:dyDescent="0.25">
      <c r="A980" s="3" t="s">
        <v>6983</v>
      </c>
      <c r="B980" s="3" t="s">
        <v>6989</v>
      </c>
      <c r="C980" s="3" t="s">
        <v>6985</v>
      </c>
      <c r="D980" s="3" t="s">
        <v>1138</v>
      </c>
      <c r="E980" s="3">
        <v>979</v>
      </c>
      <c r="F980" s="3" t="s">
        <v>3363</v>
      </c>
      <c r="G980" s="3" t="s">
        <v>1100</v>
      </c>
      <c r="H980" s="3" t="str">
        <f t="shared" si="16"/>
        <v>Output Riser C Tension, computed by BMT WinMon.</v>
      </c>
    </row>
    <row r="981" spans="1:8" x14ac:dyDescent="0.25">
      <c r="A981" s="3" t="s">
        <v>6983</v>
      </c>
      <c r="B981" s="3" t="s">
        <v>6989</v>
      </c>
      <c r="C981" s="3" t="s">
        <v>6985</v>
      </c>
      <c r="D981" s="3" t="s">
        <v>1138</v>
      </c>
      <c r="E981" s="3">
        <v>980</v>
      </c>
      <c r="F981" s="3" t="s">
        <v>3364</v>
      </c>
      <c r="G981" s="3" t="s">
        <v>1100</v>
      </c>
      <c r="H981" s="3" t="str">
        <f t="shared" si="16"/>
        <v>Output Riser D Load PT1, computed by BMT WinMon.</v>
      </c>
    </row>
    <row r="982" spans="1:8" x14ac:dyDescent="0.25">
      <c r="A982" s="3" t="s">
        <v>6983</v>
      </c>
      <c r="B982" s="3" t="s">
        <v>6989</v>
      </c>
      <c r="C982" s="3" t="s">
        <v>6985</v>
      </c>
      <c r="D982" s="3" t="s">
        <v>1138</v>
      </c>
      <c r="E982" s="3">
        <v>981</v>
      </c>
      <c r="F982" s="3" t="s">
        <v>3365</v>
      </c>
      <c r="G982" s="3" t="s">
        <v>1100</v>
      </c>
      <c r="H982" s="3" t="str">
        <f t="shared" si="16"/>
        <v>Output Riser D Load PT2, computed by BMT WinMon.</v>
      </c>
    </row>
    <row r="983" spans="1:8" x14ac:dyDescent="0.25">
      <c r="A983" s="3" t="s">
        <v>6983</v>
      </c>
      <c r="B983" s="3" t="s">
        <v>6989</v>
      </c>
      <c r="C983" s="3" t="s">
        <v>6985</v>
      </c>
      <c r="D983" s="3" t="s">
        <v>1138</v>
      </c>
      <c r="E983" s="3">
        <v>982</v>
      </c>
      <c r="F983" s="3" t="s">
        <v>3366</v>
      </c>
      <c r="G983" s="3" t="s">
        <v>1100</v>
      </c>
      <c r="H983" s="3" t="str">
        <f t="shared" si="16"/>
        <v>Output Riser D Load PT3, computed by BMT WinMon.</v>
      </c>
    </row>
    <row r="984" spans="1:8" x14ac:dyDescent="0.25">
      <c r="A984" s="3" t="s">
        <v>6983</v>
      </c>
      <c r="B984" s="3" t="s">
        <v>6989</v>
      </c>
      <c r="C984" s="3" t="s">
        <v>6985</v>
      </c>
      <c r="D984" s="3" t="s">
        <v>1138</v>
      </c>
      <c r="E984" s="3">
        <v>983</v>
      </c>
      <c r="F984" s="3" t="s">
        <v>3367</v>
      </c>
      <c r="G984" s="3" t="s">
        <v>1100</v>
      </c>
      <c r="H984" s="3" t="str">
        <f t="shared" si="16"/>
        <v>Output Riser D Load PT4, computed by BMT WinMon.</v>
      </c>
    </row>
    <row r="985" spans="1:8" x14ac:dyDescent="0.25">
      <c r="A985" s="3" t="s">
        <v>6983</v>
      </c>
      <c r="B985" s="3" t="s">
        <v>6989</v>
      </c>
      <c r="C985" s="3" t="s">
        <v>6985</v>
      </c>
      <c r="D985" s="3" t="s">
        <v>1138</v>
      </c>
      <c r="E985" s="3">
        <v>984</v>
      </c>
      <c r="F985" s="3" t="s">
        <v>3368</v>
      </c>
      <c r="G985" s="3" t="s">
        <v>1100</v>
      </c>
      <c r="H985" s="3" t="str">
        <f t="shared" si="16"/>
        <v>Output Riser D Load PT5, computed by BMT WinMon.</v>
      </c>
    </row>
    <row r="986" spans="1:8" x14ac:dyDescent="0.25">
      <c r="A986" s="3" t="s">
        <v>6983</v>
      </c>
      <c r="B986" s="3" t="s">
        <v>6989</v>
      </c>
      <c r="C986" s="3" t="s">
        <v>6985</v>
      </c>
      <c r="D986" s="3" t="s">
        <v>1138</v>
      </c>
      <c r="E986" s="3">
        <v>985</v>
      </c>
      <c r="F986" s="3" t="s">
        <v>3369</v>
      </c>
      <c r="G986" s="3" t="s">
        <v>1100</v>
      </c>
      <c r="H986" s="3" t="str">
        <f t="shared" si="16"/>
        <v>Output Riser D Load PT6, computed by BMT WinMon.</v>
      </c>
    </row>
    <row r="987" spans="1:8" x14ac:dyDescent="0.25">
      <c r="A987" s="3" t="s">
        <v>6983</v>
      </c>
      <c r="B987" s="3" t="s">
        <v>6989</v>
      </c>
      <c r="C987" s="3" t="s">
        <v>6985</v>
      </c>
      <c r="D987" s="3" t="s">
        <v>1138</v>
      </c>
      <c r="E987" s="3">
        <v>986</v>
      </c>
      <c r="F987" s="3" t="s">
        <v>3370</v>
      </c>
      <c r="G987" s="3" t="s">
        <v>1100</v>
      </c>
      <c r="H987" s="3" t="str">
        <f t="shared" si="16"/>
        <v>Output Riser D Load PT7, computed by BMT WinMon.</v>
      </c>
    </row>
    <row r="988" spans="1:8" x14ac:dyDescent="0.25">
      <c r="A988" s="3" t="s">
        <v>6983</v>
      </c>
      <c r="B988" s="3" t="s">
        <v>6989</v>
      </c>
      <c r="C988" s="3" t="s">
        <v>6985</v>
      </c>
      <c r="D988" s="3" t="s">
        <v>1138</v>
      </c>
      <c r="E988" s="3">
        <v>987</v>
      </c>
      <c r="F988" s="3" t="s">
        <v>3371</v>
      </c>
      <c r="G988" s="3" t="s">
        <v>1100</v>
      </c>
      <c r="H988" s="3" t="str">
        <f t="shared" si="16"/>
        <v>Output Riser D Load PT8, computed by BMT WinMon.</v>
      </c>
    </row>
    <row r="989" spans="1:8" x14ac:dyDescent="0.25">
      <c r="A989" s="3" t="s">
        <v>6983</v>
      </c>
      <c r="B989" s="3" t="s">
        <v>6989</v>
      </c>
      <c r="C989" s="3" t="s">
        <v>6985</v>
      </c>
      <c r="D989" s="3" t="s">
        <v>1138</v>
      </c>
      <c r="E989" s="3">
        <v>988</v>
      </c>
      <c r="F989" s="3" t="s">
        <v>3372</v>
      </c>
      <c r="G989" s="3" t="s">
        <v>3842</v>
      </c>
      <c r="H989" s="3" t="str">
        <f t="shared" si="16"/>
        <v>Output Riser D PT1 Diff, computed by BMT WinMon.</v>
      </c>
    </row>
    <row r="990" spans="1:8" x14ac:dyDescent="0.25">
      <c r="A990" s="3" t="s">
        <v>6983</v>
      </c>
      <c r="B990" s="3" t="s">
        <v>6989</v>
      </c>
      <c r="C990" s="3" t="s">
        <v>6985</v>
      </c>
      <c r="D990" s="3" t="s">
        <v>1138</v>
      </c>
      <c r="E990" s="3">
        <v>989</v>
      </c>
      <c r="F990" s="3" t="s">
        <v>3373</v>
      </c>
      <c r="G990" s="3" t="s">
        <v>3842</v>
      </c>
      <c r="H990" s="3" t="str">
        <f t="shared" si="16"/>
        <v>Output Riser D PT2 Diff, computed by BMT WinMon.</v>
      </c>
    </row>
    <row r="991" spans="1:8" x14ac:dyDescent="0.25">
      <c r="A991" s="3" t="s">
        <v>6983</v>
      </c>
      <c r="B991" s="3" t="s">
        <v>6989</v>
      </c>
      <c r="C991" s="3" t="s">
        <v>6985</v>
      </c>
      <c r="D991" s="3" t="s">
        <v>1138</v>
      </c>
      <c r="E991" s="3">
        <v>990</v>
      </c>
      <c r="F991" s="3" t="s">
        <v>3374</v>
      </c>
      <c r="G991" s="3" t="s">
        <v>3842</v>
      </c>
      <c r="H991" s="3" t="str">
        <f t="shared" si="16"/>
        <v>Output Riser D PT3 Diff, computed by BMT WinMon.</v>
      </c>
    </row>
    <row r="992" spans="1:8" x14ac:dyDescent="0.25">
      <c r="A992" s="3" t="s">
        <v>6983</v>
      </c>
      <c r="B992" s="3" t="s">
        <v>6989</v>
      </c>
      <c r="C992" s="3" t="s">
        <v>6985</v>
      </c>
      <c r="D992" s="3" t="s">
        <v>1138</v>
      </c>
      <c r="E992" s="3">
        <v>991</v>
      </c>
      <c r="F992" s="3" t="s">
        <v>3375</v>
      </c>
      <c r="G992" s="3" t="s">
        <v>3842</v>
      </c>
      <c r="H992" s="3" t="str">
        <f t="shared" si="16"/>
        <v>Output Riser D PT4 Diff, computed by BMT WinMon.</v>
      </c>
    </row>
    <row r="993" spans="1:8" x14ac:dyDescent="0.25">
      <c r="A993" s="3" t="s">
        <v>6983</v>
      </c>
      <c r="B993" s="3" t="s">
        <v>6989</v>
      </c>
      <c r="C993" s="3" t="s">
        <v>6985</v>
      </c>
      <c r="D993" s="3" t="s">
        <v>1138</v>
      </c>
      <c r="E993" s="3">
        <v>992</v>
      </c>
      <c r="F993" s="3" t="s">
        <v>3376</v>
      </c>
      <c r="G993" s="3" t="s">
        <v>3842</v>
      </c>
      <c r="H993" s="3" t="str">
        <f t="shared" si="16"/>
        <v>Output Riser D PT5 Diff, computed by BMT WinMon.</v>
      </c>
    </row>
    <row r="994" spans="1:8" x14ac:dyDescent="0.25">
      <c r="A994" s="3" t="s">
        <v>6983</v>
      </c>
      <c r="B994" s="3" t="s">
        <v>6989</v>
      </c>
      <c r="C994" s="3" t="s">
        <v>6985</v>
      </c>
      <c r="D994" s="3" t="s">
        <v>1138</v>
      </c>
      <c r="E994" s="3">
        <v>993</v>
      </c>
      <c r="F994" s="3" t="s">
        <v>3377</v>
      </c>
      <c r="G994" s="3" t="s">
        <v>3842</v>
      </c>
      <c r="H994" s="3" t="str">
        <f t="shared" si="16"/>
        <v>Output Riser D PT6 Diff, computed by BMT WinMon.</v>
      </c>
    </row>
    <row r="995" spans="1:8" x14ac:dyDescent="0.25">
      <c r="A995" s="3" t="s">
        <v>6983</v>
      </c>
      <c r="B995" s="3" t="s">
        <v>6989</v>
      </c>
      <c r="C995" s="3" t="s">
        <v>6985</v>
      </c>
      <c r="D995" s="3" t="s">
        <v>1138</v>
      </c>
      <c r="E995" s="3">
        <v>994</v>
      </c>
      <c r="F995" s="3" t="s">
        <v>3378</v>
      </c>
      <c r="G995" s="3" t="s">
        <v>3842</v>
      </c>
      <c r="H995" s="3" t="str">
        <f t="shared" ref="H995:H1058" si="17">_xlfn.CONCAT("Output ",F995, ", computed by BMT WinMon.")</f>
        <v>Output Riser D PT7 Diff, computed by BMT WinMon.</v>
      </c>
    </row>
    <row r="996" spans="1:8" x14ac:dyDescent="0.25">
      <c r="A996" s="3" t="s">
        <v>6983</v>
      </c>
      <c r="B996" s="3" t="s">
        <v>6989</v>
      </c>
      <c r="C996" s="3" t="s">
        <v>6985</v>
      </c>
      <c r="D996" s="3" t="s">
        <v>1138</v>
      </c>
      <c r="E996" s="3">
        <v>995</v>
      </c>
      <c r="F996" s="3" t="s">
        <v>3379</v>
      </c>
      <c r="G996" s="3" t="s">
        <v>3842</v>
      </c>
      <c r="H996" s="3" t="str">
        <f t="shared" si="17"/>
        <v>Output Riser D PT8 Diff, computed by BMT WinMon.</v>
      </c>
    </row>
    <row r="997" spans="1:8" x14ac:dyDescent="0.25">
      <c r="A997" s="3" t="s">
        <v>6983</v>
      </c>
      <c r="B997" s="3" t="s">
        <v>6989</v>
      </c>
      <c r="C997" s="3" t="s">
        <v>6985</v>
      </c>
      <c r="D997" s="3" t="s">
        <v>1138</v>
      </c>
      <c r="E997" s="3">
        <v>996</v>
      </c>
      <c r="F997" s="3" t="s">
        <v>3380</v>
      </c>
      <c r="G997" s="3" t="s">
        <v>1100</v>
      </c>
      <c r="H997" s="3" t="str">
        <f t="shared" si="17"/>
        <v>Output Riser D Tension, computed by BMT WinMon.</v>
      </c>
    </row>
    <row r="998" spans="1:8" x14ac:dyDescent="0.25">
      <c r="A998" s="3" t="s">
        <v>6983</v>
      </c>
      <c r="B998" s="3" t="s">
        <v>6989</v>
      </c>
      <c r="C998" s="3" t="s">
        <v>6985</v>
      </c>
      <c r="D998" s="3" t="s">
        <v>1138</v>
      </c>
      <c r="E998" s="3">
        <v>997</v>
      </c>
      <c r="F998" s="3" t="s">
        <v>3381</v>
      </c>
      <c r="G998" s="3" t="s">
        <v>1100</v>
      </c>
      <c r="H998" s="3" t="str">
        <f t="shared" si="17"/>
        <v>Output Riser E Load PT1, computed by BMT WinMon.</v>
      </c>
    </row>
    <row r="999" spans="1:8" x14ac:dyDescent="0.25">
      <c r="A999" s="3" t="s">
        <v>6983</v>
      </c>
      <c r="B999" s="3" t="s">
        <v>6989</v>
      </c>
      <c r="C999" s="3" t="s">
        <v>6985</v>
      </c>
      <c r="D999" s="3" t="s">
        <v>1138</v>
      </c>
      <c r="E999" s="3">
        <v>998</v>
      </c>
      <c r="F999" s="3" t="s">
        <v>3382</v>
      </c>
      <c r="G999" s="3" t="s">
        <v>1100</v>
      </c>
      <c r="H999" s="3" t="str">
        <f t="shared" si="17"/>
        <v>Output Riser E Load PT2, computed by BMT WinMon.</v>
      </c>
    </row>
    <row r="1000" spans="1:8" x14ac:dyDescent="0.25">
      <c r="A1000" s="3" t="s">
        <v>6983</v>
      </c>
      <c r="B1000" s="3" t="s">
        <v>6989</v>
      </c>
      <c r="C1000" s="3" t="s">
        <v>6985</v>
      </c>
      <c r="D1000" s="3" t="s">
        <v>1138</v>
      </c>
      <c r="E1000" s="3">
        <v>999</v>
      </c>
      <c r="F1000" s="3" t="s">
        <v>3383</v>
      </c>
      <c r="G1000" s="3" t="s">
        <v>1100</v>
      </c>
      <c r="H1000" s="3" t="str">
        <f t="shared" si="17"/>
        <v>Output Riser E Load PT3, computed by BMT WinMon.</v>
      </c>
    </row>
    <row r="1001" spans="1:8" x14ac:dyDescent="0.25">
      <c r="A1001" s="3" t="s">
        <v>6983</v>
      </c>
      <c r="B1001" s="3" t="s">
        <v>6989</v>
      </c>
      <c r="C1001" s="3" t="s">
        <v>6985</v>
      </c>
      <c r="D1001" s="3" t="s">
        <v>1138</v>
      </c>
      <c r="E1001" s="3">
        <v>1000</v>
      </c>
      <c r="F1001" s="3" t="s">
        <v>3384</v>
      </c>
      <c r="G1001" s="3" t="s">
        <v>1100</v>
      </c>
      <c r="H1001" s="3" t="str">
        <f t="shared" si="17"/>
        <v>Output Riser E Load PT4, computed by BMT WinMon.</v>
      </c>
    </row>
    <row r="1002" spans="1:8" x14ac:dyDescent="0.25">
      <c r="A1002" s="3" t="s">
        <v>6983</v>
      </c>
      <c r="B1002" s="3" t="s">
        <v>6989</v>
      </c>
      <c r="C1002" s="3" t="s">
        <v>6985</v>
      </c>
      <c r="D1002" s="3" t="s">
        <v>1138</v>
      </c>
      <c r="E1002" s="3">
        <v>1001</v>
      </c>
      <c r="F1002" s="3" t="s">
        <v>3385</v>
      </c>
      <c r="G1002" s="3" t="s">
        <v>3842</v>
      </c>
      <c r="H1002" s="3" t="str">
        <f t="shared" si="17"/>
        <v>Output Riser E PT1 Diff, computed by BMT WinMon.</v>
      </c>
    </row>
    <row r="1003" spans="1:8" x14ac:dyDescent="0.25">
      <c r="A1003" s="3" t="s">
        <v>6983</v>
      </c>
      <c r="B1003" s="3" t="s">
        <v>6989</v>
      </c>
      <c r="C1003" s="3" t="s">
        <v>6985</v>
      </c>
      <c r="D1003" s="3" t="s">
        <v>1138</v>
      </c>
      <c r="E1003" s="3">
        <v>1002</v>
      </c>
      <c r="F1003" s="3" t="s">
        <v>3386</v>
      </c>
      <c r="G1003" s="3" t="s">
        <v>3842</v>
      </c>
      <c r="H1003" s="3" t="str">
        <f t="shared" si="17"/>
        <v>Output Riser E PT2 Diff, computed by BMT WinMon.</v>
      </c>
    </row>
    <row r="1004" spans="1:8" x14ac:dyDescent="0.25">
      <c r="A1004" s="3" t="s">
        <v>6983</v>
      </c>
      <c r="B1004" s="3" t="s">
        <v>6989</v>
      </c>
      <c r="C1004" s="3" t="s">
        <v>6985</v>
      </c>
      <c r="D1004" s="3" t="s">
        <v>1138</v>
      </c>
      <c r="E1004" s="3">
        <v>1003</v>
      </c>
      <c r="F1004" s="3" t="s">
        <v>3387</v>
      </c>
      <c r="G1004" s="3" t="s">
        <v>3842</v>
      </c>
      <c r="H1004" s="3" t="str">
        <f t="shared" si="17"/>
        <v>Output Riser E PT3 Diff, computed by BMT WinMon.</v>
      </c>
    </row>
    <row r="1005" spans="1:8" x14ac:dyDescent="0.25">
      <c r="A1005" s="3" t="s">
        <v>6983</v>
      </c>
      <c r="B1005" s="3" t="s">
        <v>6989</v>
      </c>
      <c r="C1005" s="3" t="s">
        <v>6985</v>
      </c>
      <c r="D1005" s="3" t="s">
        <v>1138</v>
      </c>
      <c r="E1005" s="3">
        <v>1004</v>
      </c>
      <c r="F1005" s="3" t="s">
        <v>3388</v>
      </c>
      <c r="G1005" s="3" t="s">
        <v>3842</v>
      </c>
      <c r="H1005" s="3" t="str">
        <f t="shared" si="17"/>
        <v>Output Riser E PT4 Diff, computed by BMT WinMon.</v>
      </c>
    </row>
    <row r="1006" spans="1:8" x14ac:dyDescent="0.25">
      <c r="A1006" s="3" t="s">
        <v>6983</v>
      </c>
      <c r="B1006" s="3" t="s">
        <v>6989</v>
      </c>
      <c r="C1006" s="3" t="s">
        <v>6985</v>
      </c>
      <c r="D1006" s="3" t="s">
        <v>1138</v>
      </c>
      <c r="E1006" s="3">
        <v>1005</v>
      </c>
      <c r="F1006" s="3" t="s">
        <v>3389</v>
      </c>
      <c r="G1006" s="3" t="s">
        <v>1100</v>
      </c>
      <c r="H1006" s="3" t="str">
        <f t="shared" si="17"/>
        <v>Output Riser E Tension, computed by BMT WinMon.</v>
      </c>
    </row>
    <row r="1007" spans="1:8" x14ac:dyDescent="0.25">
      <c r="A1007" s="3" t="s">
        <v>6983</v>
      </c>
      <c r="B1007" s="3" t="s">
        <v>6989</v>
      </c>
      <c r="C1007" s="3" t="s">
        <v>6985</v>
      </c>
      <c r="D1007" s="3" t="s">
        <v>1138</v>
      </c>
      <c r="E1007" s="3">
        <v>1006</v>
      </c>
      <c r="F1007" s="3" t="s">
        <v>3390</v>
      </c>
      <c r="G1007" s="3" t="s">
        <v>1100</v>
      </c>
      <c r="H1007" s="3" t="str">
        <f t="shared" si="17"/>
        <v>Output Riser F Load PT1, computed by BMT WinMon.</v>
      </c>
    </row>
    <row r="1008" spans="1:8" x14ac:dyDescent="0.25">
      <c r="A1008" s="3" t="s">
        <v>6983</v>
      </c>
      <c r="B1008" s="3" t="s">
        <v>6989</v>
      </c>
      <c r="C1008" s="3" t="s">
        <v>6985</v>
      </c>
      <c r="D1008" s="3" t="s">
        <v>1138</v>
      </c>
      <c r="E1008" s="3">
        <v>1007</v>
      </c>
      <c r="F1008" s="3" t="s">
        <v>3391</v>
      </c>
      <c r="G1008" s="3" t="s">
        <v>1100</v>
      </c>
      <c r="H1008" s="3" t="str">
        <f t="shared" si="17"/>
        <v>Output Riser F Load PT2, computed by BMT WinMon.</v>
      </c>
    </row>
    <row r="1009" spans="1:8" x14ac:dyDescent="0.25">
      <c r="A1009" s="3" t="s">
        <v>6983</v>
      </c>
      <c r="B1009" s="3" t="s">
        <v>6989</v>
      </c>
      <c r="C1009" s="3" t="s">
        <v>6985</v>
      </c>
      <c r="D1009" s="3" t="s">
        <v>1138</v>
      </c>
      <c r="E1009" s="3">
        <v>1008</v>
      </c>
      <c r="F1009" s="3" t="s">
        <v>3392</v>
      </c>
      <c r="G1009" s="3" t="s">
        <v>1100</v>
      </c>
      <c r="H1009" s="3" t="str">
        <f t="shared" si="17"/>
        <v>Output Riser F Load PT3, computed by BMT WinMon.</v>
      </c>
    </row>
    <row r="1010" spans="1:8" x14ac:dyDescent="0.25">
      <c r="A1010" s="3" t="s">
        <v>6983</v>
      </c>
      <c r="B1010" s="3" t="s">
        <v>6989</v>
      </c>
      <c r="C1010" s="3" t="s">
        <v>6985</v>
      </c>
      <c r="D1010" s="3" t="s">
        <v>1138</v>
      </c>
      <c r="E1010" s="3">
        <v>1009</v>
      </c>
      <c r="F1010" s="3" t="s">
        <v>3393</v>
      </c>
      <c r="G1010" s="3" t="s">
        <v>1100</v>
      </c>
      <c r="H1010" s="3" t="str">
        <f t="shared" si="17"/>
        <v>Output Riser F Load PT4, computed by BMT WinMon.</v>
      </c>
    </row>
    <row r="1011" spans="1:8" x14ac:dyDescent="0.25">
      <c r="A1011" s="3" t="s">
        <v>6983</v>
      </c>
      <c r="B1011" s="3" t="s">
        <v>6989</v>
      </c>
      <c r="C1011" s="3" t="s">
        <v>6985</v>
      </c>
      <c r="D1011" s="3" t="s">
        <v>1138</v>
      </c>
      <c r="E1011" s="3">
        <v>1010</v>
      </c>
      <c r="F1011" s="3" t="s">
        <v>3394</v>
      </c>
      <c r="G1011" s="3" t="s">
        <v>3842</v>
      </c>
      <c r="H1011" s="3" t="str">
        <f t="shared" si="17"/>
        <v>Output Riser F PT1 Diff, computed by BMT WinMon.</v>
      </c>
    </row>
    <row r="1012" spans="1:8" x14ac:dyDescent="0.25">
      <c r="A1012" s="3" t="s">
        <v>6983</v>
      </c>
      <c r="B1012" s="3" t="s">
        <v>6989</v>
      </c>
      <c r="C1012" s="3" t="s">
        <v>6985</v>
      </c>
      <c r="D1012" s="3" t="s">
        <v>1138</v>
      </c>
      <c r="E1012" s="3">
        <v>1011</v>
      </c>
      <c r="F1012" s="3" t="s">
        <v>3395</v>
      </c>
      <c r="G1012" s="3" t="s">
        <v>3842</v>
      </c>
      <c r="H1012" s="3" t="str">
        <f t="shared" si="17"/>
        <v>Output Riser F PT2 Diff, computed by BMT WinMon.</v>
      </c>
    </row>
    <row r="1013" spans="1:8" x14ac:dyDescent="0.25">
      <c r="A1013" s="3" t="s">
        <v>6983</v>
      </c>
      <c r="B1013" s="3" t="s">
        <v>6989</v>
      </c>
      <c r="C1013" s="3" t="s">
        <v>6985</v>
      </c>
      <c r="D1013" s="3" t="s">
        <v>1138</v>
      </c>
      <c r="E1013" s="3">
        <v>1012</v>
      </c>
      <c r="F1013" s="3" t="s">
        <v>3396</v>
      </c>
      <c r="G1013" s="3" t="s">
        <v>3842</v>
      </c>
      <c r="H1013" s="3" t="str">
        <f t="shared" si="17"/>
        <v>Output Riser F PT3 Diff, computed by BMT WinMon.</v>
      </c>
    </row>
    <row r="1014" spans="1:8" x14ac:dyDescent="0.25">
      <c r="A1014" s="3" t="s">
        <v>6983</v>
      </c>
      <c r="B1014" s="3" t="s">
        <v>6989</v>
      </c>
      <c r="C1014" s="3" t="s">
        <v>6985</v>
      </c>
      <c r="D1014" s="3" t="s">
        <v>1138</v>
      </c>
      <c r="E1014" s="3">
        <v>1013</v>
      </c>
      <c r="F1014" s="3" t="s">
        <v>3397</v>
      </c>
      <c r="G1014" s="3" t="s">
        <v>3842</v>
      </c>
      <c r="H1014" s="3" t="str">
        <f t="shared" si="17"/>
        <v>Output Riser F PT4 Diff, computed by BMT WinMon.</v>
      </c>
    </row>
    <row r="1015" spans="1:8" x14ac:dyDescent="0.25">
      <c r="A1015" s="3" t="s">
        <v>6983</v>
      </c>
      <c r="B1015" s="3" t="s">
        <v>6989</v>
      </c>
      <c r="C1015" s="3" t="s">
        <v>6985</v>
      </c>
      <c r="D1015" s="3" t="s">
        <v>1138</v>
      </c>
      <c r="E1015" s="3">
        <v>1014</v>
      </c>
      <c r="F1015" s="3" t="s">
        <v>3398</v>
      </c>
      <c r="G1015" s="3" t="s">
        <v>1100</v>
      </c>
      <c r="H1015" s="3" t="str">
        <f t="shared" si="17"/>
        <v>Output Riser F Tension, computed by BMT WinMon.</v>
      </c>
    </row>
    <row r="1016" spans="1:8" x14ac:dyDescent="0.25">
      <c r="A1016" s="3" t="s">
        <v>6983</v>
      </c>
      <c r="B1016" s="3" t="s">
        <v>6989</v>
      </c>
      <c r="C1016" s="3" t="s">
        <v>6985</v>
      </c>
      <c r="D1016" s="3" t="s">
        <v>1138</v>
      </c>
      <c r="E1016" s="3">
        <v>1015</v>
      </c>
      <c r="F1016" s="3" t="s">
        <v>3399</v>
      </c>
      <c r="G1016" s="3" t="s">
        <v>1100</v>
      </c>
      <c r="H1016" s="3" t="str">
        <f t="shared" si="17"/>
        <v>Output Riser G Load PT1, computed by BMT WinMon.</v>
      </c>
    </row>
    <row r="1017" spans="1:8" x14ac:dyDescent="0.25">
      <c r="A1017" s="3" t="s">
        <v>6983</v>
      </c>
      <c r="B1017" s="3" t="s">
        <v>6989</v>
      </c>
      <c r="C1017" s="3" t="s">
        <v>6985</v>
      </c>
      <c r="D1017" s="3" t="s">
        <v>1138</v>
      </c>
      <c r="E1017" s="3">
        <v>1016</v>
      </c>
      <c r="F1017" s="3" t="s">
        <v>3400</v>
      </c>
      <c r="G1017" s="3" t="s">
        <v>1100</v>
      </c>
      <c r="H1017" s="3" t="str">
        <f t="shared" si="17"/>
        <v>Output Riser G Load PT2, computed by BMT WinMon.</v>
      </c>
    </row>
    <row r="1018" spans="1:8" x14ac:dyDescent="0.25">
      <c r="A1018" s="3" t="s">
        <v>6983</v>
      </c>
      <c r="B1018" s="3" t="s">
        <v>6989</v>
      </c>
      <c r="C1018" s="3" t="s">
        <v>6985</v>
      </c>
      <c r="D1018" s="3" t="s">
        <v>1138</v>
      </c>
      <c r="E1018" s="3">
        <v>1017</v>
      </c>
      <c r="F1018" s="3" t="s">
        <v>3401</v>
      </c>
      <c r="G1018" s="3" t="s">
        <v>1100</v>
      </c>
      <c r="H1018" s="3" t="str">
        <f t="shared" si="17"/>
        <v>Output Riser G Load PT3, computed by BMT WinMon.</v>
      </c>
    </row>
    <row r="1019" spans="1:8" x14ac:dyDescent="0.25">
      <c r="A1019" s="3" t="s">
        <v>6983</v>
      </c>
      <c r="B1019" s="3" t="s">
        <v>6989</v>
      </c>
      <c r="C1019" s="3" t="s">
        <v>6985</v>
      </c>
      <c r="D1019" s="3" t="s">
        <v>1138</v>
      </c>
      <c r="E1019" s="3">
        <v>1018</v>
      </c>
      <c r="F1019" s="3" t="s">
        <v>3402</v>
      </c>
      <c r="G1019" s="3" t="s">
        <v>1100</v>
      </c>
      <c r="H1019" s="3" t="str">
        <f t="shared" si="17"/>
        <v>Output Riser G Load PT4, computed by BMT WinMon.</v>
      </c>
    </row>
    <row r="1020" spans="1:8" x14ac:dyDescent="0.25">
      <c r="A1020" s="3" t="s">
        <v>6983</v>
      </c>
      <c r="B1020" s="3" t="s">
        <v>6989</v>
      </c>
      <c r="C1020" s="3" t="s">
        <v>6985</v>
      </c>
      <c r="D1020" s="3" t="s">
        <v>1138</v>
      </c>
      <c r="E1020" s="3">
        <v>1019</v>
      </c>
      <c r="F1020" s="3" t="s">
        <v>3403</v>
      </c>
      <c r="G1020" s="3" t="s">
        <v>1100</v>
      </c>
      <c r="H1020" s="3" t="str">
        <f t="shared" si="17"/>
        <v>Output Riser G Load PT5, computed by BMT WinMon.</v>
      </c>
    </row>
    <row r="1021" spans="1:8" x14ac:dyDescent="0.25">
      <c r="A1021" s="3" t="s">
        <v>6983</v>
      </c>
      <c r="B1021" s="3" t="s">
        <v>6989</v>
      </c>
      <c r="C1021" s="3" t="s">
        <v>6985</v>
      </c>
      <c r="D1021" s="3" t="s">
        <v>1138</v>
      </c>
      <c r="E1021" s="3">
        <v>1020</v>
      </c>
      <c r="F1021" s="3" t="s">
        <v>3404</v>
      </c>
      <c r="G1021" s="3" t="s">
        <v>1100</v>
      </c>
      <c r="H1021" s="3" t="str">
        <f t="shared" si="17"/>
        <v>Output Riser G Load PT6, computed by BMT WinMon.</v>
      </c>
    </row>
    <row r="1022" spans="1:8" x14ac:dyDescent="0.25">
      <c r="A1022" s="3" t="s">
        <v>6983</v>
      </c>
      <c r="B1022" s="3" t="s">
        <v>6989</v>
      </c>
      <c r="C1022" s="3" t="s">
        <v>6985</v>
      </c>
      <c r="D1022" s="3" t="s">
        <v>1138</v>
      </c>
      <c r="E1022" s="3">
        <v>1021</v>
      </c>
      <c r="F1022" s="3" t="s">
        <v>3405</v>
      </c>
      <c r="G1022" s="3" t="s">
        <v>1100</v>
      </c>
      <c r="H1022" s="3" t="str">
        <f t="shared" si="17"/>
        <v>Output Riser G Load PT7, computed by BMT WinMon.</v>
      </c>
    </row>
    <row r="1023" spans="1:8" x14ac:dyDescent="0.25">
      <c r="A1023" s="3" t="s">
        <v>6983</v>
      </c>
      <c r="B1023" s="3" t="s">
        <v>6989</v>
      </c>
      <c r="C1023" s="3" t="s">
        <v>6985</v>
      </c>
      <c r="D1023" s="3" t="s">
        <v>1138</v>
      </c>
      <c r="E1023" s="3">
        <v>1022</v>
      </c>
      <c r="F1023" s="3" t="s">
        <v>3406</v>
      </c>
      <c r="G1023" s="3" t="s">
        <v>1100</v>
      </c>
      <c r="H1023" s="3" t="str">
        <f t="shared" si="17"/>
        <v>Output Riser G Load PT8, computed by BMT WinMon.</v>
      </c>
    </row>
    <row r="1024" spans="1:8" x14ac:dyDescent="0.25">
      <c r="A1024" s="3" t="s">
        <v>6983</v>
      </c>
      <c r="B1024" s="3" t="s">
        <v>6989</v>
      </c>
      <c r="C1024" s="3" t="s">
        <v>6985</v>
      </c>
      <c r="D1024" s="3" t="s">
        <v>1138</v>
      </c>
      <c r="E1024" s="3">
        <v>1023</v>
      </c>
      <c r="F1024" s="3" t="s">
        <v>3407</v>
      </c>
      <c r="G1024" s="3" t="s">
        <v>3842</v>
      </c>
      <c r="H1024" s="3" t="str">
        <f t="shared" si="17"/>
        <v>Output Riser G PT1 Diff, computed by BMT WinMon.</v>
      </c>
    </row>
    <row r="1025" spans="1:8" x14ac:dyDescent="0.25">
      <c r="A1025" s="3" t="s">
        <v>6983</v>
      </c>
      <c r="B1025" s="3" t="s">
        <v>6989</v>
      </c>
      <c r="C1025" s="3" t="s">
        <v>6985</v>
      </c>
      <c r="D1025" s="3" t="s">
        <v>1138</v>
      </c>
      <c r="E1025" s="3">
        <v>1024</v>
      </c>
      <c r="F1025" s="3" t="s">
        <v>3408</v>
      </c>
      <c r="G1025" s="3" t="s">
        <v>3842</v>
      </c>
      <c r="H1025" s="3" t="str">
        <f t="shared" si="17"/>
        <v>Output Riser G PT2 Diff, computed by BMT WinMon.</v>
      </c>
    </row>
    <row r="1026" spans="1:8" x14ac:dyDescent="0.25">
      <c r="A1026" s="3" t="s">
        <v>6983</v>
      </c>
      <c r="B1026" s="3" t="s">
        <v>6989</v>
      </c>
      <c r="C1026" s="3" t="s">
        <v>6985</v>
      </c>
      <c r="D1026" s="3" t="s">
        <v>1138</v>
      </c>
      <c r="E1026" s="3">
        <v>1025</v>
      </c>
      <c r="F1026" s="3" t="s">
        <v>3409</v>
      </c>
      <c r="G1026" s="3" t="s">
        <v>3842</v>
      </c>
      <c r="H1026" s="3" t="str">
        <f t="shared" si="17"/>
        <v>Output Riser G PT3 Diff, computed by BMT WinMon.</v>
      </c>
    </row>
    <row r="1027" spans="1:8" x14ac:dyDescent="0.25">
      <c r="A1027" s="3" t="s">
        <v>6983</v>
      </c>
      <c r="B1027" s="3" t="s">
        <v>6989</v>
      </c>
      <c r="C1027" s="3" t="s">
        <v>6985</v>
      </c>
      <c r="D1027" s="3" t="s">
        <v>1138</v>
      </c>
      <c r="E1027" s="3">
        <v>1026</v>
      </c>
      <c r="F1027" s="3" t="s">
        <v>3410</v>
      </c>
      <c r="G1027" s="3" t="s">
        <v>3842</v>
      </c>
      <c r="H1027" s="3" t="str">
        <f t="shared" si="17"/>
        <v>Output Riser G PT4 Diff, computed by BMT WinMon.</v>
      </c>
    </row>
    <row r="1028" spans="1:8" x14ac:dyDescent="0.25">
      <c r="A1028" s="3" t="s">
        <v>6983</v>
      </c>
      <c r="B1028" s="3" t="s">
        <v>6989</v>
      </c>
      <c r="C1028" s="3" t="s">
        <v>6985</v>
      </c>
      <c r="D1028" s="3" t="s">
        <v>1138</v>
      </c>
      <c r="E1028" s="3">
        <v>1027</v>
      </c>
      <c r="F1028" s="3" t="s">
        <v>3411</v>
      </c>
      <c r="G1028" s="3" t="s">
        <v>3842</v>
      </c>
      <c r="H1028" s="3" t="str">
        <f t="shared" si="17"/>
        <v>Output Riser G PT5 Diff, computed by BMT WinMon.</v>
      </c>
    </row>
    <row r="1029" spans="1:8" x14ac:dyDescent="0.25">
      <c r="A1029" s="3" t="s">
        <v>6983</v>
      </c>
      <c r="B1029" s="3" t="s">
        <v>6989</v>
      </c>
      <c r="C1029" s="3" t="s">
        <v>6985</v>
      </c>
      <c r="D1029" s="3" t="s">
        <v>1138</v>
      </c>
      <c r="E1029" s="3">
        <v>1028</v>
      </c>
      <c r="F1029" s="3" t="s">
        <v>3412</v>
      </c>
      <c r="G1029" s="3" t="s">
        <v>3842</v>
      </c>
      <c r="H1029" s="3" t="str">
        <f t="shared" si="17"/>
        <v>Output Riser G PT6 Diff, computed by BMT WinMon.</v>
      </c>
    </row>
    <row r="1030" spans="1:8" x14ac:dyDescent="0.25">
      <c r="A1030" s="3" t="s">
        <v>6983</v>
      </c>
      <c r="B1030" s="3" t="s">
        <v>6989</v>
      </c>
      <c r="C1030" s="3" t="s">
        <v>6985</v>
      </c>
      <c r="D1030" s="3" t="s">
        <v>1138</v>
      </c>
      <c r="E1030" s="3">
        <v>1029</v>
      </c>
      <c r="F1030" s="3" t="s">
        <v>3413</v>
      </c>
      <c r="G1030" s="3" t="s">
        <v>3842</v>
      </c>
      <c r="H1030" s="3" t="str">
        <f t="shared" si="17"/>
        <v>Output Riser G PT7 Diff, computed by BMT WinMon.</v>
      </c>
    </row>
    <row r="1031" spans="1:8" x14ac:dyDescent="0.25">
      <c r="A1031" s="3" t="s">
        <v>6983</v>
      </c>
      <c r="B1031" s="3" t="s">
        <v>6989</v>
      </c>
      <c r="C1031" s="3" t="s">
        <v>6985</v>
      </c>
      <c r="D1031" s="3" t="s">
        <v>1138</v>
      </c>
      <c r="E1031" s="3">
        <v>1030</v>
      </c>
      <c r="F1031" s="3" t="s">
        <v>3414</v>
      </c>
      <c r="G1031" s="3" t="s">
        <v>3842</v>
      </c>
      <c r="H1031" s="3" t="str">
        <f t="shared" si="17"/>
        <v>Output Riser G PT8 Diff, computed by BMT WinMon.</v>
      </c>
    </row>
    <row r="1032" spans="1:8" x14ac:dyDescent="0.25">
      <c r="A1032" s="3" t="s">
        <v>6983</v>
      </c>
      <c r="B1032" s="3" t="s">
        <v>6989</v>
      </c>
      <c r="C1032" s="3" t="s">
        <v>6985</v>
      </c>
      <c r="D1032" s="3" t="s">
        <v>1138</v>
      </c>
      <c r="E1032" s="3">
        <v>1031</v>
      </c>
      <c r="F1032" s="3" t="s">
        <v>3415</v>
      </c>
      <c r="G1032" s="3" t="s">
        <v>1100</v>
      </c>
      <c r="H1032" s="3" t="str">
        <f t="shared" si="17"/>
        <v>Output Riser G Tension, computed by BMT WinMon.</v>
      </c>
    </row>
    <row r="1033" spans="1:8" x14ac:dyDescent="0.25">
      <c r="A1033" s="3" t="s">
        <v>6983</v>
      </c>
      <c r="B1033" s="3" t="s">
        <v>6989</v>
      </c>
      <c r="C1033" s="3" t="s">
        <v>6985</v>
      </c>
      <c r="D1033" s="3" t="s">
        <v>1138</v>
      </c>
      <c r="E1033" s="3">
        <v>1032</v>
      </c>
      <c r="F1033" s="3" t="s">
        <v>3416</v>
      </c>
      <c r="G1033" s="3" t="s">
        <v>1100</v>
      </c>
      <c r="H1033" s="3" t="str">
        <f t="shared" si="17"/>
        <v>Output Riser H Load PT1, computed by BMT WinMon.</v>
      </c>
    </row>
    <row r="1034" spans="1:8" x14ac:dyDescent="0.25">
      <c r="A1034" s="3" t="s">
        <v>6983</v>
      </c>
      <c r="B1034" s="3" t="s">
        <v>6989</v>
      </c>
      <c r="C1034" s="3" t="s">
        <v>6985</v>
      </c>
      <c r="D1034" s="3" t="s">
        <v>1138</v>
      </c>
      <c r="E1034" s="3">
        <v>1033</v>
      </c>
      <c r="F1034" s="3" t="s">
        <v>3417</v>
      </c>
      <c r="G1034" s="3" t="s">
        <v>1100</v>
      </c>
      <c r="H1034" s="3" t="str">
        <f t="shared" si="17"/>
        <v>Output Riser H Load PT2, computed by BMT WinMon.</v>
      </c>
    </row>
    <row r="1035" spans="1:8" x14ac:dyDescent="0.25">
      <c r="A1035" s="3" t="s">
        <v>6983</v>
      </c>
      <c r="B1035" s="3" t="s">
        <v>6989</v>
      </c>
      <c r="C1035" s="3" t="s">
        <v>6985</v>
      </c>
      <c r="D1035" s="3" t="s">
        <v>1138</v>
      </c>
      <c r="E1035" s="3">
        <v>1034</v>
      </c>
      <c r="F1035" s="3" t="s">
        <v>3418</v>
      </c>
      <c r="G1035" s="3" t="s">
        <v>1100</v>
      </c>
      <c r="H1035" s="3" t="str">
        <f t="shared" si="17"/>
        <v>Output Riser H Load PT3, computed by BMT WinMon.</v>
      </c>
    </row>
    <row r="1036" spans="1:8" x14ac:dyDescent="0.25">
      <c r="A1036" s="3" t="s">
        <v>6983</v>
      </c>
      <c r="B1036" s="3" t="s">
        <v>6989</v>
      </c>
      <c r="C1036" s="3" t="s">
        <v>6985</v>
      </c>
      <c r="D1036" s="3" t="s">
        <v>1138</v>
      </c>
      <c r="E1036" s="3">
        <v>1035</v>
      </c>
      <c r="F1036" s="3" t="s">
        <v>3419</v>
      </c>
      <c r="G1036" s="3" t="s">
        <v>1100</v>
      </c>
      <c r="H1036" s="3" t="str">
        <f t="shared" si="17"/>
        <v>Output Riser H Load PT4, computed by BMT WinMon.</v>
      </c>
    </row>
    <row r="1037" spans="1:8" x14ac:dyDescent="0.25">
      <c r="A1037" s="3" t="s">
        <v>6983</v>
      </c>
      <c r="B1037" s="3" t="s">
        <v>6989</v>
      </c>
      <c r="C1037" s="3" t="s">
        <v>6985</v>
      </c>
      <c r="D1037" s="3" t="s">
        <v>1138</v>
      </c>
      <c r="E1037" s="3">
        <v>1036</v>
      </c>
      <c r="F1037" s="3" t="s">
        <v>3420</v>
      </c>
      <c r="G1037" s="3" t="s">
        <v>3842</v>
      </c>
      <c r="H1037" s="3" t="str">
        <f t="shared" si="17"/>
        <v>Output Riser H PT1 Diff, computed by BMT WinMon.</v>
      </c>
    </row>
    <row r="1038" spans="1:8" x14ac:dyDescent="0.25">
      <c r="A1038" s="3" t="s">
        <v>6983</v>
      </c>
      <c r="B1038" s="3" t="s">
        <v>6989</v>
      </c>
      <c r="C1038" s="3" t="s">
        <v>6985</v>
      </c>
      <c r="D1038" s="3" t="s">
        <v>1138</v>
      </c>
      <c r="E1038" s="3">
        <v>1037</v>
      </c>
      <c r="F1038" s="3" t="s">
        <v>3421</v>
      </c>
      <c r="G1038" s="3" t="s">
        <v>3842</v>
      </c>
      <c r="H1038" s="3" t="str">
        <f t="shared" si="17"/>
        <v>Output Riser H PT2 Diff, computed by BMT WinMon.</v>
      </c>
    </row>
    <row r="1039" spans="1:8" x14ac:dyDescent="0.25">
      <c r="A1039" s="3" t="s">
        <v>6983</v>
      </c>
      <c r="B1039" s="3" t="s">
        <v>6989</v>
      </c>
      <c r="C1039" s="3" t="s">
        <v>6985</v>
      </c>
      <c r="D1039" s="3" t="s">
        <v>1138</v>
      </c>
      <c r="E1039" s="3">
        <v>1038</v>
      </c>
      <c r="F1039" s="3" t="s">
        <v>3422</v>
      </c>
      <c r="G1039" s="3" t="s">
        <v>3842</v>
      </c>
      <c r="H1039" s="3" t="str">
        <f t="shared" si="17"/>
        <v>Output Riser H PT3 Diff, computed by BMT WinMon.</v>
      </c>
    </row>
    <row r="1040" spans="1:8" x14ac:dyDescent="0.25">
      <c r="A1040" s="3" t="s">
        <v>6983</v>
      </c>
      <c r="B1040" s="3" t="s">
        <v>6989</v>
      </c>
      <c r="C1040" s="3" t="s">
        <v>6985</v>
      </c>
      <c r="D1040" s="3" t="s">
        <v>1138</v>
      </c>
      <c r="E1040" s="3">
        <v>1039</v>
      </c>
      <c r="F1040" s="3" t="s">
        <v>3423</v>
      </c>
      <c r="G1040" s="3" t="s">
        <v>3842</v>
      </c>
      <c r="H1040" s="3" t="str">
        <f t="shared" si="17"/>
        <v>Output Riser H PT4 Diff, computed by BMT WinMon.</v>
      </c>
    </row>
    <row r="1041" spans="1:8" x14ac:dyDescent="0.25">
      <c r="A1041" s="3" t="s">
        <v>6983</v>
      </c>
      <c r="B1041" s="3" t="s">
        <v>6989</v>
      </c>
      <c r="C1041" s="3" t="s">
        <v>6985</v>
      </c>
      <c r="D1041" s="3" t="s">
        <v>1138</v>
      </c>
      <c r="E1041" s="3">
        <v>1040</v>
      </c>
      <c r="F1041" s="3" t="s">
        <v>3424</v>
      </c>
      <c r="G1041" s="3" t="s">
        <v>1100</v>
      </c>
      <c r="H1041" s="3" t="str">
        <f t="shared" si="17"/>
        <v>Output Riser H Tension, computed by BMT WinMon.</v>
      </c>
    </row>
    <row r="1042" spans="1:8" x14ac:dyDescent="0.25">
      <c r="A1042" s="3" t="s">
        <v>6983</v>
      </c>
      <c r="B1042" s="3" t="s">
        <v>6989</v>
      </c>
      <c r="C1042" s="3" t="s">
        <v>6985</v>
      </c>
      <c r="D1042" s="3" t="s">
        <v>1138</v>
      </c>
      <c r="E1042" s="3">
        <v>1041</v>
      </c>
      <c r="F1042" s="3" t="s">
        <v>3425</v>
      </c>
      <c r="G1042" s="3" t="s">
        <v>1100</v>
      </c>
      <c r="H1042" s="3" t="str">
        <f t="shared" si="17"/>
        <v>Output Riser I Load PT1, computed by BMT WinMon.</v>
      </c>
    </row>
    <row r="1043" spans="1:8" x14ac:dyDescent="0.25">
      <c r="A1043" s="3" t="s">
        <v>6983</v>
      </c>
      <c r="B1043" s="3" t="s">
        <v>6989</v>
      </c>
      <c r="C1043" s="3" t="s">
        <v>6985</v>
      </c>
      <c r="D1043" s="3" t="s">
        <v>1138</v>
      </c>
      <c r="E1043" s="3">
        <v>1042</v>
      </c>
      <c r="F1043" s="3" t="s">
        <v>3426</v>
      </c>
      <c r="G1043" s="3" t="s">
        <v>1100</v>
      </c>
      <c r="H1043" s="3" t="str">
        <f t="shared" si="17"/>
        <v>Output Riser I Load PT2, computed by BMT WinMon.</v>
      </c>
    </row>
    <row r="1044" spans="1:8" x14ac:dyDescent="0.25">
      <c r="A1044" s="3" t="s">
        <v>6983</v>
      </c>
      <c r="B1044" s="3" t="s">
        <v>6989</v>
      </c>
      <c r="C1044" s="3" t="s">
        <v>6985</v>
      </c>
      <c r="D1044" s="3" t="s">
        <v>1138</v>
      </c>
      <c r="E1044" s="3">
        <v>1043</v>
      </c>
      <c r="F1044" s="3" t="s">
        <v>3427</v>
      </c>
      <c r="G1044" s="3" t="s">
        <v>1100</v>
      </c>
      <c r="H1044" s="3" t="str">
        <f t="shared" si="17"/>
        <v>Output Riser I Load PT3, computed by BMT WinMon.</v>
      </c>
    </row>
    <row r="1045" spans="1:8" x14ac:dyDescent="0.25">
      <c r="A1045" s="3" t="s">
        <v>6983</v>
      </c>
      <c r="B1045" s="3" t="s">
        <v>6989</v>
      </c>
      <c r="C1045" s="3" t="s">
        <v>6985</v>
      </c>
      <c r="D1045" s="3" t="s">
        <v>1138</v>
      </c>
      <c r="E1045" s="3">
        <v>1044</v>
      </c>
      <c r="F1045" s="3" t="s">
        <v>3428</v>
      </c>
      <c r="G1045" s="3" t="s">
        <v>1100</v>
      </c>
      <c r="H1045" s="3" t="str">
        <f t="shared" si="17"/>
        <v>Output Riser I Load PT4, computed by BMT WinMon.</v>
      </c>
    </row>
    <row r="1046" spans="1:8" x14ac:dyDescent="0.25">
      <c r="A1046" s="3" t="s">
        <v>6983</v>
      </c>
      <c r="B1046" s="3" t="s">
        <v>6989</v>
      </c>
      <c r="C1046" s="3" t="s">
        <v>6985</v>
      </c>
      <c r="D1046" s="3" t="s">
        <v>1138</v>
      </c>
      <c r="E1046" s="3">
        <v>1045</v>
      </c>
      <c r="F1046" s="3" t="s">
        <v>3429</v>
      </c>
      <c r="G1046" s="3" t="s">
        <v>3842</v>
      </c>
      <c r="H1046" s="3" t="str">
        <f t="shared" si="17"/>
        <v>Output Riser I PT1 Diff, computed by BMT WinMon.</v>
      </c>
    </row>
    <row r="1047" spans="1:8" x14ac:dyDescent="0.25">
      <c r="A1047" s="3" t="s">
        <v>6983</v>
      </c>
      <c r="B1047" s="3" t="s">
        <v>6989</v>
      </c>
      <c r="C1047" s="3" t="s">
        <v>6985</v>
      </c>
      <c r="D1047" s="3" t="s">
        <v>1138</v>
      </c>
      <c r="E1047" s="3">
        <v>1046</v>
      </c>
      <c r="F1047" s="3" t="s">
        <v>3430</v>
      </c>
      <c r="G1047" s="3" t="s">
        <v>3842</v>
      </c>
      <c r="H1047" s="3" t="str">
        <f t="shared" si="17"/>
        <v>Output Riser I PT2 Diff, computed by BMT WinMon.</v>
      </c>
    </row>
    <row r="1048" spans="1:8" x14ac:dyDescent="0.25">
      <c r="A1048" s="3" t="s">
        <v>6983</v>
      </c>
      <c r="B1048" s="3" t="s">
        <v>6989</v>
      </c>
      <c r="C1048" s="3" t="s">
        <v>6985</v>
      </c>
      <c r="D1048" s="3" t="s">
        <v>1138</v>
      </c>
      <c r="E1048" s="3">
        <v>1047</v>
      </c>
      <c r="F1048" s="3" t="s">
        <v>3431</v>
      </c>
      <c r="G1048" s="3" t="s">
        <v>3842</v>
      </c>
      <c r="H1048" s="3" t="str">
        <f t="shared" si="17"/>
        <v>Output Riser I PT3 Diff, computed by BMT WinMon.</v>
      </c>
    </row>
    <row r="1049" spans="1:8" x14ac:dyDescent="0.25">
      <c r="A1049" s="3" t="s">
        <v>6983</v>
      </c>
      <c r="B1049" s="3" t="s">
        <v>6989</v>
      </c>
      <c r="C1049" s="3" t="s">
        <v>6985</v>
      </c>
      <c r="D1049" s="3" t="s">
        <v>1138</v>
      </c>
      <c r="E1049" s="3">
        <v>1048</v>
      </c>
      <c r="F1049" s="3" t="s">
        <v>3432</v>
      </c>
      <c r="G1049" s="3" t="s">
        <v>3842</v>
      </c>
      <c r="H1049" s="3" t="str">
        <f t="shared" si="17"/>
        <v>Output Riser I PT4 Diff, computed by BMT WinMon.</v>
      </c>
    </row>
    <row r="1050" spans="1:8" x14ac:dyDescent="0.25">
      <c r="A1050" s="3" t="s">
        <v>6983</v>
      </c>
      <c r="B1050" s="3" t="s">
        <v>6989</v>
      </c>
      <c r="C1050" s="3" t="s">
        <v>6985</v>
      </c>
      <c r="D1050" s="3" t="s">
        <v>1138</v>
      </c>
      <c r="E1050" s="3">
        <v>1049</v>
      </c>
      <c r="F1050" s="3" t="s">
        <v>3433</v>
      </c>
      <c r="G1050" s="3" t="s">
        <v>1100</v>
      </c>
      <c r="H1050" s="3" t="str">
        <f t="shared" si="17"/>
        <v>Output Riser I Tension, computed by BMT WinMon.</v>
      </c>
    </row>
    <row r="1051" spans="1:8" x14ac:dyDescent="0.25">
      <c r="A1051" s="3" t="s">
        <v>6983</v>
      </c>
      <c r="B1051" s="3" t="s">
        <v>6989</v>
      </c>
      <c r="C1051" s="3" t="s">
        <v>6985</v>
      </c>
      <c r="D1051" s="3" t="s">
        <v>1138</v>
      </c>
      <c r="E1051" s="3">
        <v>1050</v>
      </c>
      <c r="F1051" s="3" t="s">
        <v>3434</v>
      </c>
      <c r="G1051" s="3" t="s">
        <v>1100</v>
      </c>
      <c r="H1051" s="3" t="str">
        <f t="shared" si="17"/>
        <v>Output Riser J Load PT1, computed by BMT WinMon.</v>
      </c>
    </row>
    <row r="1052" spans="1:8" x14ac:dyDescent="0.25">
      <c r="A1052" s="3" t="s">
        <v>6983</v>
      </c>
      <c r="B1052" s="3" t="s">
        <v>6989</v>
      </c>
      <c r="C1052" s="3" t="s">
        <v>6985</v>
      </c>
      <c r="D1052" s="3" t="s">
        <v>1138</v>
      </c>
      <c r="E1052" s="3">
        <v>1051</v>
      </c>
      <c r="F1052" s="3" t="s">
        <v>3435</v>
      </c>
      <c r="G1052" s="3" t="s">
        <v>1100</v>
      </c>
      <c r="H1052" s="3" t="str">
        <f t="shared" si="17"/>
        <v>Output Riser J Load PT2, computed by BMT WinMon.</v>
      </c>
    </row>
    <row r="1053" spans="1:8" x14ac:dyDescent="0.25">
      <c r="A1053" s="3" t="s">
        <v>6983</v>
      </c>
      <c r="B1053" s="3" t="s">
        <v>6989</v>
      </c>
      <c r="C1053" s="3" t="s">
        <v>6985</v>
      </c>
      <c r="D1053" s="3" t="s">
        <v>1138</v>
      </c>
      <c r="E1053" s="3">
        <v>1052</v>
      </c>
      <c r="F1053" s="3" t="s">
        <v>3436</v>
      </c>
      <c r="G1053" s="3" t="s">
        <v>1100</v>
      </c>
      <c r="H1053" s="3" t="str">
        <f t="shared" si="17"/>
        <v>Output Riser J Load PT3, computed by BMT WinMon.</v>
      </c>
    </row>
    <row r="1054" spans="1:8" x14ac:dyDescent="0.25">
      <c r="A1054" s="3" t="s">
        <v>6983</v>
      </c>
      <c r="B1054" s="3" t="s">
        <v>6989</v>
      </c>
      <c r="C1054" s="3" t="s">
        <v>6985</v>
      </c>
      <c r="D1054" s="3" t="s">
        <v>1138</v>
      </c>
      <c r="E1054" s="3">
        <v>1053</v>
      </c>
      <c r="F1054" s="3" t="s">
        <v>3437</v>
      </c>
      <c r="G1054" s="3" t="s">
        <v>1100</v>
      </c>
      <c r="H1054" s="3" t="str">
        <f t="shared" si="17"/>
        <v>Output Riser J Load PT4, computed by BMT WinMon.</v>
      </c>
    </row>
    <row r="1055" spans="1:8" x14ac:dyDescent="0.25">
      <c r="A1055" s="3" t="s">
        <v>6983</v>
      </c>
      <c r="B1055" s="3" t="s">
        <v>6989</v>
      </c>
      <c r="C1055" s="3" t="s">
        <v>6985</v>
      </c>
      <c r="D1055" s="3" t="s">
        <v>1138</v>
      </c>
      <c r="E1055" s="3">
        <v>1054</v>
      </c>
      <c r="F1055" s="3" t="s">
        <v>3438</v>
      </c>
      <c r="G1055" s="3" t="s">
        <v>3842</v>
      </c>
      <c r="H1055" s="3" t="str">
        <f t="shared" si="17"/>
        <v>Output Riser J PT1 Diff, computed by BMT WinMon.</v>
      </c>
    </row>
    <row r="1056" spans="1:8" x14ac:dyDescent="0.25">
      <c r="A1056" s="3" t="s">
        <v>6983</v>
      </c>
      <c r="B1056" s="3" t="s">
        <v>6989</v>
      </c>
      <c r="C1056" s="3" t="s">
        <v>6985</v>
      </c>
      <c r="D1056" s="3" t="s">
        <v>1138</v>
      </c>
      <c r="E1056" s="3">
        <v>1055</v>
      </c>
      <c r="F1056" s="3" t="s">
        <v>3439</v>
      </c>
      <c r="G1056" s="3" t="s">
        <v>3842</v>
      </c>
      <c r="H1056" s="3" t="str">
        <f t="shared" si="17"/>
        <v>Output Riser J PT2 Diff, computed by BMT WinMon.</v>
      </c>
    </row>
    <row r="1057" spans="1:8" x14ac:dyDescent="0.25">
      <c r="A1057" s="3" t="s">
        <v>6983</v>
      </c>
      <c r="B1057" s="3" t="s">
        <v>6989</v>
      </c>
      <c r="C1057" s="3" t="s">
        <v>6985</v>
      </c>
      <c r="D1057" s="3" t="s">
        <v>1138</v>
      </c>
      <c r="E1057" s="3">
        <v>1056</v>
      </c>
      <c r="F1057" s="3" t="s">
        <v>3440</v>
      </c>
      <c r="G1057" s="3" t="s">
        <v>3842</v>
      </c>
      <c r="H1057" s="3" t="str">
        <f t="shared" si="17"/>
        <v>Output Riser J PT3 Diff, computed by BMT WinMon.</v>
      </c>
    </row>
    <row r="1058" spans="1:8" x14ac:dyDescent="0.25">
      <c r="A1058" s="3" t="s">
        <v>6983</v>
      </c>
      <c r="B1058" s="3" t="s">
        <v>6989</v>
      </c>
      <c r="C1058" s="3" t="s">
        <v>6985</v>
      </c>
      <c r="D1058" s="3" t="s">
        <v>1138</v>
      </c>
      <c r="E1058" s="3">
        <v>1057</v>
      </c>
      <c r="F1058" s="3" t="s">
        <v>3441</v>
      </c>
      <c r="G1058" s="3" t="s">
        <v>3842</v>
      </c>
      <c r="H1058" s="3" t="str">
        <f t="shared" si="17"/>
        <v>Output Riser J PT4 Diff, computed by BMT WinMon.</v>
      </c>
    </row>
    <row r="1059" spans="1:8" x14ac:dyDescent="0.25">
      <c r="A1059" s="3" t="s">
        <v>6983</v>
      </c>
      <c r="B1059" s="3" t="s">
        <v>6989</v>
      </c>
      <c r="C1059" s="3" t="s">
        <v>6985</v>
      </c>
      <c r="D1059" s="3" t="s">
        <v>1138</v>
      </c>
      <c r="E1059" s="3">
        <v>1058</v>
      </c>
      <c r="F1059" s="3" t="s">
        <v>3442</v>
      </c>
      <c r="G1059" s="3" t="s">
        <v>1100</v>
      </c>
      <c r="H1059" s="3" t="str">
        <f t="shared" ref="H1059:H1122" si="18">_xlfn.CONCAT("Output ",F1059, ", computed by BMT WinMon.")</f>
        <v>Output Riser J Tension, computed by BMT WinMon.</v>
      </c>
    </row>
    <row r="1060" spans="1:8" x14ac:dyDescent="0.25">
      <c r="A1060" s="3" t="s">
        <v>6983</v>
      </c>
      <c r="B1060" s="3" t="s">
        <v>6989</v>
      </c>
      <c r="C1060" s="3" t="s">
        <v>6985</v>
      </c>
      <c r="D1060" s="3" t="s">
        <v>1138</v>
      </c>
      <c r="E1060" s="3">
        <v>1059</v>
      </c>
      <c r="F1060" s="3" t="s">
        <v>3443</v>
      </c>
      <c r="G1060" s="3" t="s">
        <v>1100</v>
      </c>
      <c r="H1060" s="3" t="str">
        <f t="shared" si="18"/>
        <v>Output Riser K Load PT1, computed by BMT WinMon.</v>
      </c>
    </row>
    <row r="1061" spans="1:8" x14ac:dyDescent="0.25">
      <c r="A1061" s="3" t="s">
        <v>6983</v>
      </c>
      <c r="B1061" s="3" t="s">
        <v>6989</v>
      </c>
      <c r="C1061" s="3" t="s">
        <v>6985</v>
      </c>
      <c r="D1061" s="3" t="s">
        <v>1138</v>
      </c>
      <c r="E1061" s="3">
        <v>1060</v>
      </c>
      <c r="F1061" s="3" t="s">
        <v>3444</v>
      </c>
      <c r="G1061" s="3" t="s">
        <v>1100</v>
      </c>
      <c r="H1061" s="3" t="str">
        <f t="shared" si="18"/>
        <v>Output Riser K Load PT2, computed by BMT WinMon.</v>
      </c>
    </row>
    <row r="1062" spans="1:8" x14ac:dyDescent="0.25">
      <c r="A1062" s="3" t="s">
        <v>6983</v>
      </c>
      <c r="B1062" s="3" t="s">
        <v>6989</v>
      </c>
      <c r="C1062" s="3" t="s">
        <v>6985</v>
      </c>
      <c r="D1062" s="3" t="s">
        <v>1138</v>
      </c>
      <c r="E1062" s="3">
        <v>1061</v>
      </c>
      <c r="F1062" s="3" t="s">
        <v>3445</v>
      </c>
      <c r="G1062" s="3" t="s">
        <v>1100</v>
      </c>
      <c r="H1062" s="3" t="str">
        <f t="shared" si="18"/>
        <v>Output Riser K Load PT3, computed by BMT WinMon.</v>
      </c>
    </row>
    <row r="1063" spans="1:8" x14ac:dyDescent="0.25">
      <c r="A1063" s="3" t="s">
        <v>6983</v>
      </c>
      <c r="B1063" s="3" t="s">
        <v>6989</v>
      </c>
      <c r="C1063" s="3" t="s">
        <v>6985</v>
      </c>
      <c r="D1063" s="3" t="s">
        <v>1138</v>
      </c>
      <c r="E1063" s="3">
        <v>1062</v>
      </c>
      <c r="F1063" s="3" t="s">
        <v>3446</v>
      </c>
      <c r="G1063" s="3" t="s">
        <v>1100</v>
      </c>
      <c r="H1063" s="3" t="str">
        <f t="shared" si="18"/>
        <v>Output Riser K Load PT4, computed by BMT WinMon.</v>
      </c>
    </row>
    <row r="1064" spans="1:8" x14ac:dyDescent="0.25">
      <c r="A1064" s="3" t="s">
        <v>6983</v>
      </c>
      <c r="B1064" s="3" t="s">
        <v>6989</v>
      </c>
      <c r="C1064" s="3" t="s">
        <v>6985</v>
      </c>
      <c r="D1064" s="3" t="s">
        <v>1138</v>
      </c>
      <c r="E1064" s="3">
        <v>1063</v>
      </c>
      <c r="F1064" s="3" t="s">
        <v>3447</v>
      </c>
      <c r="G1064" s="3" t="s">
        <v>3842</v>
      </c>
      <c r="H1064" s="3" t="str">
        <f t="shared" si="18"/>
        <v>Output Riser K PT1 Diff, computed by BMT WinMon.</v>
      </c>
    </row>
    <row r="1065" spans="1:8" x14ac:dyDescent="0.25">
      <c r="A1065" s="3" t="s">
        <v>6983</v>
      </c>
      <c r="B1065" s="3" t="s">
        <v>6989</v>
      </c>
      <c r="C1065" s="3" t="s">
        <v>6985</v>
      </c>
      <c r="D1065" s="3" t="s">
        <v>1138</v>
      </c>
      <c r="E1065" s="3">
        <v>1064</v>
      </c>
      <c r="F1065" s="3" t="s">
        <v>3448</v>
      </c>
      <c r="G1065" s="3" t="s">
        <v>3842</v>
      </c>
      <c r="H1065" s="3" t="str">
        <f t="shared" si="18"/>
        <v>Output Riser K PT2 Diff, computed by BMT WinMon.</v>
      </c>
    </row>
    <row r="1066" spans="1:8" x14ac:dyDescent="0.25">
      <c r="A1066" s="3" t="s">
        <v>6983</v>
      </c>
      <c r="B1066" s="3" t="s">
        <v>6989</v>
      </c>
      <c r="C1066" s="3" t="s">
        <v>6985</v>
      </c>
      <c r="D1066" s="3" t="s">
        <v>1138</v>
      </c>
      <c r="E1066" s="3">
        <v>1065</v>
      </c>
      <c r="F1066" s="3" t="s">
        <v>3449</v>
      </c>
      <c r="G1066" s="3" t="s">
        <v>3842</v>
      </c>
      <c r="H1066" s="3" t="str">
        <f t="shared" si="18"/>
        <v>Output Riser K PT3 Diff, computed by BMT WinMon.</v>
      </c>
    </row>
    <row r="1067" spans="1:8" x14ac:dyDescent="0.25">
      <c r="A1067" s="3" t="s">
        <v>6983</v>
      </c>
      <c r="B1067" s="3" t="s">
        <v>6989</v>
      </c>
      <c r="C1067" s="3" t="s">
        <v>6985</v>
      </c>
      <c r="D1067" s="3" t="s">
        <v>1138</v>
      </c>
      <c r="E1067" s="3">
        <v>1066</v>
      </c>
      <c r="F1067" s="3" t="s">
        <v>3450</v>
      </c>
      <c r="G1067" s="3" t="s">
        <v>3842</v>
      </c>
      <c r="H1067" s="3" t="str">
        <f t="shared" si="18"/>
        <v>Output Riser K PT4 Diff, computed by BMT WinMon.</v>
      </c>
    </row>
    <row r="1068" spans="1:8" x14ac:dyDescent="0.25">
      <c r="A1068" s="3" t="s">
        <v>6983</v>
      </c>
      <c r="B1068" s="3" t="s">
        <v>6989</v>
      </c>
      <c r="C1068" s="3" t="s">
        <v>6985</v>
      </c>
      <c r="D1068" s="3" t="s">
        <v>1138</v>
      </c>
      <c r="E1068" s="3">
        <v>1067</v>
      </c>
      <c r="F1068" s="3" t="s">
        <v>3451</v>
      </c>
      <c r="G1068" s="3" t="s">
        <v>1100</v>
      </c>
      <c r="H1068" s="3" t="str">
        <f t="shared" si="18"/>
        <v>Output Riser K Tension, computed by BMT WinMon.</v>
      </c>
    </row>
    <row r="1069" spans="1:8" x14ac:dyDescent="0.25">
      <c r="A1069" s="3" t="s">
        <v>6983</v>
      </c>
      <c r="B1069" s="3" t="s">
        <v>6989</v>
      </c>
      <c r="C1069" s="3" t="s">
        <v>6985</v>
      </c>
      <c r="D1069" s="3" t="s">
        <v>1138</v>
      </c>
      <c r="E1069" s="3">
        <v>1068</v>
      </c>
      <c r="F1069" s="3" t="s">
        <v>3452</v>
      </c>
      <c r="G1069" s="3" t="s">
        <v>1100</v>
      </c>
      <c r="H1069" s="3" t="str">
        <f t="shared" si="18"/>
        <v>Output Riser L Load PT1, computed by BMT WinMon.</v>
      </c>
    </row>
    <row r="1070" spans="1:8" x14ac:dyDescent="0.25">
      <c r="A1070" s="3" t="s">
        <v>6983</v>
      </c>
      <c r="B1070" s="3" t="s">
        <v>6989</v>
      </c>
      <c r="C1070" s="3" t="s">
        <v>6985</v>
      </c>
      <c r="D1070" s="3" t="s">
        <v>1138</v>
      </c>
      <c r="E1070" s="3">
        <v>1069</v>
      </c>
      <c r="F1070" s="3" t="s">
        <v>3453</v>
      </c>
      <c r="G1070" s="3" t="s">
        <v>1100</v>
      </c>
      <c r="H1070" s="3" t="str">
        <f t="shared" si="18"/>
        <v>Output Riser L Load PT2, computed by BMT WinMon.</v>
      </c>
    </row>
    <row r="1071" spans="1:8" x14ac:dyDescent="0.25">
      <c r="A1071" s="3" t="s">
        <v>6983</v>
      </c>
      <c r="B1071" s="3" t="s">
        <v>6989</v>
      </c>
      <c r="C1071" s="3" t="s">
        <v>6985</v>
      </c>
      <c r="D1071" s="3" t="s">
        <v>1138</v>
      </c>
      <c r="E1071" s="3">
        <v>1070</v>
      </c>
      <c r="F1071" s="3" t="s">
        <v>3454</v>
      </c>
      <c r="G1071" s="3" t="s">
        <v>1100</v>
      </c>
      <c r="H1071" s="3" t="str">
        <f t="shared" si="18"/>
        <v>Output Riser L Load PT3, computed by BMT WinMon.</v>
      </c>
    </row>
    <row r="1072" spans="1:8" x14ac:dyDescent="0.25">
      <c r="A1072" s="3" t="s">
        <v>6983</v>
      </c>
      <c r="B1072" s="3" t="s">
        <v>6989</v>
      </c>
      <c r="C1072" s="3" t="s">
        <v>6985</v>
      </c>
      <c r="D1072" s="3" t="s">
        <v>1138</v>
      </c>
      <c r="E1072" s="3">
        <v>1071</v>
      </c>
      <c r="F1072" s="3" t="s">
        <v>3455</v>
      </c>
      <c r="G1072" s="3" t="s">
        <v>1100</v>
      </c>
      <c r="H1072" s="3" t="str">
        <f t="shared" si="18"/>
        <v>Output Riser L Load PT4, computed by BMT WinMon.</v>
      </c>
    </row>
    <row r="1073" spans="1:8" x14ac:dyDescent="0.25">
      <c r="A1073" s="3" t="s">
        <v>6983</v>
      </c>
      <c r="B1073" s="3" t="s">
        <v>6989</v>
      </c>
      <c r="C1073" s="3" t="s">
        <v>6985</v>
      </c>
      <c r="D1073" s="3" t="s">
        <v>1138</v>
      </c>
      <c r="E1073" s="3">
        <v>1072</v>
      </c>
      <c r="F1073" s="3" t="s">
        <v>3456</v>
      </c>
      <c r="G1073" s="3" t="s">
        <v>3842</v>
      </c>
      <c r="H1073" s="3" t="str">
        <f t="shared" si="18"/>
        <v>Output Riser L PT1 Diff, computed by BMT WinMon.</v>
      </c>
    </row>
    <row r="1074" spans="1:8" x14ac:dyDescent="0.25">
      <c r="A1074" s="3" t="s">
        <v>6983</v>
      </c>
      <c r="B1074" s="3" t="s">
        <v>6989</v>
      </c>
      <c r="C1074" s="3" t="s">
        <v>6985</v>
      </c>
      <c r="D1074" s="3" t="s">
        <v>1138</v>
      </c>
      <c r="E1074" s="3">
        <v>1073</v>
      </c>
      <c r="F1074" s="3" t="s">
        <v>3457</v>
      </c>
      <c r="G1074" s="3" t="s">
        <v>3842</v>
      </c>
      <c r="H1074" s="3" t="str">
        <f t="shared" si="18"/>
        <v>Output Riser L PT2 Diff, computed by BMT WinMon.</v>
      </c>
    </row>
    <row r="1075" spans="1:8" x14ac:dyDescent="0.25">
      <c r="A1075" s="3" t="s">
        <v>6983</v>
      </c>
      <c r="B1075" s="3" t="s">
        <v>6989</v>
      </c>
      <c r="C1075" s="3" t="s">
        <v>6985</v>
      </c>
      <c r="D1075" s="3" t="s">
        <v>1138</v>
      </c>
      <c r="E1075" s="3">
        <v>1074</v>
      </c>
      <c r="F1075" s="3" t="s">
        <v>3458</v>
      </c>
      <c r="G1075" s="3" t="s">
        <v>3842</v>
      </c>
      <c r="H1075" s="3" t="str">
        <f t="shared" si="18"/>
        <v>Output Riser L PT3 Diff, computed by BMT WinMon.</v>
      </c>
    </row>
    <row r="1076" spans="1:8" x14ac:dyDescent="0.25">
      <c r="A1076" s="3" t="s">
        <v>6983</v>
      </c>
      <c r="B1076" s="3" t="s">
        <v>6989</v>
      </c>
      <c r="C1076" s="3" t="s">
        <v>6985</v>
      </c>
      <c r="D1076" s="3" t="s">
        <v>1138</v>
      </c>
      <c r="E1076" s="3">
        <v>1075</v>
      </c>
      <c r="F1076" s="3" t="s">
        <v>3459</v>
      </c>
      <c r="G1076" s="3" t="s">
        <v>3842</v>
      </c>
      <c r="H1076" s="3" t="str">
        <f t="shared" si="18"/>
        <v>Output Riser L PT4 Diff, computed by BMT WinMon.</v>
      </c>
    </row>
    <row r="1077" spans="1:8" x14ac:dyDescent="0.25">
      <c r="A1077" s="3" t="s">
        <v>6983</v>
      </c>
      <c r="B1077" s="3" t="s">
        <v>6989</v>
      </c>
      <c r="C1077" s="3" t="s">
        <v>6985</v>
      </c>
      <c r="D1077" s="3" t="s">
        <v>1138</v>
      </c>
      <c r="E1077" s="3">
        <v>1076</v>
      </c>
      <c r="F1077" s="3" t="s">
        <v>3460</v>
      </c>
      <c r="G1077" s="3" t="s">
        <v>1100</v>
      </c>
      <c r="H1077" s="3" t="str">
        <f t="shared" si="18"/>
        <v>Output Riser L Tension, computed by BMT WinMon.</v>
      </c>
    </row>
    <row r="1078" spans="1:8" x14ac:dyDescent="0.25">
      <c r="A1078" s="3" t="s">
        <v>6983</v>
      </c>
      <c r="B1078" s="3" t="s">
        <v>6989</v>
      </c>
      <c r="C1078" s="3" t="s">
        <v>6985</v>
      </c>
      <c r="D1078" s="3" t="s">
        <v>1138</v>
      </c>
      <c r="E1078" s="3">
        <v>1077</v>
      </c>
      <c r="F1078" s="3" t="s">
        <v>3461</v>
      </c>
      <c r="G1078" s="3" t="s">
        <v>1100</v>
      </c>
      <c r="H1078" s="3" t="str">
        <f t="shared" si="18"/>
        <v>Output Riser M Load PT1, computed by BMT WinMon.</v>
      </c>
    </row>
    <row r="1079" spans="1:8" x14ac:dyDescent="0.25">
      <c r="A1079" s="3" t="s">
        <v>6983</v>
      </c>
      <c r="B1079" s="3" t="s">
        <v>6989</v>
      </c>
      <c r="C1079" s="3" t="s">
        <v>6985</v>
      </c>
      <c r="D1079" s="3" t="s">
        <v>1138</v>
      </c>
      <c r="E1079" s="3">
        <v>1078</v>
      </c>
      <c r="F1079" s="3" t="s">
        <v>3462</v>
      </c>
      <c r="G1079" s="3" t="s">
        <v>1100</v>
      </c>
      <c r="H1079" s="3" t="str">
        <f t="shared" si="18"/>
        <v>Output Riser M Load PT2, computed by BMT WinMon.</v>
      </c>
    </row>
    <row r="1080" spans="1:8" x14ac:dyDescent="0.25">
      <c r="A1080" s="3" t="s">
        <v>6983</v>
      </c>
      <c r="B1080" s="3" t="s">
        <v>6989</v>
      </c>
      <c r="C1080" s="3" t="s">
        <v>6985</v>
      </c>
      <c r="D1080" s="3" t="s">
        <v>1138</v>
      </c>
      <c r="E1080" s="3">
        <v>1079</v>
      </c>
      <c r="F1080" s="3" t="s">
        <v>3463</v>
      </c>
      <c r="G1080" s="3" t="s">
        <v>1100</v>
      </c>
      <c r="H1080" s="3" t="str">
        <f t="shared" si="18"/>
        <v>Output Riser M Load PT3, computed by BMT WinMon.</v>
      </c>
    </row>
    <row r="1081" spans="1:8" x14ac:dyDescent="0.25">
      <c r="A1081" s="3" t="s">
        <v>6983</v>
      </c>
      <c r="B1081" s="3" t="s">
        <v>6989</v>
      </c>
      <c r="C1081" s="3" t="s">
        <v>6985</v>
      </c>
      <c r="D1081" s="3" t="s">
        <v>1138</v>
      </c>
      <c r="E1081" s="3">
        <v>1080</v>
      </c>
      <c r="F1081" s="3" t="s">
        <v>3464</v>
      </c>
      <c r="G1081" s="3" t="s">
        <v>1100</v>
      </c>
      <c r="H1081" s="3" t="str">
        <f t="shared" si="18"/>
        <v>Output Riser M Load PT4, computed by BMT WinMon.</v>
      </c>
    </row>
    <row r="1082" spans="1:8" x14ac:dyDescent="0.25">
      <c r="A1082" s="3" t="s">
        <v>6983</v>
      </c>
      <c r="B1082" s="3" t="s">
        <v>6989</v>
      </c>
      <c r="C1082" s="3" t="s">
        <v>6985</v>
      </c>
      <c r="D1082" s="3" t="s">
        <v>1138</v>
      </c>
      <c r="E1082" s="3">
        <v>1081</v>
      </c>
      <c r="F1082" s="3" t="s">
        <v>3465</v>
      </c>
      <c r="G1082" s="3" t="s">
        <v>3842</v>
      </c>
      <c r="H1082" s="3" t="str">
        <f t="shared" si="18"/>
        <v>Output Riser M PT1 Diff, computed by BMT WinMon.</v>
      </c>
    </row>
    <row r="1083" spans="1:8" x14ac:dyDescent="0.25">
      <c r="A1083" s="3" t="s">
        <v>6983</v>
      </c>
      <c r="B1083" s="3" t="s">
        <v>6989</v>
      </c>
      <c r="C1083" s="3" t="s">
        <v>6985</v>
      </c>
      <c r="D1083" s="3" t="s">
        <v>1138</v>
      </c>
      <c r="E1083" s="3">
        <v>1082</v>
      </c>
      <c r="F1083" s="3" t="s">
        <v>3466</v>
      </c>
      <c r="G1083" s="3" t="s">
        <v>3842</v>
      </c>
      <c r="H1083" s="3" t="str">
        <f t="shared" si="18"/>
        <v>Output Riser M PT2 Diff, computed by BMT WinMon.</v>
      </c>
    </row>
    <row r="1084" spans="1:8" x14ac:dyDescent="0.25">
      <c r="A1084" s="3" t="s">
        <v>6983</v>
      </c>
      <c r="B1084" s="3" t="s">
        <v>6989</v>
      </c>
      <c r="C1084" s="3" t="s">
        <v>6985</v>
      </c>
      <c r="D1084" s="3" t="s">
        <v>1138</v>
      </c>
      <c r="E1084" s="3">
        <v>1083</v>
      </c>
      <c r="F1084" s="3" t="s">
        <v>3467</v>
      </c>
      <c r="G1084" s="3" t="s">
        <v>3842</v>
      </c>
      <c r="H1084" s="3" t="str">
        <f t="shared" si="18"/>
        <v>Output Riser M PT3 Diff, computed by BMT WinMon.</v>
      </c>
    </row>
    <row r="1085" spans="1:8" x14ac:dyDescent="0.25">
      <c r="A1085" s="3" t="s">
        <v>6983</v>
      </c>
      <c r="B1085" s="3" t="s">
        <v>6989</v>
      </c>
      <c r="C1085" s="3" t="s">
        <v>6985</v>
      </c>
      <c r="D1085" s="3" t="s">
        <v>1138</v>
      </c>
      <c r="E1085" s="3">
        <v>1084</v>
      </c>
      <c r="F1085" s="3" t="s">
        <v>3468</v>
      </c>
      <c r="G1085" s="3" t="s">
        <v>3842</v>
      </c>
      <c r="H1085" s="3" t="str">
        <f t="shared" si="18"/>
        <v>Output Riser M PT4 Diff, computed by BMT WinMon.</v>
      </c>
    </row>
    <row r="1086" spans="1:8" x14ac:dyDescent="0.25">
      <c r="A1086" s="3" t="s">
        <v>6983</v>
      </c>
      <c r="B1086" s="3" t="s">
        <v>6989</v>
      </c>
      <c r="C1086" s="3" t="s">
        <v>6985</v>
      </c>
      <c r="D1086" s="3" t="s">
        <v>1138</v>
      </c>
      <c r="E1086" s="3">
        <v>1085</v>
      </c>
      <c r="F1086" s="3" t="s">
        <v>3469</v>
      </c>
      <c r="G1086" s="3" t="s">
        <v>1100</v>
      </c>
      <c r="H1086" s="3" t="str">
        <f t="shared" si="18"/>
        <v>Output Riser M Tension, computed by BMT WinMon.</v>
      </c>
    </row>
    <row r="1087" spans="1:8" x14ac:dyDescent="0.25">
      <c r="A1087" s="3" t="s">
        <v>6983</v>
      </c>
      <c r="B1087" s="3" t="s">
        <v>6989</v>
      </c>
      <c r="C1087" s="3" t="s">
        <v>6985</v>
      </c>
      <c r="D1087" s="3" t="s">
        <v>1138</v>
      </c>
      <c r="E1087" s="3">
        <v>1086</v>
      </c>
      <c r="F1087" s="3" t="s">
        <v>3470</v>
      </c>
      <c r="G1087" s="3" t="s">
        <v>1100</v>
      </c>
      <c r="H1087" s="3" t="str">
        <f t="shared" si="18"/>
        <v>Output Riser N Load PT1, computed by BMT WinMon.</v>
      </c>
    </row>
    <row r="1088" spans="1:8" x14ac:dyDescent="0.25">
      <c r="A1088" s="3" t="s">
        <v>6983</v>
      </c>
      <c r="B1088" s="3" t="s">
        <v>6989</v>
      </c>
      <c r="C1088" s="3" t="s">
        <v>6985</v>
      </c>
      <c r="D1088" s="3" t="s">
        <v>1138</v>
      </c>
      <c r="E1088" s="3">
        <v>1087</v>
      </c>
      <c r="F1088" s="3" t="s">
        <v>3471</v>
      </c>
      <c r="G1088" s="3" t="s">
        <v>1100</v>
      </c>
      <c r="H1088" s="3" t="str">
        <f t="shared" si="18"/>
        <v>Output Riser N Load PT2, computed by BMT WinMon.</v>
      </c>
    </row>
    <row r="1089" spans="1:8" x14ac:dyDescent="0.25">
      <c r="A1089" s="3" t="s">
        <v>6983</v>
      </c>
      <c r="B1089" s="3" t="s">
        <v>6989</v>
      </c>
      <c r="C1089" s="3" t="s">
        <v>6985</v>
      </c>
      <c r="D1089" s="3" t="s">
        <v>1138</v>
      </c>
      <c r="E1089" s="3">
        <v>1088</v>
      </c>
      <c r="F1089" s="3" t="s">
        <v>3472</v>
      </c>
      <c r="G1089" s="3" t="s">
        <v>1100</v>
      </c>
      <c r="H1089" s="3" t="str">
        <f t="shared" si="18"/>
        <v>Output Riser N Load PT3, computed by BMT WinMon.</v>
      </c>
    </row>
    <row r="1090" spans="1:8" x14ac:dyDescent="0.25">
      <c r="A1090" s="3" t="s">
        <v>6983</v>
      </c>
      <c r="B1090" s="3" t="s">
        <v>6989</v>
      </c>
      <c r="C1090" s="3" t="s">
        <v>6985</v>
      </c>
      <c r="D1090" s="3" t="s">
        <v>1138</v>
      </c>
      <c r="E1090" s="3">
        <v>1089</v>
      </c>
      <c r="F1090" s="3" t="s">
        <v>3473</v>
      </c>
      <c r="G1090" s="3" t="s">
        <v>1100</v>
      </c>
      <c r="H1090" s="3" t="str">
        <f t="shared" si="18"/>
        <v>Output Riser N Load PT4, computed by BMT WinMon.</v>
      </c>
    </row>
    <row r="1091" spans="1:8" x14ac:dyDescent="0.25">
      <c r="A1091" s="3" t="s">
        <v>6983</v>
      </c>
      <c r="B1091" s="3" t="s">
        <v>6989</v>
      </c>
      <c r="C1091" s="3" t="s">
        <v>6985</v>
      </c>
      <c r="D1091" s="3" t="s">
        <v>1138</v>
      </c>
      <c r="E1091" s="3">
        <v>1090</v>
      </c>
      <c r="F1091" s="3" t="s">
        <v>3474</v>
      </c>
      <c r="G1091" s="3" t="s">
        <v>1100</v>
      </c>
      <c r="H1091" s="3" t="str">
        <f t="shared" si="18"/>
        <v>Output Riser N Load PT5, computed by BMT WinMon.</v>
      </c>
    </row>
    <row r="1092" spans="1:8" x14ac:dyDescent="0.25">
      <c r="A1092" s="3" t="s">
        <v>6983</v>
      </c>
      <c r="B1092" s="3" t="s">
        <v>6989</v>
      </c>
      <c r="C1092" s="3" t="s">
        <v>6985</v>
      </c>
      <c r="D1092" s="3" t="s">
        <v>1138</v>
      </c>
      <c r="E1092" s="3">
        <v>1091</v>
      </c>
      <c r="F1092" s="3" t="s">
        <v>3475</v>
      </c>
      <c r="G1092" s="3" t="s">
        <v>1100</v>
      </c>
      <c r="H1092" s="3" t="str">
        <f t="shared" si="18"/>
        <v>Output Riser N Load PT6, computed by BMT WinMon.</v>
      </c>
    </row>
    <row r="1093" spans="1:8" x14ac:dyDescent="0.25">
      <c r="A1093" s="3" t="s">
        <v>6983</v>
      </c>
      <c r="B1093" s="3" t="s">
        <v>6989</v>
      </c>
      <c r="C1093" s="3" t="s">
        <v>6985</v>
      </c>
      <c r="D1093" s="3" t="s">
        <v>1138</v>
      </c>
      <c r="E1093" s="3">
        <v>1092</v>
      </c>
      <c r="F1093" s="3" t="s">
        <v>3476</v>
      </c>
      <c r="G1093" s="3" t="s">
        <v>1100</v>
      </c>
      <c r="H1093" s="3" t="str">
        <f t="shared" si="18"/>
        <v>Output Riser N Load PT7, computed by BMT WinMon.</v>
      </c>
    </row>
    <row r="1094" spans="1:8" x14ac:dyDescent="0.25">
      <c r="A1094" s="3" t="s">
        <v>6983</v>
      </c>
      <c r="B1094" s="3" t="s">
        <v>6989</v>
      </c>
      <c r="C1094" s="3" t="s">
        <v>6985</v>
      </c>
      <c r="D1094" s="3" t="s">
        <v>1138</v>
      </c>
      <c r="E1094" s="3">
        <v>1093</v>
      </c>
      <c r="F1094" s="3" t="s">
        <v>3477</v>
      </c>
      <c r="G1094" s="3" t="s">
        <v>1100</v>
      </c>
      <c r="H1094" s="3" t="str">
        <f t="shared" si="18"/>
        <v>Output Riser N Load PT8, computed by BMT WinMon.</v>
      </c>
    </row>
    <row r="1095" spans="1:8" x14ac:dyDescent="0.25">
      <c r="A1095" s="3" t="s">
        <v>6983</v>
      </c>
      <c r="B1095" s="3" t="s">
        <v>6989</v>
      </c>
      <c r="C1095" s="3" t="s">
        <v>6985</v>
      </c>
      <c r="D1095" s="3" t="s">
        <v>1138</v>
      </c>
      <c r="E1095" s="3">
        <v>1094</v>
      </c>
      <c r="F1095" s="3" t="s">
        <v>3478</v>
      </c>
      <c r="G1095" s="3" t="s">
        <v>3842</v>
      </c>
      <c r="H1095" s="3" t="str">
        <f t="shared" si="18"/>
        <v>Output Riser N PT1 Diff, computed by BMT WinMon.</v>
      </c>
    </row>
    <row r="1096" spans="1:8" x14ac:dyDescent="0.25">
      <c r="A1096" s="3" t="s">
        <v>6983</v>
      </c>
      <c r="B1096" s="3" t="s">
        <v>6989</v>
      </c>
      <c r="C1096" s="3" t="s">
        <v>6985</v>
      </c>
      <c r="D1096" s="3" t="s">
        <v>1138</v>
      </c>
      <c r="E1096" s="3">
        <v>1095</v>
      </c>
      <c r="F1096" s="3" t="s">
        <v>3479</v>
      </c>
      <c r="G1096" s="3" t="s">
        <v>3842</v>
      </c>
      <c r="H1096" s="3" t="str">
        <f t="shared" si="18"/>
        <v>Output Riser N PT2 Diff, computed by BMT WinMon.</v>
      </c>
    </row>
    <row r="1097" spans="1:8" x14ac:dyDescent="0.25">
      <c r="A1097" s="3" t="s">
        <v>6983</v>
      </c>
      <c r="B1097" s="3" t="s">
        <v>6989</v>
      </c>
      <c r="C1097" s="3" t="s">
        <v>6985</v>
      </c>
      <c r="D1097" s="3" t="s">
        <v>1138</v>
      </c>
      <c r="E1097" s="3">
        <v>1096</v>
      </c>
      <c r="F1097" s="3" t="s">
        <v>3480</v>
      </c>
      <c r="G1097" s="3" t="s">
        <v>3842</v>
      </c>
      <c r="H1097" s="3" t="str">
        <f t="shared" si="18"/>
        <v>Output Riser N PT3 Diff, computed by BMT WinMon.</v>
      </c>
    </row>
    <row r="1098" spans="1:8" x14ac:dyDescent="0.25">
      <c r="A1098" s="3" t="s">
        <v>6983</v>
      </c>
      <c r="B1098" s="3" t="s">
        <v>6989</v>
      </c>
      <c r="C1098" s="3" t="s">
        <v>6985</v>
      </c>
      <c r="D1098" s="3" t="s">
        <v>1138</v>
      </c>
      <c r="E1098" s="3">
        <v>1097</v>
      </c>
      <c r="F1098" s="3" t="s">
        <v>3481</v>
      </c>
      <c r="G1098" s="3" t="s">
        <v>3842</v>
      </c>
      <c r="H1098" s="3" t="str">
        <f t="shared" si="18"/>
        <v>Output Riser N PT4 Diff, computed by BMT WinMon.</v>
      </c>
    </row>
    <row r="1099" spans="1:8" x14ac:dyDescent="0.25">
      <c r="A1099" s="3" t="s">
        <v>6983</v>
      </c>
      <c r="B1099" s="3" t="s">
        <v>6989</v>
      </c>
      <c r="C1099" s="3" t="s">
        <v>6985</v>
      </c>
      <c r="D1099" s="3" t="s">
        <v>1138</v>
      </c>
      <c r="E1099" s="3">
        <v>1098</v>
      </c>
      <c r="F1099" s="3" t="s">
        <v>3482</v>
      </c>
      <c r="G1099" s="3" t="s">
        <v>3842</v>
      </c>
      <c r="H1099" s="3" t="str">
        <f t="shared" si="18"/>
        <v>Output Riser N PT5 Diff, computed by BMT WinMon.</v>
      </c>
    </row>
    <row r="1100" spans="1:8" x14ac:dyDescent="0.25">
      <c r="A1100" s="3" t="s">
        <v>6983</v>
      </c>
      <c r="B1100" s="3" t="s">
        <v>6989</v>
      </c>
      <c r="C1100" s="3" t="s">
        <v>6985</v>
      </c>
      <c r="D1100" s="3" t="s">
        <v>1138</v>
      </c>
      <c r="E1100" s="3">
        <v>1099</v>
      </c>
      <c r="F1100" s="3" t="s">
        <v>3483</v>
      </c>
      <c r="G1100" s="3" t="s">
        <v>3842</v>
      </c>
      <c r="H1100" s="3" t="str">
        <f t="shared" si="18"/>
        <v>Output Riser N PT6 Diff, computed by BMT WinMon.</v>
      </c>
    </row>
    <row r="1101" spans="1:8" x14ac:dyDescent="0.25">
      <c r="A1101" s="3" t="s">
        <v>6983</v>
      </c>
      <c r="B1101" s="3" t="s">
        <v>6989</v>
      </c>
      <c r="C1101" s="3" t="s">
        <v>6985</v>
      </c>
      <c r="D1101" s="3" t="s">
        <v>1138</v>
      </c>
      <c r="E1101" s="3">
        <v>1100</v>
      </c>
      <c r="F1101" s="3" t="s">
        <v>3484</v>
      </c>
      <c r="G1101" s="3" t="s">
        <v>3842</v>
      </c>
      <c r="H1101" s="3" t="str">
        <f t="shared" si="18"/>
        <v>Output Riser N PT7 Diff, computed by BMT WinMon.</v>
      </c>
    </row>
    <row r="1102" spans="1:8" x14ac:dyDescent="0.25">
      <c r="A1102" s="3" t="s">
        <v>6983</v>
      </c>
      <c r="B1102" s="3" t="s">
        <v>6989</v>
      </c>
      <c r="C1102" s="3" t="s">
        <v>6985</v>
      </c>
      <c r="D1102" s="3" t="s">
        <v>1138</v>
      </c>
      <c r="E1102" s="3">
        <v>1101</v>
      </c>
      <c r="F1102" s="3" t="s">
        <v>3485</v>
      </c>
      <c r="G1102" s="3" t="s">
        <v>3842</v>
      </c>
      <c r="H1102" s="3" t="str">
        <f t="shared" si="18"/>
        <v>Output Riser N PT8 Diff, computed by BMT WinMon.</v>
      </c>
    </row>
    <row r="1103" spans="1:8" x14ac:dyDescent="0.25">
      <c r="A1103" s="3" t="s">
        <v>6983</v>
      </c>
      <c r="B1103" s="3" t="s">
        <v>6989</v>
      </c>
      <c r="C1103" s="3" t="s">
        <v>6985</v>
      </c>
      <c r="D1103" s="3" t="s">
        <v>1138</v>
      </c>
      <c r="E1103" s="3">
        <v>1102</v>
      </c>
      <c r="F1103" s="3" t="s">
        <v>3486</v>
      </c>
      <c r="G1103" s="3" t="s">
        <v>1100</v>
      </c>
      <c r="H1103" s="3" t="str">
        <f t="shared" si="18"/>
        <v>Output Riser N Tension, computed by BMT WinMon.</v>
      </c>
    </row>
    <row r="1104" spans="1:8" x14ac:dyDescent="0.25">
      <c r="A1104" s="3" t="s">
        <v>6983</v>
      </c>
      <c r="B1104" s="3" t="s">
        <v>6989</v>
      </c>
      <c r="C1104" s="3" t="s">
        <v>6985</v>
      </c>
      <c r="D1104" s="3" t="s">
        <v>1138</v>
      </c>
      <c r="E1104" s="3">
        <v>1103</v>
      </c>
      <c r="F1104" s="3" t="s">
        <v>3487</v>
      </c>
      <c r="G1104" s="3" t="s">
        <v>1100</v>
      </c>
      <c r="H1104" s="3" t="str">
        <f t="shared" si="18"/>
        <v>Output Riser O Load PT1, computed by BMT WinMon.</v>
      </c>
    </row>
    <row r="1105" spans="1:8" x14ac:dyDescent="0.25">
      <c r="A1105" s="3" t="s">
        <v>6983</v>
      </c>
      <c r="B1105" s="3" t="s">
        <v>6989</v>
      </c>
      <c r="C1105" s="3" t="s">
        <v>6985</v>
      </c>
      <c r="D1105" s="3" t="s">
        <v>1138</v>
      </c>
      <c r="E1105" s="3">
        <v>1104</v>
      </c>
      <c r="F1105" s="3" t="s">
        <v>3488</v>
      </c>
      <c r="G1105" s="3" t="s">
        <v>1100</v>
      </c>
      <c r="H1105" s="3" t="str">
        <f t="shared" si="18"/>
        <v>Output Riser O Load PT2, computed by BMT WinMon.</v>
      </c>
    </row>
    <row r="1106" spans="1:8" x14ac:dyDescent="0.25">
      <c r="A1106" s="3" t="s">
        <v>6983</v>
      </c>
      <c r="B1106" s="3" t="s">
        <v>6989</v>
      </c>
      <c r="C1106" s="3" t="s">
        <v>6985</v>
      </c>
      <c r="D1106" s="3" t="s">
        <v>1138</v>
      </c>
      <c r="E1106" s="3">
        <v>1105</v>
      </c>
      <c r="F1106" s="3" t="s">
        <v>3489</v>
      </c>
      <c r="G1106" s="3" t="s">
        <v>1100</v>
      </c>
      <c r="H1106" s="3" t="str">
        <f t="shared" si="18"/>
        <v>Output Riser O Load PT3, computed by BMT WinMon.</v>
      </c>
    </row>
    <row r="1107" spans="1:8" x14ac:dyDescent="0.25">
      <c r="A1107" s="3" t="s">
        <v>6983</v>
      </c>
      <c r="B1107" s="3" t="s">
        <v>6989</v>
      </c>
      <c r="C1107" s="3" t="s">
        <v>6985</v>
      </c>
      <c r="D1107" s="3" t="s">
        <v>1138</v>
      </c>
      <c r="E1107" s="3">
        <v>1106</v>
      </c>
      <c r="F1107" s="3" t="s">
        <v>3490</v>
      </c>
      <c r="G1107" s="3" t="s">
        <v>1100</v>
      </c>
      <c r="H1107" s="3" t="str">
        <f t="shared" si="18"/>
        <v>Output Riser O Load PT4, computed by BMT WinMon.</v>
      </c>
    </row>
    <row r="1108" spans="1:8" x14ac:dyDescent="0.25">
      <c r="A1108" s="3" t="s">
        <v>6983</v>
      </c>
      <c r="B1108" s="3" t="s">
        <v>6989</v>
      </c>
      <c r="C1108" s="3" t="s">
        <v>6985</v>
      </c>
      <c r="D1108" s="3" t="s">
        <v>1138</v>
      </c>
      <c r="E1108" s="3">
        <v>1107</v>
      </c>
      <c r="F1108" s="3" t="s">
        <v>3491</v>
      </c>
      <c r="G1108" s="3" t="s">
        <v>1100</v>
      </c>
      <c r="H1108" s="3" t="str">
        <f t="shared" si="18"/>
        <v>Output Riser O Load PT5, computed by BMT WinMon.</v>
      </c>
    </row>
    <row r="1109" spans="1:8" x14ac:dyDescent="0.25">
      <c r="A1109" s="3" t="s">
        <v>6983</v>
      </c>
      <c r="B1109" s="3" t="s">
        <v>6989</v>
      </c>
      <c r="C1109" s="3" t="s">
        <v>6985</v>
      </c>
      <c r="D1109" s="3" t="s">
        <v>1138</v>
      </c>
      <c r="E1109" s="3">
        <v>1108</v>
      </c>
      <c r="F1109" s="3" t="s">
        <v>3492</v>
      </c>
      <c r="G1109" s="3" t="s">
        <v>1100</v>
      </c>
      <c r="H1109" s="3" t="str">
        <f t="shared" si="18"/>
        <v>Output Riser O Load PT6, computed by BMT WinMon.</v>
      </c>
    </row>
    <row r="1110" spans="1:8" x14ac:dyDescent="0.25">
      <c r="A1110" s="3" t="s">
        <v>6983</v>
      </c>
      <c r="B1110" s="3" t="s">
        <v>6989</v>
      </c>
      <c r="C1110" s="3" t="s">
        <v>6985</v>
      </c>
      <c r="D1110" s="3" t="s">
        <v>1138</v>
      </c>
      <c r="E1110" s="3">
        <v>1109</v>
      </c>
      <c r="F1110" s="3" t="s">
        <v>3493</v>
      </c>
      <c r="G1110" s="3" t="s">
        <v>1100</v>
      </c>
      <c r="H1110" s="3" t="str">
        <f t="shared" si="18"/>
        <v>Output Riser O Load PT7, computed by BMT WinMon.</v>
      </c>
    </row>
    <row r="1111" spans="1:8" x14ac:dyDescent="0.25">
      <c r="A1111" s="3" t="s">
        <v>6983</v>
      </c>
      <c r="B1111" s="3" t="s">
        <v>6989</v>
      </c>
      <c r="C1111" s="3" t="s">
        <v>6985</v>
      </c>
      <c r="D1111" s="3" t="s">
        <v>1138</v>
      </c>
      <c r="E1111" s="3">
        <v>1110</v>
      </c>
      <c r="F1111" s="3" t="s">
        <v>3494</v>
      </c>
      <c r="G1111" s="3" t="s">
        <v>1100</v>
      </c>
      <c r="H1111" s="3" t="str">
        <f t="shared" si="18"/>
        <v>Output Riser O Load PT8, computed by BMT WinMon.</v>
      </c>
    </row>
    <row r="1112" spans="1:8" x14ac:dyDescent="0.25">
      <c r="A1112" s="3" t="s">
        <v>6983</v>
      </c>
      <c r="B1112" s="3" t="s">
        <v>6989</v>
      </c>
      <c r="C1112" s="3" t="s">
        <v>6985</v>
      </c>
      <c r="D1112" s="3" t="s">
        <v>1138</v>
      </c>
      <c r="E1112" s="3">
        <v>1111</v>
      </c>
      <c r="F1112" s="3" t="s">
        <v>3495</v>
      </c>
      <c r="G1112" s="3" t="s">
        <v>3842</v>
      </c>
      <c r="H1112" s="3" t="str">
        <f t="shared" si="18"/>
        <v>Output Riser O PT1 Diff, computed by BMT WinMon.</v>
      </c>
    </row>
    <row r="1113" spans="1:8" x14ac:dyDescent="0.25">
      <c r="A1113" s="3" t="s">
        <v>6983</v>
      </c>
      <c r="B1113" s="3" t="s">
        <v>6989</v>
      </c>
      <c r="C1113" s="3" t="s">
        <v>6985</v>
      </c>
      <c r="D1113" s="3" t="s">
        <v>1138</v>
      </c>
      <c r="E1113" s="3">
        <v>1112</v>
      </c>
      <c r="F1113" s="3" t="s">
        <v>3496</v>
      </c>
      <c r="G1113" s="3" t="s">
        <v>3842</v>
      </c>
      <c r="H1113" s="3" t="str">
        <f t="shared" si="18"/>
        <v>Output Riser O PT2 Diff, computed by BMT WinMon.</v>
      </c>
    </row>
    <row r="1114" spans="1:8" x14ac:dyDescent="0.25">
      <c r="A1114" s="3" t="s">
        <v>6983</v>
      </c>
      <c r="B1114" s="3" t="s">
        <v>6989</v>
      </c>
      <c r="C1114" s="3" t="s">
        <v>6985</v>
      </c>
      <c r="D1114" s="3" t="s">
        <v>1138</v>
      </c>
      <c r="E1114" s="3">
        <v>1113</v>
      </c>
      <c r="F1114" s="3" t="s">
        <v>3497</v>
      </c>
      <c r="G1114" s="3" t="s">
        <v>3842</v>
      </c>
      <c r="H1114" s="3" t="str">
        <f t="shared" si="18"/>
        <v>Output Riser O PT3 Diff, computed by BMT WinMon.</v>
      </c>
    </row>
    <row r="1115" spans="1:8" x14ac:dyDescent="0.25">
      <c r="A1115" s="3" t="s">
        <v>6983</v>
      </c>
      <c r="B1115" s="3" t="s">
        <v>6989</v>
      </c>
      <c r="C1115" s="3" t="s">
        <v>6985</v>
      </c>
      <c r="D1115" s="3" t="s">
        <v>1138</v>
      </c>
      <c r="E1115" s="3">
        <v>1114</v>
      </c>
      <c r="F1115" s="3" t="s">
        <v>3498</v>
      </c>
      <c r="G1115" s="3" t="s">
        <v>3842</v>
      </c>
      <c r="H1115" s="3" t="str">
        <f t="shared" si="18"/>
        <v>Output Riser O PT4 Diff, computed by BMT WinMon.</v>
      </c>
    </row>
    <row r="1116" spans="1:8" x14ac:dyDescent="0.25">
      <c r="A1116" s="3" t="s">
        <v>6983</v>
      </c>
      <c r="B1116" s="3" t="s">
        <v>6989</v>
      </c>
      <c r="C1116" s="3" t="s">
        <v>6985</v>
      </c>
      <c r="D1116" s="3" t="s">
        <v>1138</v>
      </c>
      <c r="E1116" s="3">
        <v>1115</v>
      </c>
      <c r="F1116" s="3" t="s">
        <v>3499</v>
      </c>
      <c r="G1116" s="3" t="s">
        <v>3842</v>
      </c>
      <c r="H1116" s="3" t="str">
        <f t="shared" si="18"/>
        <v>Output Riser O PT5 Diff, computed by BMT WinMon.</v>
      </c>
    </row>
    <row r="1117" spans="1:8" x14ac:dyDescent="0.25">
      <c r="A1117" s="3" t="s">
        <v>6983</v>
      </c>
      <c r="B1117" s="3" t="s">
        <v>6989</v>
      </c>
      <c r="C1117" s="3" t="s">
        <v>6985</v>
      </c>
      <c r="D1117" s="3" t="s">
        <v>1138</v>
      </c>
      <c r="E1117" s="3">
        <v>1116</v>
      </c>
      <c r="F1117" s="3" t="s">
        <v>3500</v>
      </c>
      <c r="G1117" s="3" t="s">
        <v>3842</v>
      </c>
      <c r="H1117" s="3" t="str">
        <f t="shared" si="18"/>
        <v>Output Riser O PT6 Diff, computed by BMT WinMon.</v>
      </c>
    </row>
    <row r="1118" spans="1:8" x14ac:dyDescent="0.25">
      <c r="A1118" s="3" t="s">
        <v>6983</v>
      </c>
      <c r="B1118" s="3" t="s">
        <v>6989</v>
      </c>
      <c r="C1118" s="3" t="s">
        <v>6985</v>
      </c>
      <c r="D1118" s="3" t="s">
        <v>1138</v>
      </c>
      <c r="E1118" s="3">
        <v>1117</v>
      </c>
      <c r="F1118" s="3" t="s">
        <v>3501</v>
      </c>
      <c r="G1118" s="3" t="s">
        <v>3842</v>
      </c>
      <c r="H1118" s="3" t="str">
        <f t="shared" si="18"/>
        <v>Output Riser O PT7 Diff, computed by BMT WinMon.</v>
      </c>
    </row>
    <row r="1119" spans="1:8" x14ac:dyDescent="0.25">
      <c r="A1119" s="3" t="s">
        <v>6983</v>
      </c>
      <c r="B1119" s="3" t="s">
        <v>6989</v>
      </c>
      <c r="C1119" s="3" t="s">
        <v>6985</v>
      </c>
      <c r="D1119" s="3" t="s">
        <v>1138</v>
      </c>
      <c r="E1119" s="3">
        <v>1118</v>
      </c>
      <c r="F1119" s="3" t="s">
        <v>3502</v>
      </c>
      <c r="G1119" s="3" t="s">
        <v>3842</v>
      </c>
      <c r="H1119" s="3" t="str">
        <f t="shared" si="18"/>
        <v>Output Riser O PT8 Diff, computed by BMT WinMon.</v>
      </c>
    </row>
    <row r="1120" spans="1:8" x14ac:dyDescent="0.25">
      <c r="A1120" s="3" t="s">
        <v>6983</v>
      </c>
      <c r="B1120" s="3" t="s">
        <v>6989</v>
      </c>
      <c r="C1120" s="3" t="s">
        <v>6985</v>
      </c>
      <c r="D1120" s="3" t="s">
        <v>1138</v>
      </c>
      <c r="E1120" s="3">
        <v>1119</v>
      </c>
      <c r="F1120" s="3" t="s">
        <v>3503</v>
      </c>
      <c r="G1120" s="3" t="s">
        <v>1100</v>
      </c>
      <c r="H1120" s="3" t="str">
        <f t="shared" si="18"/>
        <v>Output Riser O Tension, computed by BMT WinMon.</v>
      </c>
    </row>
    <row r="1121" spans="1:8" x14ac:dyDescent="0.25">
      <c r="A1121" s="3" t="s">
        <v>6983</v>
      </c>
      <c r="B1121" s="3" t="s">
        <v>6989</v>
      </c>
      <c r="C1121" s="3" t="s">
        <v>6985</v>
      </c>
      <c r="D1121" s="3" t="s">
        <v>1138</v>
      </c>
      <c r="E1121" s="3">
        <v>1120</v>
      </c>
      <c r="F1121" s="3" t="s">
        <v>3504</v>
      </c>
      <c r="G1121" s="3" t="s">
        <v>1100</v>
      </c>
      <c r="H1121" s="3" t="str">
        <f t="shared" si="18"/>
        <v>Output Riser P Load PT1, computed by BMT WinMon.</v>
      </c>
    </row>
    <row r="1122" spans="1:8" x14ac:dyDescent="0.25">
      <c r="A1122" s="3" t="s">
        <v>6983</v>
      </c>
      <c r="B1122" s="3" t="s">
        <v>6989</v>
      </c>
      <c r="C1122" s="3" t="s">
        <v>6985</v>
      </c>
      <c r="D1122" s="3" t="s">
        <v>1138</v>
      </c>
      <c r="E1122" s="3">
        <v>1121</v>
      </c>
      <c r="F1122" s="3" t="s">
        <v>3505</v>
      </c>
      <c r="G1122" s="3" t="s">
        <v>1100</v>
      </c>
      <c r="H1122" s="3" t="str">
        <f t="shared" si="18"/>
        <v>Output Riser P Load PT2, computed by BMT WinMon.</v>
      </c>
    </row>
    <row r="1123" spans="1:8" x14ac:dyDescent="0.25">
      <c r="A1123" s="3" t="s">
        <v>6983</v>
      </c>
      <c r="B1123" s="3" t="s">
        <v>6989</v>
      </c>
      <c r="C1123" s="3" t="s">
        <v>6985</v>
      </c>
      <c r="D1123" s="3" t="s">
        <v>1138</v>
      </c>
      <c r="E1123" s="3">
        <v>1122</v>
      </c>
      <c r="F1123" s="3" t="s">
        <v>3506</v>
      </c>
      <c r="G1123" s="3" t="s">
        <v>1100</v>
      </c>
      <c r="H1123" s="3" t="str">
        <f t="shared" ref="H1123:H1186" si="19">_xlfn.CONCAT("Output ",F1123, ", computed by BMT WinMon.")</f>
        <v>Output Riser P Load PT3, computed by BMT WinMon.</v>
      </c>
    </row>
    <row r="1124" spans="1:8" x14ac:dyDescent="0.25">
      <c r="A1124" s="3" t="s">
        <v>6983</v>
      </c>
      <c r="B1124" s="3" t="s">
        <v>6989</v>
      </c>
      <c r="C1124" s="3" t="s">
        <v>6985</v>
      </c>
      <c r="D1124" s="3" t="s">
        <v>1138</v>
      </c>
      <c r="E1124" s="3">
        <v>1123</v>
      </c>
      <c r="F1124" s="3" t="s">
        <v>3507</v>
      </c>
      <c r="G1124" s="3" t="s">
        <v>1100</v>
      </c>
      <c r="H1124" s="3" t="str">
        <f t="shared" si="19"/>
        <v>Output Riser P Load PT4, computed by BMT WinMon.</v>
      </c>
    </row>
    <row r="1125" spans="1:8" x14ac:dyDescent="0.25">
      <c r="A1125" s="3" t="s">
        <v>6983</v>
      </c>
      <c r="B1125" s="3" t="s">
        <v>6989</v>
      </c>
      <c r="C1125" s="3" t="s">
        <v>6985</v>
      </c>
      <c r="D1125" s="3" t="s">
        <v>1138</v>
      </c>
      <c r="E1125" s="3">
        <v>1124</v>
      </c>
      <c r="F1125" s="3" t="s">
        <v>3508</v>
      </c>
      <c r="G1125" s="3" t="s">
        <v>3842</v>
      </c>
      <c r="H1125" s="3" t="str">
        <f t="shared" si="19"/>
        <v>Output Riser P PT1 Diff, computed by BMT WinMon.</v>
      </c>
    </row>
    <row r="1126" spans="1:8" x14ac:dyDescent="0.25">
      <c r="A1126" s="3" t="s">
        <v>6983</v>
      </c>
      <c r="B1126" s="3" t="s">
        <v>6989</v>
      </c>
      <c r="C1126" s="3" t="s">
        <v>6985</v>
      </c>
      <c r="D1126" s="3" t="s">
        <v>1138</v>
      </c>
      <c r="E1126" s="3">
        <v>1125</v>
      </c>
      <c r="F1126" s="3" t="s">
        <v>3509</v>
      </c>
      <c r="G1126" s="3" t="s">
        <v>3842</v>
      </c>
      <c r="H1126" s="3" t="str">
        <f t="shared" si="19"/>
        <v>Output Riser P PT2 Diff, computed by BMT WinMon.</v>
      </c>
    </row>
    <row r="1127" spans="1:8" x14ac:dyDescent="0.25">
      <c r="A1127" s="3" t="s">
        <v>6983</v>
      </c>
      <c r="B1127" s="3" t="s">
        <v>6989</v>
      </c>
      <c r="C1127" s="3" t="s">
        <v>6985</v>
      </c>
      <c r="D1127" s="3" t="s">
        <v>1138</v>
      </c>
      <c r="E1127" s="3">
        <v>1126</v>
      </c>
      <c r="F1127" s="3" t="s">
        <v>3510</v>
      </c>
      <c r="G1127" s="3" t="s">
        <v>3842</v>
      </c>
      <c r="H1127" s="3" t="str">
        <f t="shared" si="19"/>
        <v>Output Riser P PT3 Diff, computed by BMT WinMon.</v>
      </c>
    </row>
    <row r="1128" spans="1:8" x14ac:dyDescent="0.25">
      <c r="A1128" s="3" t="s">
        <v>6983</v>
      </c>
      <c r="B1128" s="3" t="s">
        <v>6989</v>
      </c>
      <c r="C1128" s="3" t="s">
        <v>6985</v>
      </c>
      <c r="D1128" s="3" t="s">
        <v>1138</v>
      </c>
      <c r="E1128" s="3">
        <v>1127</v>
      </c>
      <c r="F1128" s="3" t="s">
        <v>3511</v>
      </c>
      <c r="G1128" s="3" t="s">
        <v>3842</v>
      </c>
      <c r="H1128" s="3" t="str">
        <f t="shared" si="19"/>
        <v>Output Riser P PT4 Diff, computed by BMT WinMon.</v>
      </c>
    </row>
    <row r="1129" spans="1:8" x14ac:dyDescent="0.25">
      <c r="A1129" s="3" t="s">
        <v>6983</v>
      </c>
      <c r="B1129" s="3" t="s">
        <v>6989</v>
      </c>
      <c r="C1129" s="3" t="s">
        <v>6985</v>
      </c>
      <c r="D1129" s="3" t="s">
        <v>1138</v>
      </c>
      <c r="E1129" s="3">
        <v>1128</v>
      </c>
      <c r="F1129" s="3" t="s">
        <v>3512</v>
      </c>
      <c r="G1129" s="3" t="s">
        <v>1100</v>
      </c>
      <c r="H1129" s="3" t="str">
        <f t="shared" si="19"/>
        <v>Output Riser P Tension, computed by BMT WinMon.</v>
      </c>
    </row>
    <row r="1130" spans="1:8" x14ac:dyDescent="0.25">
      <c r="A1130" s="3" t="s">
        <v>6983</v>
      </c>
      <c r="B1130" s="3" t="s">
        <v>6989</v>
      </c>
      <c r="C1130" s="3" t="s">
        <v>6985</v>
      </c>
      <c r="D1130" s="3" t="s">
        <v>1138</v>
      </c>
      <c r="E1130" s="3">
        <v>1129</v>
      </c>
      <c r="F1130" s="3" t="s">
        <v>3513</v>
      </c>
      <c r="G1130" s="3" t="s">
        <v>1100</v>
      </c>
      <c r="H1130" s="3" t="str">
        <f t="shared" si="19"/>
        <v>Output Riser Q Load PT1, computed by BMT WinMon.</v>
      </c>
    </row>
    <row r="1131" spans="1:8" x14ac:dyDescent="0.25">
      <c r="A1131" s="3" t="s">
        <v>6983</v>
      </c>
      <c r="B1131" s="3" t="s">
        <v>6989</v>
      </c>
      <c r="C1131" s="3" t="s">
        <v>6985</v>
      </c>
      <c r="D1131" s="3" t="s">
        <v>1138</v>
      </c>
      <c r="E1131" s="3">
        <v>1130</v>
      </c>
      <c r="F1131" s="3" t="s">
        <v>3514</v>
      </c>
      <c r="G1131" s="3" t="s">
        <v>1100</v>
      </c>
      <c r="H1131" s="3" t="str">
        <f t="shared" si="19"/>
        <v>Output Riser Q Load PT2, computed by BMT WinMon.</v>
      </c>
    </row>
    <row r="1132" spans="1:8" x14ac:dyDescent="0.25">
      <c r="A1132" s="3" t="s">
        <v>6983</v>
      </c>
      <c r="B1132" s="3" t="s">
        <v>6989</v>
      </c>
      <c r="C1132" s="3" t="s">
        <v>6985</v>
      </c>
      <c r="D1132" s="3" t="s">
        <v>1138</v>
      </c>
      <c r="E1132" s="3">
        <v>1131</v>
      </c>
      <c r="F1132" s="3" t="s">
        <v>3515</v>
      </c>
      <c r="G1132" s="3" t="s">
        <v>1100</v>
      </c>
      <c r="H1132" s="3" t="str">
        <f t="shared" si="19"/>
        <v>Output Riser Q Load PT3, computed by BMT WinMon.</v>
      </c>
    </row>
    <row r="1133" spans="1:8" x14ac:dyDescent="0.25">
      <c r="A1133" s="3" t="s">
        <v>6983</v>
      </c>
      <c r="B1133" s="3" t="s">
        <v>6989</v>
      </c>
      <c r="C1133" s="3" t="s">
        <v>6985</v>
      </c>
      <c r="D1133" s="3" t="s">
        <v>1138</v>
      </c>
      <c r="E1133" s="3">
        <v>1132</v>
      </c>
      <c r="F1133" s="3" t="s">
        <v>3516</v>
      </c>
      <c r="G1133" s="3" t="s">
        <v>1100</v>
      </c>
      <c r="H1133" s="3" t="str">
        <f t="shared" si="19"/>
        <v>Output Riser Q Load PT4, computed by BMT WinMon.</v>
      </c>
    </row>
    <row r="1134" spans="1:8" x14ac:dyDescent="0.25">
      <c r="A1134" s="3" t="s">
        <v>6983</v>
      </c>
      <c r="B1134" s="3" t="s">
        <v>6989</v>
      </c>
      <c r="C1134" s="3" t="s">
        <v>6985</v>
      </c>
      <c r="D1134" s="3" t="s">
        <v>1138</v>
      </c>
      <c r="E1134" s="3">
        <v>1133</v>
      </c>
      <c r="F1134" s="3" t="s">
        <v>3517</v>
      </c>
      <c r="G1134" s="3" t="s">
        <v>3842</v>
      </c>
      <c r="H1134" s="3" t="str">
        <f t="shared" si="19"/>
        <v>Output Riser Q PT1 Diff, computed by BMT WinMon.</v>
      </c>
    </row>
    <row r="1135" spans="1:8" x14ac:dyDescent="0.25">
      <c r="A1135" s="3" t="s">
        <v>6983</v>
      </c>
      <c r="B1135" s="3" t="s">
        <v>6989</v>
      </c>
      <c r="C1135" s="3" t="s">
        <v>6985</v>
      </c>
      <c r="D1135" s="3" t="s">
        <v>1138</v>
      </c>
      <c r="E1135" s="3">
        <v>1134</v>
      </c>
      <c r="F1135" s="3" t="s">
        <v>3518</v>
      </c>
      <c r="G1135" s="3" t="s">
        <v>3842</v>
      </c>
      <c r="H1135" s="3" t="str">
        <f t="shared" si="19"/>
        <v>Output Riser Q PT2 Diff, computed by BMT WinMon.</v>
      </c>
    </row>
    <row r="1136" spans="1:8" x14ac:dyDescent="0.25">
      <c r="A1136" s="3" t="s">
        <v>6983</v>
      </c>
      <c r="B1136" s="3" t="s">
        <v>6989</v>
      </c>
      <c r="C1136" s="3" t="s">
        <v>6985</v>
      </c>
      <c r="D1136" s="3" t="s">
        <v>1138</v>
      </c>
      <c r="E1136" s="3">
        <v>1135</v>
      </c>
      <c r="F1136" s="3" t="s">
        <v>3519</v>
      </c>
      <c r="G1136" s="3" t="s">
        <v>3842</v>
      </c>
      <c r="H1136" s="3" t="str">
        <f t="shared" si="19"/>
        <v>Output Riser Q PT3 Diff, computed by BMT WinMon.</v>
      </c>
    </row>
    <row r="1137" spans="1:8" x14ac:dyDescent="0.25">
      <c r="A1137" s="3" t="s">
        <v>6983</v>
      </c>
      <c r="B1137" s="3" t="s">
        <v>6989</v>
      </c>
      <c r="C1137" s="3" t="s">
        <v>6985</v>
      </c>
      <c r="D1137" s="3" t="s">
        <v>1138</v>
      </c>
      <c r="E1137" s="3">
        <v>1136</v>
      </c>
      <c r="F1137" s="3" t="s">
        <v>3520</v>
      </c>
      <c r="G1137" s="3" t="s">
        <v>3842</v>
      </c>
      <c r="H1137" s="3" t="str">
        <f t="shared" si="19"/>
        <v>Output Riser Q PT4 Diff, computed by BMT WinMon.</v>
      </c>
    </row>
    <row r="1138" spans="1:8" x14ac:dyDescent="0.25">
      <c r="A1138" s="3" t="s">
        <v>6983</v>
      </c>
      <c r="B1138" s="3" t="s">
        <v>6989</v>
      </c>
      <c r="C1138" s="3" t="s">
        <v>6985</v>
      </c>
      <c r="D1138" s="3" t="s">
        <v>1138</v>
      </c>
      <c r="E1138" s="3">
        <v>1137</v>
      </c>
      <c r="F1138" s="3" t="s">
        <v>3521</v>
      </c>
      <c r="G1138" s="3" t="s">
        <v>1100</v>
      </c>
      <c r="H1138" s="3" t="str">
        <f t="shared" si="19"/>
        <v>Output Riser Q Tension, computed by BMT WinMon.</v>
      </c>
    </row>
    <row r="1139" spans="1:8" x14ac:dyDescent="0.25">
      <c r="A1139" s="3" t="s">
        <v>6983</v>
      </c>
      <c r="B1139" s="3" t="s">
        <v>6989</v>
      </c>
      <c r="C1139" s="3" t="s">
        <v>6985</v>
      </c>
      <c r="D1139" s="3" t="s">
        <v>1138</v>
      </c>
      <c r="E1139" s="3">
        <v>1138</v>
      </c>
      <c r="F1139" s="3" t="s">
        <v>3522</v>
      </c>
      <c r="G1139" s="3" t="s">
        <v>1100</v>
      </c>
      <c r="H1139" s="3" t="str">
        <f t="shared" si="19"/>
        <v>Output Riser R Load PT1, computed by BMT WinMon.</v>
      </c>
    </row>
    <row r="1140" spans="1:8" x14ac:dyDescent="0.25">
      <c r="A1140" s="3" t="s">
        <v>6983</v>
      </c>
      <c r="B1140" s="3" t="s">
        <v>6989</v>
      </c>
      <c r="C1140" s="3" t="s">
        <v>6985</v>
      </c>
      <c r="D1140" s="3" t="s">
        <v>1138</v>
      </c>
      <c r="E1140" s="3">
        <v>1139</v>
      </c>
      <c r="F1140" s="3" t="s">
        <v>3523</v>
      </c>
      <c r="G1140" s="3" t="s">
        <v>1100</v>
      </c>
      <c r="H1140" s="3" t="str">
        <f t="shared" si="19"/>
        <v>Output Riser R Load PT2, computed by BMT WinMon.</v>
      </c>
    </row>
    <row r="1141" spans="1:8" x14ac:dyDescent="0.25">
      <c r="A1141" s="3" t="s">
        <v>6983</v>
      </c>
      <c r="B1141" s="3" t="s">
        <v>6989</v>
      </c>
      <c r="C1141" s="3" t="s">
        <v>6985</v>
      </c>
      <c r="D1141" s="3" t="s">
        <v>1138</v>
      </c>
      <c r="E1141" s="3">
        <v>1140</v>
      </c>
      <c r="F1141" s="3" t="s">
        <v>3524</v>
      </c>
      <c r="G1141" s="3" t="s">
        <v>1100</v>
      </c>
      <c r="H1141" s="3" t="str">
        <f t="shared" si="19"/>
        <v>Output Riser R Load PT3, computed by BMT WinMon.</v>
      </c>
    </row>
    <row r="1142" spans="1:8" x14ac:dyDescent="0.25">
      <c r="A1142" s="3" t="s">
        <v>6983</v>
      </c>
      <c r="B1142" s="3" t="s">
        <v>6989</v>
      </c>
      <c r="C1142" s="3" t="s">
        <v>6985</v>
      </c>
      <c r="D1142" s="3" t="s">
        <v>1138</v>
      </c>
      <c r="E1142" s="3">
        <v>1141</v>
      </c>
      <c r="F1142" s="3" t="s">
        <v>3525</v>
      </c>
      <c r="G1142" s="3" t="s">
        <v>1100</v>
      </c>
      <c r="H1142" s="3" t="str">
        <f t="shared" si="19"/>
        <v>Output Riser R Load PT4, computed by BMT WinMon.</v>
      </c>
    </row>
    <row r="1143" spans="1:8" x14ac:dyDescent="0.25">
      <c r="A1143" s="3" t="s">
        <v>6983</v>
      </c>
      <c r="B1143" s="3" t="s">
        <v>6989</v>
      </c>
      <c r="C1143" s="3" t="s">
        <v>6985</v>
      </c>
      <c r="D1143" s="3" t="s">
        <v>1138</v>
      </c>
      <c r="E1143" s="3">
        <v>1142</v>
      </c>
      <c r="F1143" s="3" t="s">
        <v>3526</v>
      </c>
      <c r="G1143" s="3" t="s">
        <v>3842</v>
      </c>
      <c r="H1143" s="3" t="str">
        <f t="shared" si="19"/>
        <v>Output Riser R PT1 Diff, computed by BMT WinMon.</v>
      </c>
    </row>
    <row r="1144" spans="1:8" x14ac:dyDescent="0.25">
      <c r="A1144" s="3" t="s">
        <v>6983</v>
      </c>
      <c r="B1144" s="3" t="s">
        <v>6989</v>
      </c>
      <c r="C1144" s="3" t="s">
        <v>6985</v>
      </c>
      <c r="D1144" s="3" t="s">
        <v>1138</v>
      </c>
      <c r="E1144" s="3">
        <v>1143</v>
      </c>
      <c r="F1144" s="3" t="s">
        <v>3527</v>
      </c>
      <c r="G1144" s="3" t="s">
        <v>3842</v>
      </c>
      <c r="H1144" s="3" t="str">
        <f t="shared" si="19"/>
        <v>Output Riser R PT2 Diff, computed by BMT WinMon.</v>
      </c>
    </row>
    <row r="1145" spans="1:8" x14ac:dyDescent="0.25">
      <c r="A1145" s="3" t="s">
        <v>6983</v>
      </c>
      <c r="B1145" s="3" t="s">
        <v>6989</v>
      </c>
      <c r="C1145" s="3" t="s">
        <v>6985</v>
      </c>
      <c r="D1145" s="3" t="s">
        <v>1138</v>
      </c>
      <c r="E1145" s="3">
        <v>1144</v>
      </c>
      <c r="F1145" s="3" t="s">
        <v>3528</v>
      </c>
      <c r="G1145" s="3" t="s">
        <v>3842</v>
      </c>
      <c r="H1145" s="3" t="str">
        <f t="shared" si="19"/>
        <v>Output Riser R PT3 Diff, computed by BMT WinMon.</v>
      </c>
    </row>
    <row r="1146" spans="1:8" x14ac:dyDescent="0.25">
      <c r="A1146" s="3" t="s">
        <v>6983</v>
      </c>
      <c r="B1146" s="3" t="s">
        <v>6989</v>
      </c>
      <c r="C1146" s="3" t="s">
        <v>6985</v>
      </c>
      <c r="D1146" s="3" t="s">
        <v>1138</v>
      </c>
      <c r="E1146" s="3">
        <v>1145</v>
      </c>
      <c r="F1146" s="3" t="s">
        <v>3529</v>
      </c>
      <c r="G1146" s="3" t="s">
        <v>3842</v>
      </c>
      <c r="H1146" s="3" t="str">
        <f t="shared" si="19"/>
        <v>Output Riser R PT4 Diff, computed by BMT WinMon.</v>
      </c>
    </row>
    <row r="1147" spans="1:8" x14ac:dyDescent="0.25">
      <c r="A1147" s="3" t="s">
        <v>6983</v>
      </c>
      <c r="B1147" s="3" t="s">
        <v>6989</v>
      </c>
      <c r="C1147" s="3" t="s">
        <v>6985</v>
      </c>
      <c r="D1147" s="3" t="s">
        <v>1138</v>
      </c>
      <c r="E1147" s="3">
        <v>1146</v>
      </c>
      <c r="F1147" s="3" t="s">
        <v>3530</v>
      </c>
      <c r="G1147" s="3" t="s">
        <v>1100</v>
      </c>
      <c r="H1147" s="3" t="str">
        <f t="shared" si="19"/>
        <v>Output Riser R Tension, computed by BMT WinMon.</v>
      </c>
    </row>
    <row r="1148" spans="1:8" x14ac:dyDescent="0.25">
      <c r="A1148" s="3" t="s">
        <v>6983</v>
      </c>
      <c r="B1148" s="3" t="s">
        <v>6989</v>
      </c>
      <c r="C1148" s="3" t="s">
        <v>6985</v>
      </c>
      <c r="D1148" s="3" t="s">
        <v>1138</v>
      </c>
      <c r="E1148" s="3">
        <v>1147</v>
      </c>
      <c r="F1148" s="3" t="s">
        <v>3531</v>
      </c>
      <c r="G1148" s="3" t="s">
        <v>1100</v>
      </c>
      <c r="H1148" s="3" t="str">
        <f t="shared" si="19"/>
        <v>Output Riser S Load PT1, computed by BMT WinMon.</v>
      </c>
    </row>
    <row r="1149" spans="1:8" x14ac:dyDescent="0.25">
      <c r="A1149" s="3" t="s">
        <v>6983</v>
      </c>
      <c r="B1149" s="3" t="s">
        <v>6989</v>
      </c>
      <c r="C1149" s="3" t="s">
        <v>6985</v>
      </c>
      <c r="D1149" s="3" t="s">
        <v>1138</v>
      </c>
      <c r="E1149" s="3">
        <v>1148</v>
      </c>
      <c r="F1149" s="3" t="s">
        <v>3532</v>
      </c>
      <c r="G1149" s="3" t="s">
        <v>1100</v>
      </c>
      <c r="H1149" s="3" t="str">
        <f t="shared" si="19"/>
        <v>Output Riser S Load PT2, computed by BMT WinMon.</v>
      </c>
    </row>
    <row r="1150" spans="1:8" x14ac:dyDescent="0.25">
      <c r="A1150" s="3" t="s">
        <v>6983</v>
      </c>
      <c r="B1150" s="3" t="s">
        <v>6989</v>
      </c>
      <c r="C1150" s="3" t="s">
        <v>6985</v>
      </c>
      <c r="D1150" s="3" t="s">
        <v>1138</v>
      </c>
      <c r="E1150" s="3">
        <v>1149</v>
      </c>
      <c r="F1150" s="3" t="s">
        <v>3533</v>
      </c>
      <c r="G1150" s="3" t="s">
        <v>1100</v>
      </c>
      <c r="H1150" s="3" t="str">
        <f t="shared" si="19"/>
        <v>Output Riser S Load PT3, computed by BMT WinMon.</v>
      </c>
    </row>
    <row r="1151" spans="1:8" x14ac:dyDescent="0.25">
      <c r="A1151" s="3" t="s">
        <v>6983</v>
      </c>
      <c r="B1151" s="3" t="s">
        <v>6989</v>
      </c>
      <c r="C1151" s="3" t="s">
        <v>6985</v>
      </c>
      <c r="D1151" s="3" t="s">
        <v>1138</v>
      </c>
      <c r="E1151" s="3">
        <v>1150</v>
      </c>
      <c r="F1151" s="3" t="s">
        <v>3534</v>
      </c>
      <c r="G1151" s="3" t="s">
        <v>1100</v>
      </c>
      <c r="H1151" s="3" t="str">
        <f t="shared" si="19"/>
        <v>Output Riser S Load PT4, computed by BMT WinMon.</v>
      </c>
    </row>
    <row r="1152" spans="1:8" x14ac:dyDescent="0.25">
      <c r="A1152" s="3" t="s">
        <v>6983</v>
      </c>
      <c r="B1152" s="3" t="s">
        <v>6989</v>
      </c>
      <c r="C1152" s="3" t="s">
        <v>6985</v>
      </c>
      <c r="D1152" s="3" t="s">
        <v>1138</v>
      </c>
      <c r="E1152" s="3">
        <v>1151</v>
      </c>
      <c r="F1152" s="3" t="s">
        <v>3535</v>
      </c>
      <c r="G1152" s="3" t="s">
        <v>1100</v>
      </c>
      <c r="H1152" s="3" t="str">
        <f t="shared" si="19"/>
        <v>Output Riser S Load PT5, computed by BMT WinMon.</v>
      </c>
    </row>
    <row r="1153" spans="1:8" x14ac:dyDescent="0.25">
      <c r="A1153" s="3" t="s">
        <v>6983</v>
      </c>
      <c r="B1153" s="3" t="s">
        <v>6989</v>
      </c>
      <c r="C1153" s="3" t="s">
        <v>6985</v>
      </c>
      <c r="D1153" s="3" t="s">
        <v>1138</v>
      </c>
      <c r="E1153" s="3">
        <v>1152</v>
      </c>
      <c r="F1153" s="3" t="s">
        <v>3536</v>
      </c>
      <c r="G1153" s="3" t="s">
        <v>1100</v>
      </c>
      <c r="H1153" s="3" t="str">
        <f t="shared" si="19"/>
        <v>Output Riser S Load PT6, computed by BMT WinMon.</v>
      </c>
    </row>
    <row r="1154" spans="1:8" x14ac:dyDescent="0.25">
      <c r="A1154" s="3" t="s">
        <v>6983</v>
      </c>
      <c r="B1154" s="3" t="s">
        <v>6989</v>
      </c>
      <c r="C1154" s="3" t="s">
        <v>6985</v>
      </c>
      <c r="D1154" s="3" t="s">
        <v>1138</v>
      </c>
      <c r="E1154" s="3">
        <v>1153</v>
      </c>
      <c r="F1154" s="3" t="s">
        <v>3537</v>
      </c>
      <c r="G1154" s="3" t="s">
        <v>1100</v>
      </c>
      <c r="H1154" s="3" t="str">
        <f t="shared" si="19"/>
        <v>Output Riser S Load PT7, computed by BMT WinMon.</v>
      </c>
    </row>
    <row r="1155" spans="1:8" x14ac:dyDescent="0.25">
      <c r="A1155" s="3" t="s">
        <v>6983</v>
      </c>
      <c r="B1155" s="3" t="s">
        <v>6989</v>
      </c>
      <c r="C1155" s="3" t="s">
        <v>6985</v>
      </c>
      <c r="D1155" s="3" t="s">
        <v>1138</v>
      </c>
      <c r="E1155" s="3">
        <v>1154</v>
      </c>
      <c r="F1155" s="3" t="s">
        <v>3538</v>
      </c>
      <c r="G1155" s="3" t="s">
        <v>1100</v>
      </c>
      <c r="H1155" s="3" t="str">
        <f t="shared" si="19"/>
        <v>Output Riser S Load PT8, computed by BMT WinMon.</v>
      </c>
    </row>
    <row r="1156" spans="1:8" x14ac:dyDescent="0.25">
      <c r="A1156" s="3" t="s">
        <v>6983</v>
      </c>
      <c r="B1156" s="3" t="s">
        <v>6989</v>
      </c>
      <c r="C1156" s="3" t="s">
        <v>6985</v>
      </c>
      <c r="D1156" s="3" t="s">
        <v>1138</v>
      </c>
      <c r="E1156" s="3">
        <v>1155</v>
      </c>
      <c r="F1156" s="3" t="s">
        <v>3539</v>
      </c>
      <c r="G1156" s="3" t="s">
        <v>3842</v>
      </c>
      <c r="H1156" s="3" t="str">
        <f t="shared" si="19"/>
        <v>Output Riser S PT1 Diff, computed by BMT WinMon.</v>
      </c>
    </row>
    <row r="1157" spans="1:8" x14ac:dyDescent="0.25">
      <c r="A1157" s="3" t="s">
        <v>6983</v>
      </c>
      <c r="B1157" s="3" t="s">
        <v>6989</v>
      </c>
      <c r="C1157" s="3" t="s">
        <v>6985</v>
      </c>
      <c r="D1157" s="3" t="s">
        <v>1138</v>
      </c>
      <c r="E1157" s="3">
        <v>1156</v>
      </c>
      <c r="F1157" s="3" t="s">
        <v>3540</v>
      </c>
      <c r="G1157" s="3" t="s">
        <v>3842</v>
      </c>
      <c r="H1157" s="3" t="str">
        <f t="shared" si="19"/>
        <v>Output Riser S PT2 Diff, computed by BMT WinMon.</v>
      </c>
    </row>
    <row r="1158" spans="1:8" x14ac:dyDescent="0.25">
      <c r="A1158" s="3" t="s">
        <v>6983</v>
      </c>
      <c r="B1158" s="3" t="s">
        <v>6989</v>
      </c>
      <c r="C1158" s="3" t="s">
        <v>6985</v>
      </c>
      <c r="D1158" s="3" t="s">
        <v>1138</v>
      </c>
      <c r="E1158" s="3">
        <v>1157</v>
      </c>
      <c r="F1158" s="3" t="s">
        <v>3541</v>
      </c>
      <c r="G1158" s="3" t="s">
        <v>3842</v>
      </c>
      <c r="H1158" s="3" t="str">
        <f t="shared" si="19"/>
        <v>Output Riser S PT3 Diff, computed by BMT WinMon.</v>
      </c>
    </row>
    <row r="1159" spans="1:8" x14ac:dyDescent="0.25">
      <c r="A1159" s="3" t="s">
        <v>6983</v>
      </c>
      <c r="B1159" s="3" t="s">
        <v>6989</v>
      </c>
      <c r="C1159" s="3" t="s">
        <v>6985</v>
      </c>
      <c r="D1159" s="3" t="s">
        <v>1138</v>
      </c>
      <c r="E1159" s="3">
        <v>1158</v>
      </c>
      <c r="F1159" s="3" t="s">
        <v>3542</v>
      </c>
      <c r="G1159" s="3" t="s">
        <v>3842</v>
      </c>
      <c r="H1159" s="3" t="str">
        <f t="shared" si="19"/>
        <v>Output Riser S PT4 Diff, computed by BMT WinMon.</v>
      </c>
    </row>
    <row r="1160" spans="1:8" x14ac:dyDescent="0.25">
      <c r="A1160" s="3" t="s">
        <v>6983</v>
      </c>
      <c r="B1160" s="3" t="s">
        <v>6989</v>
      </c>
      <c r="C1160" s="3" t="s">
        <v>6985</v>
      </c>
      <c r="D1160" s="3" t="s">
        <v>1138</v>
      </c>
      <c r="E1160" s="3">
        <v>1159</v>
      </c>
      <c r="F1160" s="3" t="s">
        <v>3543</v>
      </c>
      <c r="G1160" s="3" t="s">
        <v>3842</v>
      </c>
      <c r="H1160" s="3" t="str">
        <f t="shared" si="19"/>
        <v>Output Riser S PT5 Diff, computed by BMT WinMon.</v>
      </c>
    </row>
    <row r="1161" spans="1:8" x14ac:dyDescent="0.25">
      <c r="A1161" s="3" t="s">
        <v>6983</v>
      </c>
      <c r="B1161" s="3" t="s">
        <v>6989</v>
      </c>
      <c r="C1161" s="3" t="s">
        <v>6985</v>
      </c>
      <c r="D1161" s="3" t="s">
        <v>1138</v>
      </c>
      <c r="E1161" s="3">
        <v>1160</v>
      </c>
      <c r="F1161" s="3" t="s">
        <v>3544</v>
      </c>
      <c r="G1161" s="3" t="s">
        <v>3842</v>
      </c>
      <c r="H1161" s="3" t="str">
        <f t="shared" si="19"/>
        <v>Output Riser S PT6 Diff, computed by BMT WinMon.</v>
      </c>
    </row>
    <row r="1162" spans="1:8" x14ac:dyDescent="0.25">
      <c r="A1162" s="3" t="s">
        <v>6983</v>
      </c>
      <c r="B1162" s="3" t="s">
        <v>6989</v>
      </c>
      <c r="C1162" s="3" t="s">
        <v>6985</v>
      </c>
      <c r="D1162" s="3" t="s">
        <v>1138</v>
      </c>
      <c r="E1162" s="3">
        <v>1161</v>
      </c>
      <c r="F1162" s="3" t="s">
        <v>3545</v>
      </c>
      <c r="G1162" s="3" t="s">
        <v>3842</v>
      </c>
      <c r="H1162" s="3" t="str">
        <f t="shared" si="19"/>
        <v>Output Riser S PT7 Diff, computed by BMT WinMon.</v>
      </c>
    </row>
    <row r="1163" spans="1:8" x14ac:dyDescent="0.25">
      <c r="A1163" s="3" t="s">
        <v>6983</v>
      </c>
      <c r="B1163" s="3" t="s">
        <v>6989</v>
      </c>
      <c r="C1163" s="3" t="s">
        <v>6985</v>
      </c>
      <c r="D1163" s="3" t="s">
        <v>1138</v>
      </c>
      <c r="E1163" s="3">
        <v>1162</v>
      </c>
      <c r="F1163" s="3" t="s">
        <v>3546</v>
      </c>
      <c r="G1163" s="3" t="s">
        <v>3842</v>
      </c>
      <c r="H1163" s="3" t="str">
        <f t="shared" si="19"/>
        <v>Output Riser S PT8 Diff, computed by BMT WinMon.</v>
      </c>
    </row>
    <row r="1164" spans="1:8" x14ac:dyDescent="0.25">
      <c r="A1164" s="3" t="s">
        <v>6983</v>
      </c>
      <c r="B1164" s="3" t="s">
        <v>6989</v>
      </c>
      <c r="C1164" s="3" t="s">
        <v>6985</v>
      </c>
      <c r="D1164" s="3" t="s">
        <v>1138</v>
      </c>
      <c r="E1164" s="3">
        <v>1163</v>
      </c>
      <c r="F1164" s="3" t="s">
        <v>3547</v>
      </c>
      <c r="G1164" s="3" t="s">
        <v>1100</v>
      </c>
      <c r="H1164" s="3" t="str">
        <f t="shared" si="19"/>
        <v>Output Riser S Tension, computed by BMT WinMon.</v>
      </c>
    </row>
    <row r="1165" spans="1:8" x14ac:dyDescent="0.25">
      <c r="A1165" s="3" t="s">
        <v>6983</v>
      </c>
      <c r="B1165" s="3" t="s">
        <v>6989</v>
      </c>
      <c r="C1165" s="3" t="s">
        <v>6985</v>
      </c>
      <c r="D1165" s="3" t="s">
        <v>1138</v>
      </c>
      <c r="E1165" s="3">
        <v>1164</v>
      </c>
      <c r="F1165" s="3" t="s">
        <v>3548</v>
      </c>
      <c r="G1165" s="3" t="s">
        <v>1100</v>
      </c>
      <c r="H1165" s="3" t="str">
        <f t="shared" si="19"/>
        <v>Output Riser T Load PT1, computed by BMT WinMon.</v>
      </c>
    </row>
    <row r="1166" spans="1:8" x14ac:dyDescent="0.25">
      <c r="A1166" s="3" t="s">
        <v>6983</v>
      </c>
      <c r="B1166" s="3" t="s">
        <v>6989</v>
      </c>
      <c r="C1166" s="3" t="s">
        <v>6985</v>
      </c>
      <c r="D1166" s="3" t="s">
        <v>1138</v>
      </c>
      <c r="E1166" s="3">
        <v>1165</v>
      </c>
      <c r="F1166" s="3" t="s">
        <v>3549</v>
      </c>
      <c r="G1166" s="3" t="s">
        <v>1100</v>
      </c>
      <c r="H1166" s="3" t="str">
        <f t="shared" si="19"/>
        <v>Output Riser T Load PT2, computed by BMT WinMon.</v>
      </c>
    </row>
    <row r="1167" spans="1:8" x14ac:dyDescent="0.25">
      <c r="A1167" s="3" t="s">
        <v>6983</v>
      </c>
      <c r="B1167" s="3" t="s">
        <v>6989</v>
      </c>
      <c r="C1167" s="3" t="s">
        <v>6985</v>
      </c>
      <c r="D1167" s="3" t="s">
        <v>1138</v>
      </c>
      <c r="E1167" s="3">
        <v>1166</v>
      </c>
      <c r="F1167" s="3" t="s">
        <v>3550</v>
      </c>
      <c r="G1167" s="3" t="s">
        <v>1100</v>
      </c>
      <c r="H1167" s="3" t="str">
        <f t="shared" si="19"/>
        <v>Output Riser T Load PT3, computed by BMT WinMon.</v>
      </c>
    </row>
    <row r="1168" spans="1:8" x14ac:dyDescent="0.25">
      <c r="A1168" s="3" t="s">
        <v>6983</v>
      </c>
      <c r="B1168" s="3" t="s">
        <v>6989</v>
      </c>
      <c r="C1168" s="3" t="s">
        <v>6985</v>
      </c>
      <c r="D1168" s="3" t="s">
        <v>1138</v>
      </c>
      <c r="E1168" s="3">
        <v>1167</v>
      </c>
      <c r="F1168" s="3" t="s">
        <v>3551</v>
      </c>
      <c r="G1168" s="3" t="s">
        <v>1100</v>
      </c>
      <c r="H1168" s="3" t="str">
        <f t="shared" si="19"/>
        <v>Output Riser T Load PT4, computed by BMT WinMon.</v>
      </c>
    </row>
    <row r="1169" spans="1:8" x14ac:dyDescent="0.25">
      <c r="A1169" s="3" t="s">
        <v>6983</v>
      </c>
      <c r="B1169" s="3" t="s">
        <v>6989</v>
      </c>
      <c r="C1169" s="3" t="s">
        <v>6985</v>
      </c>
      <c r="D1169" s="3" t="s">
        <v>1138</v>
      </c>
      <c r="E1169" s="3">
        <v>1168</v>
      </c>
      <c r="F1169" s="3" t="s">
        <v>3552</v>
      </c>
      <c r="G1169" s="3" t="s">
        <v>1100</v>
      </c>
      <c r="H1169" s="3" t="str">
        <f t="shared" si="19"/>
        <v>Output Riser T Load PT5, computed by BMT WinMon.</v>
      </c>
    </row>
    <row r="1170" spans="1:8" x14ac:dyDescent="0.25">
      <c r="A1170" s="3" t="s">
        <v>6983</v>
      </c>
      <c r="B1170" s="3" t="s">
        <v>6989</v>
      </c>
      <c r="C1170" s="3" t="s">
        <v>6985</v>
      </c>
      <c r="D1170" s="3" t="s">
        <v>1138</v>
      </c>
      <c r="E1170" s="3">
        <v>1169</v>
      </c>
      <c r="F1170" s="3" t="s">
        <v>3553</v>
      </c>
      <c r="G1170" s="3" t="s">
        <v>1100</v>
      </c>
      <c r="H1170" s="3" t="str">
        <f t="shared" si="19"/>
        <v>Output Riser T Load PT6, computed by BMT WinMon.</v>
      </c>
    </row>
    <row r="1171" spans="1:8" x14ac:dyDescent="0.25">
      <c r="A1171" s="3" t="s">
        <v>6983</v>
      </c>
      <c r="B1171" s="3" t="s">
        <v>6989</v>
      </c>
      <c r="C1171" s="3" t="s">
        <v>6985</v>
      </c>
      <c r="D1171" s="3" t="s">
        <v>1138</v>
      </c>
      <c r="E1171" s="3">
        <v>1170</v>
      </c>
      <c r="F1171" s="3" t="s">
        <v>3554</v>
      </c>
      <c r="G1171" s="3" t="s">
        <v>1100</v>
      </c>
      <c r="H1171" s="3" t="str">
        <f t="shared" si="19"/>
        <v>Output Riser T Load PT7, computed by BMT WinMon.</v>
      </c>
    </row>
    <row r="1172" spans="1:8" x14ac:dyDescent="0.25">
      <c r="A1172" s="3" t="s">
        <v>6983</v>
      </c>
      <c r="B1172" s="3" t="s">
        <v>6989</v>
      </c>
      <c r="C1172" s="3" t="s">
        <v>6985</v>
      </c>
      <c r="D1172" s="3" t="s">
        <v>1138</v>
      </c>
      <c r="E1172" s="3">
        <v>1171</v>
      </c>
      <c r="F1172" s="3" t="s">
        <v>3555</v>
      </c>
      <c r="G1172" s="3" t="s">
        <v>1100</v>
      </c>
      <c r="H1172" s="3" t="str">
        <f t="shared" si="19"/>
        <v>Output Riser T Load PT8, computed by BMT WinMon.</v>
      </c>
    </row>
    <row r="1173" spans="1:8" x14ac:dyDescent="0.25">
      <c r="A1173" s="3" t="s">
        <v>6983</v>
      </c>
      <c r="B1173" s="3" t="s">
        <v>6989</v>
      </c>
      <c r="C1173" s="3" t="s">
        <v>6985</v>
      </c>
      <c r="D1173" s="3" t="s">
        <v>1138</v>
      </c>
      <c r="E1173" s="3">
        <v>1172</v>
      </c>
      <c r="F1173" s="3" t="s">
        <v>3556</v>
      </c>
      <c r="G1173" s="3" t="s">
        <v>3842</v>
      </c>
      <c r="H1173" s="3" t="str">
        <f t="shared" si="19"/>
        <v>Output Riser T PT1 Diff, computed by BMT WinMon.</v>
      </c>
    </row>
    <row r="1174" spans="1:8" x14ac:dyDescent="0.25">
      <c r="A1174" s="3" t="s">
        <v>6983</v>
      </c>
      <c r="B1174" s="3" t="s">
        <v>6989</v>
      </c>
      <c r="C1174" s="3" t="s">
        <v>6985</v>
      </c>
      <c r="D1174" s="3" t="s">
        <v>1138</v>
      </c>
      <c r="E1174" s="3">
        <v>1173</v>
      </c>
      <c r="F1174" s="3" t="s">
        <v>3557</v>
      </c>
      <c r="G1174" s="3" t="s">
        <v>3842</v>
      </c>
      <c r="H1174" s="3" t="str">
        <f t="shared" si="19"/>
        <v>Output Riser T PT2 Diff, computed by BMT WinMon.</v>
      </c>
    </row>
    <row r="1175" spans="1:8" x14ac:dyDescent="0.25">
      <c r="A1175" s="3" t="s">
        <v>6983</v>
      </c>
      <c r="B1175" s="3" t="s">
        <v>6989</v>
      </c>
      <c r="C1175" s="3" t="s">
        <v>6985</v>
      </c>
      <c r="D1175" s="3" t="s">
        <v>1138</v>
      </c>
      <c r="E1175" s="3">
        <v>1174</v>
      </c>
      <c r="F1175" s="3" t="s">
        <v>3558</v>
      </c>
      <c r="G1175" s="3" t="s">
        <v>3842</v>
      </c>
      <c r="H1175" s="3" t="str">
        <f t="shared" si="19"/>
        <v>Output Riser T PT3 Diff, computed by BMT WinMon.</v>
      </c>
    </row>
    <row r="1176" spans="1:8" x14ac:dyDescent="0.25">
      <c r="A1176" s="3" t="s">
        <v>6983</v>
      </c>
      <c r="B1176" s="3" t="s">
        <v>6989</v>
      </c>
      <c r="C1176" s="3" t="s">
        <v>6985</v>
      </c>
      <c r="D1176" s="3" t="s">
        <v>1138</v>
      </c>
      <c r="E1176" s="3">
        <v>1175</v>
      </c>
      <c r="F1176" s="3" t="s">
        <v>3559</v>
      </c>
      <c r="G1176" s="3" t="s">
        <v>3842</v>
      </c>
      <c r="H1176" s="3" t="str">
        <f t="shared" si="19"/>
        <v>Output Riser T PT4 Diff, computed by BMT WinMon.</v>
      </c>
    </row>
    <row r="1177" spans="1:8" x14ac:dyDescent="0.25">
      <c r="A1177" s="3" t="s">
        <v>6983</v>
      </c>
      <c r="B1177" s="3" t="s">
        <v>6989</v>
      </c>
      <c r="C1177" s="3" t="s">
        <v>6985</v>
      </c>
      <c r="D1177" s="3" t="s">
        <v>1138</v>
      </c>
      <c r="E1177" s="3">
        <v>1176</v>
      </c>
      <c r="F1177" s="3" t="s">
        <v>3560</v>
      </c>
      <c r="G1177" s="3" t="s">
        <v>3842</v>
      </c>
      <c r="H1177" s="3" t="str">
        <f t="shared" si="19"/>
        <v>Output Riser T PT5 Diff, computed by BMT WinMon.</v>
      </c>
    </row>
    <row r="1178" spans="1:8" x14ac:dyDescent="0.25">
      <c r="A1178" s="3" t="s">
        <v>6983</v>
      </c>
      <c r="B1178" s="3" t="s">
        <v>6989</v>
      </c>
      <c r="C1178" s="3" t="s">
        <v>6985</v>
      </c>
      <c r="D1178" s="3" t="s">
        <v>1138</v>
      </c>
      <c r="E1178" s="3">
        <v>1177</v>
      </c>
      <c r="F1178" s="3" t="s">
        <v>3561</v>
      </c>
      <c r="G1178" s="3" t="s">
        <v>3842</v>
      </c>
      <c r="H1178" s="3" t="str">
        <f t="shared" si="19"/>
        <v>Output Riser T PT6 Diff, computed by BMT WinMon.</v>
      </c>
    </row>
    <row r="1179" spans="1:8" x14ac:dyDescent="0.25">
      <c r="A1179" s="3" t="s">
        <v>6983</v>
      </c>
      <c r="B1179" s="3" t="s">
        <v>6989</v>
      </c>
      <c r="C1179" s="3" t="s">
        <v>6985</v>
      </c>
      <c r="D1179" s="3" t="s">
        <v>1138</v>
      </c>
      <c r="E1179" s="3">
        <v>1178</v>
      </c>
      <c r="F1179" s="3" t="s">
        <v>3562</v>
      </c>
      <c r="G1179" s="3" t="s">
        <v>3842</v>
      </c>
      <c r="H1179" s="3" t="str">
        <f t="shared" si="19"/>
        <v>Output Riser T PT7 Diff, computed by BMT WinMon.</v>
      </c>
    </row>
    <row r="1180" spans="1:8" x14ac:dyDescent="0.25">
      <c r="A1180" s="3" t="s">
        <v>6983</v>
      </c>
      <c r="B1180" s="3" t="s">
        <v>6989</v>
      </c>
      <c r="C1180" s="3" t="s">
        <v>6985</v>
      </c>
      <c r="D1180" s="3" t="s">
        <v>1138</v>
      </c>
      <c r="E1180" s="3">
        <v>1179</v>
      </c>
      <c r="F1180" s="3" t="s">
        <v>3563</v>
      </c>
      <c r="G1180" s="3" t="s">
        <v>3842</v>
      </c>
      <c r="H1180" s="3" t="str">
        <f t="shared" si="19"/>
        <v>Output Riser T PT8 Diff, computed by BMT WinMon.</v>
      </c>
    </row>
    <row r="1181" spans="1:8" x14ac:dyDescent="0.25">
      <c r="A1181" s="3" t="s">
        <v>6983</v>
      </c>
      <c r="B1181" s="3" t="s">
        <v>6989</v>
      </c>
      <c r="C1181" s="3" t="s">
        <v>6985</v>
      </c>
      <c r="D1181" s="3" t="s">
        <v>1138</v>
      </c>
      <c r="E1181" s="3">
        <v>1180</v>
      </c>
      <c r="F1181" s="3" t="s">
        <v>3564</v>
      </c>
      <c r="G1181" s="3" t="s">
        <v>1100</v>
      </c>
      <c r="H1181" s="3" t="str">
        <f t="shared" si="19"/>
        <v>Output Riser T Tension, computed by BMT WinMon.</v>
      </c>
    </row>
    <row r="1182" spans="1:8" x14ac:dyDescent="0.25">
      <c r="A1182" s="3" t="s">
        <v>6983</v>
      </c>
      <c r="B1182" s="3" t="s">
        <v>6989</v>
      </c>
      <c r="C1182" s="3" t="s">
        <v>6985</v>
      </c>
      <c r="D1182" s="3" t="s">
        <v>1138</v>
      </c>
      <c r="E1182" s="3">
        <v>1181</v>
      </c>
      <c r="F1182" s="3" t="s">
        <v>3565</v>
      </c>
      <c r="G1182" s="3" t="s">
        <v>1100</v>
      </c>
      <c r="H1182" s="3" t="str">
        <f t="shared" si="19"/>
        <v>Output Riser U Load PT1, computed by BMT WinMon.</v>
      </c>
    </row>
    <row r="1183" spans="1:8" x14ac:dyDescent="0.25">
      <c r="A1183" s="3" t="s">
        <v>6983</v>
      </c>
      <c r="B1183" s="3" t="s">
        <v>6989</v>
      </c>
      <c r="C1183" s="3" t="s">
        <v>6985</v>
      </c>
      <c r="D1183" s="3" t="s">
        <v>1138</v>
      </c>
      <c r="E1183" s="3">
        <v>1182</v>
      </c>
      <c r="F1183" s="3" t="s">
        <v>3566</v>
      </c>
      <c r="G1183" s="3" t="s">
        <v>1100</v>
      </c>
      <c r="H1183" s="3" t="str">
        <f t="shared" si="19"/>
        <v>Output Riser U Load PT2, computed by BMT WinMon.</v>
      </c>
    </row>
    <row r="1184" spans="1:8" x14ac:dyDescent="0.25">
      <c r="A1184" s="3" t="s">
        <v>6983</v>
      </c>
      <c r="B1184" s="3" t="s">
        <v>6989</v>
      </c>
      <c r="C1184" s="3" t="s">
        <v>6985</v>
      </c>
      <c r="D1184" s="3" t="s">
        <v>1138</v>
      </c>
      <c r="E1184" s="3">
        <v>1183</v>
      </c>
      <c r="F1184" s="3" t="s">
        <v>3567</v>
      </c>
      <c r="G1184" s="3" t="s">
        <v>1100</v>
      </c>
      <c r="H1184" s="3" t="str">
        <f t="shared" si="19"/>
        <v>Output Riser U Load PT3, computed by BMT WinMon.</v>
      </c>
    </row>
    <row r="1185" spans="1:8" x14ac:dyDescent="0.25">
      <c r="A1185" s="3" t="s">
        <v>6983</v>
      </c>
      <c r="B1185" s="3" t="s">
        <v>6989</v>
      </c>
      <c r="C1185" s="3" t="s">
        <v>6985</v>
      </c>
      <c r="D1185" s="3" t="s">
        <v>1138</v>
      </c>
      <c r="E1185" s="3">
        <v>1184</v>
      </c>
      <c r="F1185" s="3" t="s">
        <v>3568</v>
      </c>
      <c r="G1185" s="3" t="s">
        <v>1100</v>
      </c>
      <c r="H1185" s="3" t="str">
        <f t="shared" si="19"/>
        <v>Output Riser U Load PT4, computed by BMT WinMon.</v>
      </c>
    </row>
    <row r="1186" spans="1:8" x14ac:dyDescent="0.25">
      <c r="A1186" s="3" t="s">
        <v>6983</v>
      </c>
      <c r="B1186" s="3" t="s">
        <v>6989</v>
      </c>
      <c r="C1186" s="3" t="s">
        <v>6985</v>
      </c>
      <c r="D1186" s="3" t="s">
        <v>1138</v>
      </c>
      <c r="E1186" s="3">
        <v>1185</v>
      </c>
      <c r="F1186" s="3" t="s">
        <v>3569</v>
      </c>
      <c r="G1186" s="3" t="s">
        <v>3842</v>
      </c>
      <c r="H1186" s="3" t="str">
        <f t="shared" si="19"/>
        <v>Output Riser U PT1 Diff, computed by BMT WinMon.</v>
      </c>
    </row>
    <row r="1187" spans="1:8" x14ac:dyDescent="0.25">
      <c r="A1187" s="3" t="s">
        <v>6983</v>
      </c>
      <c r="B1187" s="3" t="s">
        <v>6989</v>
      </c>
      <c r="C1187" s="3" t="s">
        <v>6985</v>
      </c>
      <c r="D1187" s="3" t="s">
        <v>1138</v>
      </c>
      <c r="E1187" s="3">
        <v>1186</v>
      </c>
      <c r="F1187" s="3" t="s">
        <v>3570</v>
      </c>
      <c r="G1187" s="3" t="s">
        <v>3842</v>
      </c>
      <c r="H1187" s="3" t="str">
        <f t="shared" ref="H1187:H1217" si="20">_xlfn.CONCAT("Output ",F1187, ", computed by BMT WinMon.")</f>
        <v>Output Riser U PT2 Diff, computed by BMT WinMon.</v>
      </c>
    </row>
    <row r="1188" spans="1:8" x14ac:dyDescent="0.25">
      <c r="A1188" s="3" t="s">
        <v>6983</v>
      </c>
      <c r="B1188" s="3" t="s">
        <v>6989</v>
      </c>
      <c r="C1188" s="3" t="s">
        <v>6985</v>
      </c>
      <c r="D1188" s="3" t="s">
        <v>1138</v>
      </c>
      <c r="E1188" s="3">
        <v>1187</v>
      </c>
      <c r="F1188" s="3" t="s">
        <v>3571</v>
      </c>
      <c r="G1188" s="3" t="s">
        <v>3842</v>
      </c>
      <c r="H1188" s="3" t="str">
        <f t="shared" si="20"/>
        <v>Output Riser U PT3 Diff, computed by BMT WinMon.</v>
      </c>
    </row>
    <row r="1189" spans="1:8" x14ac:dyDescent="0.25">
      <c r="A1189" s="3" t="s">
        <v>6983</v>
      </c>
      <c r="B1189" s="3" t="s">
        <v>6989</v>
      </c>
      <c r="C1189" s="3" t="s">
        <v>6985</v>
      </c>
      <c r="D1189" s="3" t="s">
        <v>1138</v>
      </c>
      <c r="E1189" s="3">
        <v>1188</v>
      </c>
      <c r="F1189" s="3" t="s">
        <v>3572</v>
      </c>
      <c r="G1189" s="3" t="s">
        <v>3842</v>
      </c>
      <c r="H1189" s="3" t="str">
        <f t="shared" si="20"/>
        <v>Output Riser U PT4 Diff, computed by BMT WinMon.</v>
      </c>
    </row>
    <row r="1190" spans="1:8" x14ac:dyDescent="0.25">
      <c r="A1190" s="3" t="s">
        <v>6983</v>
      </c>
      <c r="B1190" s="3" t="s">
        <v>6989</v>
      </c>
      <c r="C1190" s="3" t="s">
        <v>6985</v>
      </c>
      <c r="D1190" s="3" t="s">
        <v>1138</v>
      </c>
      <c r="E1190" s="3">
        <v>1189</v>
      </c>
      <c r="F1190" s="3" t="s">
        <v>3573</v>
      </c>
      <c r="G1190" s="3" t="s">
        <v>1100</v>
      </c>
      <c r="H1190" s="3" t="str">
        <f t="shared" si="20"/>
        <v>Output Riser U Tension, computed by BMT WinMon.</v>
      </c>
    </row>
    <row r="1191" spans="1:8" x14ac:dyDescent="0.25">
      <c r="A1191" s="3" t="s">
        <v>6983</v>
      </c>
      <c r="B1191" s="3" t="s">
        <v>6989</v>
      </c>
      <c r="C1191" s="3" t="s">
        <v>6985</v>
      </c>
      <c r="D1191" s="3" t="s">
        <v>1138</v>
      </c>
      <c r="E1191" s="3">
        <v>1190</v>
      </c>
      <c r="F1191" s="3" t="s">
        <v>3574</v>
      </c>
      <c r="G1191" s="3" t="s">
        <v>1100</v>
      </c>
      <c r="H1191" s="3" t="str">
        <f t="shared" si="20"/>
        <v>Output Riser V Load PT1, computed by BMT WinMon.</v>
      </c>
    </row>
    <row r="1192" spans="1:8" x14ac:dyDescent="0.25">
      <c r="A1192" s="3" t="s">
        <v>6983</v>
      </c>
      <c r="B1192" s="3" t="s">
        <v>6989</v>
      </c>
      <c r="C1192" s="3" t="s">
        <v>6985</v>
      </c>
      <c r="D1192" s="3" t="s">
        <v>1138</v>
      </c>
      <c r="E1192" s="3">
        <v>1191</v>
      </c>
      <c r="F1192" s="3" t="s">
        <v>3575</v>
      </c>
      <c r="G1192" s="3" t="s">
        <v>1100</v>
      </c>
      <c r="H1192" s="3" t="str">
        <f t="shared" si="20"/>
        <v>Output Riser V Load PT2, computed by BMT WinMon.</v>
      </c>
    </row>
    <row r="1193" spans="1:8" x14ac:dyDescent="0.25">
      <c r="A1193" s="3" t="s">
        <v>6983</v>
      </c>
      <c r="B1193" s="3" t="s">
        <v>6989</v>
      </c>
      <c r="C1193" s="3" t="s">
        <v>6985</v>
      </c>
      <c r="D1193" s="3" t="s">
        <v>1138</v>
      </c>
      <c r="E1193" s="3">
        <v>1192</v>
      </c>
      <c r="F1193" s="3" t="s">
        <v>3576</v>
      </c>
      <c r="G1193" s="3" t="s">
        <v>1100</v>
      </c>
      <c r="H1193" s="3" t="str">
        <f t="shared" si="20"/>
        <v>Output Riser V Load PT3, computed by BMT WinMon.</v>
      </c>
    </row>
    <row r="1194" spans="1:8" x14ac:dyDescent="0.25">
      <c r="A1194" s="3" t="s">
        <v>6983</v>
      </c>
      <c r="B1194" s="3" t="s">
        <v>6989</v>
      </c>
      <c r="C1194" s="3" t="s">
        <v>6985</v>
      </c>
      <c r="D1194" s="3" t="s">
        <v>1138</v>
      </c>
      <c r="E1194" s="3">
        <v>1193</v>
      </c>
      <c r="F1194" s="3" t="s">
        <v>3577</v>
      </c>
      <c r="G1194" s="3" t="s">
        <v>1100</v>
      </c>
      <c r="H1194" s="3" t="str">
        <f t="shared" si="20"/>
        <v>Output Riser V Load PT4, computed by BMT WinMon.</v>
      </c>
    </row>
    <row r="1195" spans="1:8" x14ac:dyDescent="0.25">
      <c r="A1195" s="3" t="s">
        <v>6983</v>
      </c>
      <c r="B1195" s="3" t="s">
        <v>6989</v>
      </c>
      <c r="C1195" s="3" t="s">
        <v>6985</v>
      </c>
      <c r="D1195" s="3" t="s">
        <v>1138</v>
      </c>
      <c r="E1195" s="3">
        <v>1194</v>
      </c>
      <c r="F1195" s="3" t="s">
        <v>3578</v>
      </c>
      <c r="G1195" s="3" t="s">
        <v>3842</v>
      </c>
      <c r="H1195" s="3" t="str">
        <f t="shared" si="20"/>
        <v>Output Riser V PT1 Diff, computed by BMT WinMon.</v>
      </c>
    </row>
    <row r="1196" spans="1:8" x14ac:dyDescent="0.25">
      <c r="A1196" s="3" t="s">
        <v>6983</v>
      </c>
      <c r="B1196" s="3" t="s">
        <v>6989</v>
      </c>
      <c r="C1196" s="3" t="s">
        <v>6985</v>
      </c>
      <c r="D1196" s="3" t="s">
        <v>1138</v>
      </c>
      <c r="E1196" s="3">
        <v>1195</v>
      </c>
      <c r="F1196" s="3" t="s">
        <v>3579</v>
      </c>
      <c r="G1196" s="3" t="s">
        <v>3842</v>
      </c>
      <c r="H1196" s="3" t="str">
        <f t="shared" si="20"/>
        <v>Output Riser V PT2 Diff, computed by BMT WinMon.</v>
      </c>
    </row>
    <row r="1197" spans="1:8" x14ac:dyDescent="0.25">
      <c r="A1197" s="3" t="s">
        <v>6983</v>
      </c>
      <c r="B1197" s="3" t="s">
        <v>6989</v>
      </c>
      <c r="C1197" s="3" t="s">
        <v>6985</v>
      </c>
      <c r="D1197" s="3" t="s">
        <v>1138</v>
      </c>
      <c r="E1197" s="3">
        <v>1196</v>
      </c>
      <c r="F1197" s="3" t="s">
        <v>3580</v>
      </c>
      <c r="G1197" s="3" t="s">
        <v>3842</v>
      </c>
      <c r="H1197" s="3" t="str">
        <f t="shared" si="20"/>
        <v>Output Riser V PT3 Diff, computed by BMT WinMon.</v>
      </c>
    </row>
    <row r="1198" spans="1:8" x14ac:dyDescent="0.25">
      <c r="A1198" s="3" t="s">
        <v>6983</v>
      </c>
      <c r="B1198" s="3" t="s">
        <v>6989</v>
      </c>
      <c r="C1198" s="3" t="s">
        <v>6985</v>
      </c>
      <c r="D1198" s="3" t="s">
        <v>1138</v>
      </c>
      <c r="E1198" s="3">
        <v>1197</v>
      </c>
      <c r="F1198" s="3" t="s">
        <v>3581</v>
      </c>
      <c r="G1198" s="3" t="s">
        <v>3842</v>
      </c>
      <c r="H1198" s="3" t="str">
        <f t="shared" si="20"/>
        <v>Output Riser V PT4 Diff, computed by BMT WinMon.</v>
      </c>
    </row>
    <row r="1199" spans="1:8" x14ac:dyDescent="0.25">
      <c r="A1199" s="3" t="s">
        <v>6983</v>
      </c>
      <c r="B1199" s="3" t="s">
        <v>6989</v>
      </c>
      <c r="C1199" s="3" t="s">
        <v>6985</v>
      </c>
      <c r="D1199" s="3" t="s">
        <v>1138</v>
      </c>
      <c r="E1199" s="3">
        <v>1198</v>
      </c>
      <c r="F1199" s="3" t="s">
        <v>3582</v>
      </c>
      <c r="G1199" s="3" t="s">
        <v>1100</v>
      </c>
      <c r="H1199" s="3" t="str">
        <f t="shared" si="20"/>
        <v>Output Riser V Tension, computed by BMT WinMon.</v>
      </c>
    </row>
    <row r="1200" spans="1:8" x14ac:dyDescent="0.25">
      <c r="A1200" s="3" t="s">
        <v>6983</v>
      </c>
      <c r="B1200" s="3" t="s">
        <v>6989</v>
      </c>
      <c r="C1200" s="3" t="s">
        <v>6985</v>
      </c>
      <c r="D1200" s="3" t="s">
        <v>1138</v>
      </c>
      <c r="E1200" s="3">
        <v>1199</v>
      </c>
      <c r="F1200" s="3" t="s">
        <v>3583</v>
      </c>
      <c r="G1200" s="3" t="s">
        <v>1100</v>
      </c>
      <c r="H1200" s="3" t="str">
        <f t="shared" si="20"/>
        <v>Output Riser W Load PT1, computed by BMT WinMon.</v>
      </c>
    </row>
    <row r="1201" spans="1:8" x14ac:dyDescent="0.25">
      <c r="A1201" s="3" t="s">
        <v>6983</v>
      </c>
      <c r="B1201" s="3" t="s">
        <v>6989</v>
      </c>
      <c r="C1201" s="3" t="s">
        <v>6985</v>
      </c>
      <c r="D1201" s="3" t="s">
        <v>1138</v>
      </c>
      <c r="E1201" s="3">
        <v>1200</v>
      </c>
      <c r="F1201" s="3" t="s">
        <v>3584</v>
      </c>
      <c r="G1201" s="3" t="s">
        <v>1100</v>
      </c>
      <c r="H1201" s="3" t="str">
        <f t="shared" si="20"/>
        <v>Output Riser W Load PT2, computed by BMT WinMon.</v>
      </c>
    </row>
    <row r="1202" spans="1:8" x14ac:dyDescent="0.25">
      <c r="A1202" s="3" t="s">
        <v>6983</v>
      </c>
      <c r="B1202" s="3" t="s">
        <v>6989</v>
      </c>
      <c r="C1202" s="3" t="s">
        <v>6985</v>
      </c>
      <c r="D1202" s="3" t="s">
        <v>1138</v>
      </c>
      <c r="E1202" s="3">
        <v>1201</v>
      </c>
      <c r="F1202" s="3" t="s">
        <v>3585</v>
      </c>
      <c r="G1202" s="3" t="s">
        <v>1100</v>
      </c>
      <c r="H1202" s="3" t="str">
        <f t="shared" si="20"/>
        <v>Output Riser W Load PT3, computed by BMT WinMon.</v>
      </c>
    </row>
    <row r="1203" spans="1:8" x14ac:dyDescent="0.25">
      <c r="A1203" s="3" t="s">
        <v>6983</v>
      </c>
      <c r="B1203" s="3" t="s">
        <v>6989</v>
      </c>
      <c r="C1203" s="3" t="s">
        <v>6985</v>
      </c>
      <c r="D1203" s="3" t="s">
        <v>1138</v>
      </c>
      <c r="E1203" s="3">
        <v>1202</v>
      </c>
      <c r="F1203" s="3" t="s">
        <v>3586</v>
      </c>
      <c r="G1203" s="3" t="s">
        <v>1100</v>
      </c>
      <c r="H1203" s="3" t="str">
        <f t="shared" si="20"/>
        <v>Output Riser W Load PT4, computed by BMT WinMon.</v>
      </c>
    </row>
    <row r="1204" spans="1:8" x14ac:dyDescent="0.25">
      <c r="A1204" s="3" t="s">
        <v>6983</v>
      </c>
      <c r="B1204" s="3" t="s">
        <v>6989</v>
      </c>
      <c r="C1204" s="3" t="s">
        <v>6985</v>
      </c>
      <c r="D1204" s="3" t="s">
        <v>1138</v>
      </c>
      <c r="E1204" s="3">
        <v>1203</v>
      </c>
      <c r="F1204" s="3" t="s">
        <v>3587</v>
      </c>
      <c r="G1204" s="3" t="s">
        <v>3842</v>
      </c>
      <c r="H1204" s="3" t="str">
        <f t="shared" si="20"/>
        <v>Output Riser W PT1 Diff, computed by BMT WinMon.</v>
      </c>
    </row>
    <row r="1205" spans="1:8" x14ac:dyDescent="0.25">
      <c r="A1205" s="3" t="s">
        <v>6983</v>
      </c>
      <c r="B1205" s="3" t="s">
        <v>6989</v>
      </c>
      <c r="C1205" s="3" t="s">
        <v>6985</v>
      </c>
      <c r="D1205" s="3" t="s">
        <v>1138</v>
      </c>
      <c r="E1205" s="3">
        <v>1204</v>
      </c>
      <c r="F1205" s="3" t="s">
        <v>3588</v>
      </c>
      <c r="G1205" s="3" t="s">
        <v>3842</v>
      </c>
      <c r="H1205" s="3" t="str">
        <f t="shared" si="20"/>
        <v>Output Riser W PT2 Diff, computed by BMT WinMon.</v>
      </c>
    </row>
    <row r="1206" spans="1:8" x14ac:dyDescent="0.25">
      <c r="A1206" s="3" t="s">
        <v>6983</v>
      </c>
      <c r="B1206" s="3" t="s">
        <v>6989</v>
      </c>
      <c r="C1206" s="3" t="s">
        <v>6985</v>
      </c>
      <c r="D1206" s="3" t="s">
        <v>1138</v>
      </c>
      <c r="E1206" s="3">
        <v>1205</v>
      </c>
      <c r="F1206" s="3" t="s">
        <v>3589</v>
      </c>
      <c r="G1206" s="3" t="s">
        <v>3842</v>
      </c>
      <c r="H1206" s="3" t="str">
        <f t="shared" si="20"/>
        <v>Output Riser W PT3 Diff, computed by BMT WinMon.</v>
      </c>
    </row>
    <row r="1207" spans="1:8" x14ac:dyDescent="0.25">
      <c r="A1207" s="3" t="s">
        <v>6983</v>
      </c>
      <c r="B1207" s="3" t="s">
        <v>6989</v>
      </c>
      <c r="C1207" s="3" t="s">
        <v>6985</v>
      </c>
      <c r="D1207" s="3" t="s">
        <v>1138</v>
      </c>
      <c r="E1207" s="3">
        <v>1206</v>
      </c>
      <c r="F1207" s="3" t="s">
        <v>3590</v>
      </c>
      <c r="G1207" s="3" t="s">
        <v>3842</v>
      </c>
      <c r="H1207" s="3" t="str">
        <f t="shared" si="20"/>
        <v>Output Riser W PT4 Diff, computed by BMT WinMon.</v>
      </c>
    </row>
    <row r="1208" spans="1:8" x14ac:dyDescent="0.25">
      <c r="A1208" s="3" t="s">
        <v>6983</v>
      </c>
      <c r="B1208" s="3" t="s">
        <v>6989</v>
      </c>
      <c r="C1208" s="3" t="s">
        <v>6985</v>
      </c>
      <c r="D1208" s="3" t="s">
        <v>1138</v>
      </c>
      <c r="E1208" s="3">
        <v>1207</v>
      </c>
      <c r="F1208" s="3" t="s">
        <v>3591</v>
      </c>
      <c r="G1208" s="3" t="s">
        <v>1100</v>
      </c>
      <c r="H1208" s="3" t="str">
        <f t="shared" si="20"/>
        <v>Output Riser W Tension, computed by BMT WinMon.</v>
      </c>
    </row>
    <row r="1209" spans="1:8" x14ac:dyDescent="0.25">
      <c r="A1209" s="3" t="s">
        <v>6983</v>
      </c>
      <c r="B1209" s="3" t="s">
        <v>6989</v>
      </c>
      <c r="C1209" s="3" t="s">
        <v>6985</v>
      </c>
      <c r="D1209" s="3" t="s">
        <v>1138</v>
      </c>
      <c r="E1209" s="3">
        <v>1208</v>
      </c>
      <c r="F1209" s="3" t="s">
        <v>3592</v>
      </c>
      <c r="G1209" s="3" t="s">
        <v>1100</v>
      </c>
      <c r="H1209" s="3" t="str">
        <f t="shared" si="20"/>
        <v>Output Riser X Load PT1, computed by BMT WinMon.</v>
      </c>
    </row>
    <row r="1210" spans="1:8" x14ac:dyDescent="0.25">
      <c r="A1210" s="3" t="s">
        <v>6983</v>
      </c>
      <c r="B1210" s="3" t="s">
        <v>6989</v>
      </c>
      <c r="C1210" s="3" t="s">
        <v>6985</v>
      </c>
      <c r="D1210" s="3" t="s">
        <v>1138</v>
      </c>
      <c r="E1210" s="3">
        <v>1209</v>
      </c>
      <c r="F1210" s="3" t="s">
        <v>3593</v>
      </c>
      <c r="G1210" s="3" t="s">
        <v>1100</v>
      </c>
      <c r="H1210" s="3" t="str">
        <f t="shared" si="20"/>
        <v>Output Riser X Load PT2, computed by BMT WinMon.</v>
      </c>
    </row>
    <row r="1211" spans="1:8" x14ac:dyDescent="0.25">
      <c r="A1211" s="3" t="s">
        <v>6983</v>
      </c>
      <c r="B1211" s="3" t="s">
        <v>6989</v>
      </c>
      <c r="C1211" s="3" t="s">
        <v>6985</v>
      </c>
      <c r="D1211" s="3" t="s">
        <v>1138</v>
      </c>
      <c r="E1211" s="3">
        <v>1210</v>
      </c>
      <c r="F1211" s="3" t="s">
        <v>3594</v>
      </c>
      <c r="G1211" s="3" t="s">
        <v>1100</v>
      </c>
      <c r="H1211" s="3" t="str">
        <f t="shared" si="20"/>
        <v>Output Riser X Load PT3, computed by BMT WinMon.</v>
      </c>
    </row>
    <row r="1212" spans="1:8" x14ac:dyDescent="0.25">
      <c r="A1212" s="3" t="s">
        <v>6983</v>
      </c>
      <c r="B1212" s="3" t="s">
        <v>6989</v>
      </c>
      <c r="C1212" s="3" t="s">
        <v>6985</v>
      </c>
      <c r="D1212" s="3" t="s">
        <v>1138</v>
      </c>
      <c r="E1212" s="3">
        <v>1211</v>
      </c>
      <c r="F1212" s="3" t="s">
        <v>3595</v>
      </c>
      <c r="G1212" s="3" t="s">
        <v>1100</v>
      </c>
      <c r="H1212" s="3" t="str">
        <f t="shared" si="20"/>
        <v>Output Riser X Load PT4, computed by BMT WinMon.</v>
      </c>
    </row>
    <row r="1213" spans="1:8" x14ac:dyDescent="0.25">
      <c r="A1213" s="3" t="s">
        <v>6983</v>
      </c>
      <c r="B1213" s="3" t="s">
        <v>6989</v>
      </c>
      <c r="C1213" s="3" t="s">
        <v>6985</v>
      </c>
      <c r="D1213" s="3" t="s">
        <v>1138</v>
      </c>
      <c r="E1213" s="3">
        <v>1212</v>
      </c>
      <c r="F1213" s="3" t="s">
        <v>3596</v>
      </c>
      <c r="G1213" s="3" t="s">
        <v>3842</v>
      </c>
      <c r="H1213" s="3" t="str">
        <f t="shared" si="20"/>
        <v>Output Riser X PT1 Diff, computed by BMT WinMon.</v>
      </c>
    </row>
    <row r="1214" spans="1:8" x14ac:dyDescent="0.25">
      <c r="A1214" s="3" t="s">
        <v>6983</v>
      </c>
      <c r="B1214" s="3" t="s">
        <v>6989</v>
      </c>
      <c r="C1214" s="3" t="s">
        <v>6985</v>
      </c>
      <c r="D1214" s="3" t="s">
        <v>1138</v>
      </c>
      <c r="E1214" s="3">
        <v>1213</v>
      </c>
      <c r="F1214" s="3" t="s">
        <v>3597</v>
      </c>
      <c r="G1214" s="3" t="s">
        <v>3842</v>
      </c>
      <c r="H1214" s="3" t="str">
        <f t="shared" si="20"/>
        <v>Output Riser X PT2 Diff, computed by BMT WinMon.</v>
      </c>
    </row>
    <row r="1215" spans="1:8" x14ac:dyDescent="0.25">
      <c r="A1215" s="3" t="s">
        <v>6983</v>
      </c>
      <c r="B1215" s="3" t="s">
        <v>6989</v>
      </c>
      <c r="C1215" s="3" t="s">
        <v>6985</v>
      </c>
      <c r="D1215" s="3" t="s">
        <v>1138</v>
      </c>
      <c r="E1215" s="3">
        <v>1214</v>
      </c>
      <c r="F1215" s="3" t="s">
        <v>3598</v>
      </c>
      <c r="G1215" s="3" t="s">
        <v>3842</v>
      </c>
      <c r="H1215" s="3" t="str">
        <f t="shared" si="20"/>
        <v>Output Riser X PT3 Diff, computed by BMT WinMon.</v>
      </c>
    </row>
    <row r="1216" spans="1:8" x14ac:dyDescent="0.25">
      <c r="A1216" s="3" t="s">
        <v>6983</v>
      </c>
      <c r="B1216" s="3" t="s">
        <v>6989</v>
      </c>
      <c r="C1216" s="3" t="s">
        <v>6985</v>
      </c>
      <c r="D1216" s="3" t="s">
        <v>1138</v>
      </c>
      <c r="E1216" s="3">
        <v>1215</v>
      </c>
      <c r="F1216" s="3" t="s">
        <v>3599</v>
      </c>
      <c r="G1216" s="3" t="s">
        <v>3842</v>
      </c>
      <c r="H1216" s="3" t="str">
        <f t="shared" si="20"/>
        <v>Output Riser X PT4 Diff, computed by BMT WinMon.</v>
      </c>
    </row>
    <row r="1217" spans="1:8" x14ac:dyDescent="0.25">
      <c r="A1217" s="3" t="s">
        <v>6983</v>
      </c>
      <c r="B1217" s="3" t="s">
        <v>6989</v>
      </c>
      <c r="C1217" s="3" t="s">
        <v>6985</v>
      </c>
      <c r="D1217" s="3" t="s">
        <v>1138</v>
      </c>
      <c r="E1217" s="3">
        <v>1216</v>
      </c>
      <c r="F1217" s="3" t="s">
        <v>3600</v>
      </c>
      <c r="G1217" s="3" t="s">
        <v>1100</v>
      </c>
      <c r="H1217" s="3" t="str">
        <f t="shared" si="20"/>
        <v>Output Riser X Tension, computed by BMT WinMon.</v>
      </c>
    </row>
    <row r="1218" spans="1:8" x14ac:dyDescent="0.25">
      <c r="A1218" s="3" t="s">
        <v>6983</v>
      </c>
      <c r="B1218" s="3" t="s">
        <v>6989</v>
      </c>
      <c r="C1218" s="3" t="s">
        <v>6985</v>
      </c>
      <c r="D1218" s="3" t="s">
        <v>1138</v>
      </c>
      <c r="E1218" s="3">
        <v>1217</v>
      </c>
      <c r="F1218" s="3" t="s">
        <v>3601</v>
      </c>
      <c r="G1218" s="3" t="s">
        <v>20</v>
      </c>
    </row>
    <row r="1219" spans="1:8" x14ac:dyDescent="0.25">
      <c r="A1219" s="3" t="s">
        <v>6983</v>
      </c>
      <c r="B1219" s="3" t="s">
        <v>6989</v>
      </c>
      <c r="C1219" s="3" t="s">
        <v>6985</v>
      </c>
      <c r="D1219" s="3" t="s">
        <v>1138</v>
      </c>
      <c r="E1219" s="3">
        <v>1218</v>
      </c>
      <c r="F1219" s="3" t="s">
        <v>740</v>
      </c>
      <c r="G1219" s="3" t="s">
        <v>1093</v>
      </c>
      <c r="H1219" s="4" t="s">
        <v>6817</v>
      </c>
    </row>
    <row r="1220" spans="1:8" x14ac:dyDescent="0.25">
      <c r="A1220" s="3" t="s">
        <v>6983</v>
      </c>
      <c r="B1220" s="3" t="s">
        <v>6989</v>
      </c>
      <c r="C1220" s="3" t="s">
        <v>6985</v>
      </c>
      <c r="D1220" s="3" t="s">
        <v>1138</v>
      </c>
      <c r="E1220" s="3">
        <v>1219</v>
      </c>
      <c r="F1220" s="3" t="s">
        <v>741</v>
      </c>
      <c r="G1220" s="3" t="s">
        <v>1093</v>
      </c>
      <c r="H1220" s="4" t="s">
        <v>6818</v>
      </c>
    </row>
    <row r="1221" spans="1:8" x14ac:dyDescent="0.25">
      <c r="A1221" s="3" t="s">
        <v>6983</v>
      </c>
      <c r="B1221" s="3" t="s">
        <v>6989</v>
      </c>
      <c r="C1221" s="3" t="s">
        <v>6985</v>
      </c>
      <c r="D1221" s="3" t="s">
        <v>1138</v>
      </c>
      <c r="E1221" s="3">
        <v>1220</v>
      </c>
      <c r="F1221" s="3" t="s">
        <v>742</v>
      </c>
      <c r="G1221" s="3" t="s">
        <v>17</v>
      </c>
      <c r="H1221" s="4" t="s">
        <v>6819</v>
      </c>
    </row>
    <row r="1222" spans="1:8" x14ac:dyDescent="0.25">
      <c r="A1222" s="3" t="s">
        <v>6983</v>
      </c>
      <c r="B1222" s="3" t="s">
        <v>6989</v>
      </c>
      <c r="C1222" s="3" t="s">
        <v>6985</v>
      </c>
      <c r="D1222" s="3" t="s">
        <v>1138</v>
      </c>
      <c r="E1222" s="3">
        <v>1221</v>
      </c>
      <c r="F1222" s="3" t="s">
        <v>743</v>
      </c>
      <c r="G1222" s="3" t="s">
        <v>1093</v>
      </c>
      <c r="H1222" s="4" t="s">
        <v>1215</v>
      </c>
    </row>
    <row r="1223" spans="1:8" x14ac:dyDescent="0.25">
      <c r="A1223" s="3" t="s">
        <v>6983</v>
      </c>
      <c r="B1223" s="3" t="s">
        <v>6989</v>
      </c>
      <c r="C1223" s="3" t="s">
        <v>6985</v>
      </c>
      <c r="D1223" s="3" t="s">
        <v>1138</v>
      </c>
      <c r="E1223" s="3">
        <v>1222</v>
      </c>
      <c r="F1223" s="3" t="s">
        <v>744</v>
      </c>
      <c r="G1223" s="3" t="s">
        <v>1093</v>
      </c>
      <c r="H1223" s="4" t="s">
        <v>6817</v>
      </c>
    </row>
    <row r="1224" spans="1:8" x14ac:dyDescent="0.25">
      <c r="A1224" s="3" t="s">
        <v>6983</v>
      </c>
      <c r="B1224" s="3" t="s">
        <v>6989</v>
      </c>
      <c r="C1224" s="3" t="s">
        <v>6985</v>
      </c>
      <c r="D1224" s="3" t="s">
        <v>1138</v>
      </c>
      <c r="E1224" s="3">
        <v>1223</v>
      </c>
      <c r="F1224" s="3" t="s">
        <v>745</v>
      </c>
      <c r="G1224" s="3" t="s">
        <v>1093</v>
      </c>
      <c r="H1224" s="4" t="s">
        <v>6823</v>
      </c>
    </row>
    <row r="1225" spans="1:8" x14ac:dyDescent="0.25">
      <c r="A1225" s="3" t="s">
        <v>6983</v>
      </c>
      <c r="B1225" s="3" t="s">
        <v>6989</v>
      </c>
      <c r="C1225" s="3" t="s">
        <v>6985</v>
      </c>
      <c r="D1225" s="3" t="s">
        <v>1138</v>
      </c>
      <c r="E1225" s="3">
        <v>1224</v>
      </c>
      <c r="F1225" s="3" t="s">
        <v>746</v>
      </c>
      <c r="G1225" s="3" t="s">
        <v>17</v>
      </c>
      <c r="H1225" s="4" t="s">
        <v>6819</v>
      </c>
    </row>
    <row r="1226" spans="1:8" x14ac:dyDescent="0.25">
      <c r="A1226" s="3" t="s">
        <v>6983</v>
      </c>
      <c r="B1226" s="3" t="s">
        <v>6989</v>
      </c>
      <c r="C1226" s="3" t="s">
        <v>6985</v>
      </c>
      <c r="D1226" s="3" t="s">
        <v>1138</v>
      </c>
      <c r="E1226" s="3">
        <v>1225</v>
      </c>
      <c r="F1226" s="3" t="s">
        <v>747</v>
      </c>
      <c r="G1226" s="3" t="s">
        <v>1093</v>
      </c>
      <c r="H1226" s="4" t="s">
        <v>1216</v>
      </c>
    </row>
    <row r="1227" spans="1:8" x14ac:dyDescent="0.25">
      <c r="A1227" s="3" t="s">
        <v>6983</v>
      </c>
      <c r="B1227" s="3" t="s">
        <v>6989</v>
      </c>
      <c r="C1227" s="3" t="s">
        <v>6985</v>
      </c>
      <c r="D1227" s="3" t="s">
        <v>1138</v>
      </c>
      <c r="E1227" s="3">
        <v>1226</v>
      </c>
      <c r="F1227" s="3" t="s">
        <v>748</v>
      </c>
      <c r="G1227" s="3" t="s">
        <v>1093</v>
      </c>
      <c r="H1227" s="4" t="s">
        <v>6817</v>
      </c>
    </row>
    <row r="1228" spans="1:8" x14ac:dyDescent="0.25">
      <c r="A1228" s="3" t="s">
        <v>6983</v>
      </c>
      <c r="B1228" s="3" t="s">
        <v>6989</v>
      </c>
      <c r="C1228" s="3" t="s">
        <v>6985</v>
      </c>
      <c r="D1228" s="3" t="s">
        <v>1138</v>
      </c>
      <c r="E1228" s="3">
        <v>1227</v>
      </c>
      <c r="F1228" s="3" t="s">
        <v>749</v>
      </c>
      <c r="G1228" s="3" t="s">
        <v>1093</v>
      </c>
      <c r="H1228" s="4" t="s">
        <v>6824</v>
      </c>
    </row>
    <row r="1229" spans="1:8" x14ac:dyDescent="0.25">
      <c r="A1229" s="3" t="s">
        <v>6983</v>
      </c>
      <c r="B1229" s="3" t="s">
        <v>6989</v>
      </c>
      <c r="C1229" s="3" t="s">
        <v>6985</v>
      </c>
      <c r="D1229" s="3" t="s">
        <v>1138</v>
      </c>
      <c r="E1229" s="3">
        <v>1228</v>
      </c>
      <c r="F1229" s="3" t="s">
        <v>750</v>
      </c>
      <c r="G1229" s="3" t="s">
        <v>17</v>
      </c>
      <c r="H1229" s="4" t="s">
        <v>6819</v>
      </c>
    </row>
    <row r="1230" spans="1:8" x14ac:dyDescent="0.25">
      <c r="A1230" s="3" t="s">
        <v>6983</v>
      </c>
      <c r="B1230" s="3" t="s">
        <v>6989</v>
      </c>
      <c r="C1230" s="3" t="s">
        <v>6985</v>
      </c>
      <c r="D1230" s="3" t="s">
        <v>1138</v>
      </c>
      <c r="E1230" s="3">
        <v>1229</v>
      </c>
      <c r="F1230" s="3" t="s">
        <v>751</v>
      </c>
      <c r="G1230" s="3" t="s">
        <v>1093</v>
      </c>
      <c r="H1230" s="4" t="s">
        <v>1217</v>
      </c>
    </row>
    <row r="1231" spans="1:8" x14ac:dyDescent="0.25">
      <c r="A1231" s="3" t="s">
        <v>6983</v>
      </c>
      <c r="B1231" s="3" t="s">
        <v>6989</v>
      </c>
      <c r="C1231" s="3" t="s">
        <v>6985</v>
      </c>
      <c r="D1231" s="3" t="s">
        <v>1138</v>
      </c>
      <c r="E1231" s="3">
        <v>1230</v>
      </c>
      <c r="F1231" s="3" t="s">
        <v>752</v>
      </c>
      <c r="G1231" s="3" t="s">
        <v>1093</v>
      </c>
      <c r="H1231" s="4" t="s">
        <v>6817</v>
      </c>
    </row>
    <row r="1232" spans="1:8" x14ac:dyDescent="0.25">
      <c r="A1232" s="3" t="s">
        <v>6983</v>
      </c>
      <c r="B1232" s="3" t="s">
        <v>6989</v>
      </c>
      <c r="C1232" s="3" t="s">
        <v>6985</v>
      </c>
      <c r="D1232" s="3" t="s">
        <v>1138</v>
      </c>
      <c r="E1232" s="3">
        <v>1231</v>
      </c>
      <c r="F1232" s="3" t="s">
        <v>753</v>
      </c>
      <c r="G1232" s="3" t="s">
        <v>1093</v>
      </c>
      <c r="H1232" s="4" t="s">
        <v>6825</v>
      </c>
    </row>
    <row r="1233" spans="1:8" x14ac:dyDescent="0.25">
      <c r="A1233" s="3" t="s">
        <v>6983</v>
      </c>
      <c r="B1233" s="3" t="s">
        <v>6989</v>
      </c>
      <c r="C1233" s="3" t="s">
        <v>6985</v>
      </c>
      <c r="D1233" s="3" t="s">
        <v>1138</v>
      </c>
      <c r="E1233" s="3">
        <v>1232</v>
      </c>
      <c r="F1233" s="3" t="s">
        <v>754</v>
      </c>
      <c r="G1233" s="3" t="s">
        <v>17</v>
      </c>
      <c r="H1233" s="4" t="s">
        <v>6819</v>
      </c>
    </row>
    <row r="1234" spans="1:8" x14ac:dyDescent="0.25">
      <c r="A1234" s="3" t="s">
        <v>6983</v>
      </c>
      <c r="B1234" s="3" t="s">
        <v>6989</v>
      </c>
      <c r="C1234" s="3" t="s">
        <v>6985</v>
      </c>
      <c r="D1234" s="3" t="s">
        <v>1138</v>
      </c>
      <c r="E1234" s="3">
        <v>1233</v>
      </c>
      <c r="F1234" s="3" t="s">
        <v>755</v>
      </c>
      <c r="G1234" s="3" t="s">
        <v>1093</v>
      </c>
      <c r="H1234" s="4" t="s">
        <v>1218</v>
      </c>
    </row>
    <row r="1235" spans="1:8" x14ac:dyDescent="0.25">
      <c r="A1235" s="3" t="s">
        <v>6983</v>
      </c>
      <c r="B1235" s="3" t="s">
        <v>6989</v>
      </c>
      <c r="C1235" s="3" t="s">
        <v>6985</v>
      </c>
      <c r="D1235" s="3" t="s">
        <v>1138</v>
      </c>
      <c r="E1235" s="3">
        <v>1234</v>
      </c>
      <c r="F1235" s="3" t="s">
        <v>756</v>
      </c>
      <c r="G1235" s="3" t="s">
        <v>1093</v>
      </c>
      <c r="H1235" s="4" t="s">
        <v>1219</v>
      </c>
    </row>
    <row r="1236" spans="1:8" x14ac:dyDescent="0.25">
      <c r="A1236" s="3" t="s">
        <v>6983</v>
      </c>
      <c r="B1236" s="3" t="s">
        <v>6989</v>
      </c>
      <c r="C1236" s="3" t="s">
        <v>6985</v>
      </c>
      <c r="D1236" s="3" t="s">
        <v>1138</v>
      </c>
      <c r="E1236" s="3">
        <v>1235</v>
      </c>
      <c r="F1236" s="3" t="s">
        <v>757</v>
      </c>
      <c r="G1236" s="3" t="s">
        <v>17</v>
      </c>
      <c r="H1236" s="4" t="s">
        <v>1220</v>
      </c>
    </row>
    <row r="1237" spans="1:8" x14ac:dyDescent="0.25">
      <c r="A1237" s="3" t="s">
        <v>6983</v>
      </c>
      <c r="B1237" s="3" t="s">
        <v>6989</v>
      </c>
      <c r="C1237" s="3" t="s">
        <v>6985</v>
      </c>
      <c r="D1237" s="3" t="s">
        <v>1138</v>
      </c>
      <c r="E1237" s="3">
        <v>1236</v>
      </c>
      <c r="F1237" s="3" t="s">
        <v>3602</v>
      </c>
      <c r="G1237" s="3" t="s">
        <v>1093</v>
      </c>
      <c r="H1237" s="4" t="s">
        <v>1214</v>
      </c>
    </row>
    <row r="1238" spans="1:8" x14ac:dyDescent="0.25">
      <c r="A1238" s="3" t="s">
        <v>6983</v>
      </c>
      <c r="B1238" s="3" t="s">
        <v>6989</v>
      </c>
      <c r="C1238" s="3" t="s">
        <v>6985</v>
      </c>
      <c r="D1238" s="3" t="s">
        <v>1138</v>
      </c>
      <c r="E1238" s="3">
        <v>1237</v>
      </c>
      <c r="F1238" s="3" t="s">
        <v>759</v>
      </c>
      <c r="G1238" s="3" t="s">
        <v>4</v>
      </c>
      <c r="H1238" s="4" t="s">
        <v>1404</v>
      </c>
    </row>
    <row r="1239" spans="1:8" x14ac:dyDescent="0.25">
      <c r="A1239" s="3" t="s">
        <v>6983</v>
      </c>
      <c r="B1239" s="3" t="s">
        <v>6989</v>
      </c>
      <c r="C1239" s="3" t="s">
        <v>6985</v>
      </c>
      <c r="D1239" s="3" t="s">
        <v>1138</v>
      </c>
      <c r="E1239" s="3">
        <v>1238</v>
      </c>
      <c r="F1239" s="3" t="s">
        <v>3603</v>
      </c>
      <c r="G1239" s="3" t="s">
        <v>4</v>
      </c>
      <c r="H1239" s="4" t="s">
        <v>1405</v>
      </c>
    </row>
    <row r="1240" spans="1:8" x14ac:dyDescent="0.25">
      <c r="A1240" s="3" t="s">
        <v>6983</v>
      </c>
      <c r="B1240" s="3" t="s">
        <v>6989</v>
      </c>
      <c r="C1240" s="3" t="s">
        <v>6985</v>
      </c>
      <c r="D1240" s="3" t="s">
        <v>1138</v>
      </c>
      <c r="E1240" s="3">
        <v>1239</v>
      </c>
      <c r="F1240" s="3" t="s">
        <v>3604</v>
      </c>
      <c r="G1240" s="3" t="s">
        <v>1093</v>
      </c>
      <c r="H1240" s="4" t="s">
        <v>6657</v>
      </c>
    </row>
    <row r="1241" spans="1:8" x14ac:dyDescent="0.25">
      <c r="A1241" s="3" t="s">
        <v>6983</v>
      </c>
      <c r="B1241" s="3" t="s">
        <v>6989</v>
      </c>
      <c r="C1241" s="3" t="s">
        <v>6985</v>
      </c>
      <c r="D1241" s="3" t="s">
        <v>1138</v>
      </c>
      <c r="E1241" s="3">
        <v>1240</v>
      </c>
      <c r="F1241" s="3" t="s">
        <v>3605</v>
      </c>
      <c r="G1241" s="3" t="s">
        <v>4</v>
      </c>
      <c r="H1241" s="4" t="s">
        <v>6655</v>
      </c>
    </row>
    <row r="1242" spans="1:8" x14ac:dyDescent="0.25">
      <c r="A1242" s="3" t="s">
        <v>6983</v>
      </c>
      <c r="B1242" s="3" t="s">
        <v>6989</v>
      </c>
      <c r="C1242" s="3" t="s">
        <v>6985</v>
      </c>
      <c r="D1242" s="3" t="s">
        <v>1138</v>
      </c>
      <c r="E1242" s="3">
        <v>1241</v>
      </c>
      <c r="F1242" s="3" t="s">
        <v>3606</v>
      </c>
      <c r="G1242" s="3" t="s">
        <v>4</v>
      </c>
      <c r="H1242" s="4" t="s">
        <v>6656</v>
      </c>
    </row>
    <row r="1243" spans="1:8" x14ac:dyDescent="0.25">
      <c r="A1243" s="3" t="s">
        <v>6983</v>
      </c>
      <c r="B1243" s="3" t="s">
        <v>6989</v>
      </c>
      <c r="C1243" s="3" t="s">
        <v>6985</v>
      </c>
      <c r="D1243" s="3" t="s">
        <v>1138</v>
      </c>
      <c r="E1243" s="3">
        <v>1242</v>
      </c>
      <c r="F1243" s="3" t="s">
        <v>3607</v>
      </c>
      <c r="G1243" s="3" t="s">
        <v>1093</v>
      </c>
      <c r="H1243" s="4" t="s">
        <v>6675</v>
      </c>
    </row>
    <row r="1244" spans="1:8" x14ac:dyDescent="0.25">
      <c r="A1244" s="3" t="s">
        <v>6983</v>
      </c>
      <c r="B1244" s="3" t="s">
        <v>6989</v>
      </c>
      <c r="C1244" s="3" t="s">
        <v>6985</v>
      </c>
      <c r="D1244" s="3" t="s">
        <v>1138</v>
      </c>
      <c r="E1244" s="3">
        <v>1243</v>
      </c>
      <c r="F1244" s="4" t="s">
        <v>3608</v>
      </c>
      <c r="G1244" s="4" t="s">
        <v>1093</v>
      </c>
      <c r="H1244" s="4" t="s">
        <v>7079</v>
      </c>
    </row>
    <row r="1245" spans="1:8" x14ac:dyDescent="0.25">
      <c r="A1245" s="3" t="s">
        <v>6983</v>
      </c>
      <c r="B1245" s="3" t="s">
        <v>6989</v>
      </c>
      <c r="C1245" s="3" t="s">
        <v>6985</v>
      </c>
      <c r="D1245" s="3" t="s">
        <v>1138</v>
      </c>
      <c r="E1245" s="3">
        <v>1244</v>
      </c>
      <c r="F1245" s="4" t="s">
        <v>3609</v>
      </c>
      <c r="G1245" s="4" t="s">
        <v>1093</v>
      </c>
      <c r="H1245" s="4" t="s">
        <v>7078</v>
      </c>
    </row>
    <row r="1246" spans="1:8" x14ac:dyDescent="0.25">
      <c r="A1246" s="3" t="s">
        <v>6983</v>
      </c>
      <c r="B1246" s="3" t="s">
        <v>6989</v>
      </c>
      <c r="C1246" s="3" t="s">
        <v>6985</v>
      </c>
      <c r="D1246" s="3" t="s">
        <v>1138</v>
      </c>
      <c r="E1246" s="3">
        <v>1245</v>
      </c>
      <c r="F1246" s="4" t="s">
        <v>3610</v>
      </c>
      <c r="G1246" s="4" t="s">
        <v>1093</v>
      </c>
      <c r="H1246" s="4" t="s">
        <v>7080</v>
      </c>
    </row>
    <row r="1247" spans="1:8" x14ac:dyDescent="0.25">
      <c r="A1247" s="3" t="s">
        <v>6983</v>
      </c>
      <c r="B1247" s="3" t="s">
        <v>6989</v>
      </c>
      <c r="C1247" s="3" t="s">
        <v>6985</v>
      </c>
      <c r="D1247" s="3" t="s">
        <v>1138</v>
      </c>
      <c r="E1247" s="3">
        <v>1246</v>
      </c>
      <c r="F1247" s="4" t="s">
        <v>3611</v>
      </c>
      <c r="G1247" s="4" t="s">
        <v>1093</v>
      </c>
      <c r="H1247" s="4" t="s">
        <v>7081</v>
      </c>
    </row>
    <row r="1248" spans="1:8" x14ac:dyDescent="0.25">
      <c r="A1248" s="3" t="s">
        <v>6983</v>
      </c>
      <c r="B1248" s="3" t="s">
        <v>6989</v>
      </c>
      <c r="C1248" s="3" t="s">
        <v>6985</v>
      </c>
      <c r="D1248" s="3" t="s">
        <v>1138</v>
      </c>
      <c r="E1248" s="3">
        <v>1247</v>
      </c>
      <c r="F1248" s="3" t="s">
        <v>3612</v>
      </c>
      <c r="G1248" s="3" t="s">
        <v>1100</v>
      </c>
      <c r="H1248" s="3" t="str">
        <f>_xlfn.CONCAT("Data QA applied on ",_xlfn.TEXTAFTER(F1248, "MAS "), ", computed by BMT WinMon.")</f>
        <v>Data QA applied on Tendon Tension 1, computed by BMT WinMon.</v>
      </c>
    </row>
    <row r="1249" spans="1:8" x14ac:dyDescent="0.25">
      <c r="A1249" s="3" t="s">
        <v>6983</v>
      </c>
      <c r="B1249" s="3" t="s">
        <v>6989</v>
      </c>
      <c r="C1249" s="3" t="s">
        <v>6985</v>
      </c>
      <c r="D1249" s="3" t="s">
        <v>1138</v>
      </c>
      <c r="E1249" s="3">
        <v>1248</v>
      </c>
      <c r="F1249" s="3" t="s">
        <v>3613</v>
      </c>
      <c r="G1249" s="3" t="s">
        <v>1100</v>
      </c>
      <c r="H1249" s="3" t="str">
        <f t="shared" ref="H1249:H1278" si="21">_xlfn.CONCAT("Data QA applied on ",_xlfn.TEXTAFTER(F1249, "MAS "), ", computed by BMT WinMon.")</f>
        <v>Data QA applied on Tendon Tension 4, computed by BMT WinMon.</v>
      </c>
    </row>
    <row r="1250" spans="1:8" x14ac:dyDescent="0.25">
      <c r="A1250" s="3" t="s">
        <v>6983</v>
      </c>
      <c r="B1250" s="3" t="s">
        <v>6989</v>
      </c>
      <c r="C1250" s="3" t="s">
        <v>6985</v>
      </c>
      <c r="D1250" s="3" t="s">
        <v>1138</v>
      </c>
      <c r="E1250" s="3">
        <v>1249</v>
      </c>
      <c r="F1250" s="3" t="s">
        <v>3614</v>
      </c>
      <c r="G1250" s="3" t="s">
        <v>1100</v>
      </c>
      <c r="H1250" s="3" t="str">
        <f t="shared" si="21"/>
        <v>Data QA applied on Tendon Tension 5, computed by BMT WinMon.</v>
      </c>
    </row>
    <row r="1251" spans="1:8" x14ac:dyDescent="0.25">
      <c r="A1251" s="3" t="s">
        <v>6983</v>
      </c>
      <c r="B1251" s="3" t="s">
        <v>6989</v>
      </c>
      <c r="C1251" s="3" t="s">
        <v>6985</v>
      </c>
      <c r="D1251" s="3" t="s">
        <v>1138</v>
      </c>
      <c r="E1251" s="3">
        <v>1250</v>
      </c>
      <c r="F1251" s="3" t="s">
        <v>3615</v>
      </c>
      <c r="G1251" s="3" t="s">
        <v>1100</v>
      </c>
      <c r="H1251" s="3" t="str">
        <f t="shared" si="21"/>
        <v>Data QA applied on Tendon Tension 8, computed by BMT WinMon.</v>
      </c>
    </row>
    <row r="1252" spans="1:8" x14ac:dyDescent="0.25">
      <c r="A1252" s="3" t="s">
        <v>6983</v>
      </c>
      <c r="B1252" s="3" t="s">
        <v>6989</v>
      </c>
      <c r="C1252" s="3" t="s">
        <v>6985</v>
      </c>
      <c r="D1252" s="3" t="s">
        <v>1138</v>
      </c>
      <c r="E1252" s="3">
        <v>1251</v>
      </c>
      <c r="F1252" s="3" t="s">
        <v>3616</v>
      </c>
      <c r="G1252" s="3" t="s">
        <v>1100</v>
      </c>
      <c r="H1252" s="3" t="str">
        <f t="shared" si="21"/>
        <v>Data QA applied on Tendon Tension 9, computed by BMT WinMon.</v>
      </c>
    </row>
    <row r="1253" spans="1:8" x14ac:dyDescent="0.25">
      <c r="A1253" s="3" t="s">
        <v>6983</v>
      </c>
      <c r="B1253" s="3" t="s">
        <v>6989</v>
      </c>
      <c r="C1253" s="3" t="s">
        <v>6985</v>
      </c>
      <c r="D1253" s="3" t="s">
        <v>1138</v>
      </c>
      <c r="E1253" s="3">
        <v>1252</v>
      </c>
      <c r="F1253" s="3" t="s">
        <v>3617</v>
      </c>
      <c r="G1253" s="3" t="s">
        <v>1100</v>
      </c>
      <c r="H1253" s="3" t="str">
        <f t="shared" si="21"/>
        <v>Data QA applied on Tendon Tension 12, computed by BMT WinMon.</v>
      </c>
    </row>
    <row r="1254" spans="1:8" x14ac:dyDescent="0.25">
      <c r="A1254" s="3" t="s">
        <v>6983</v>
      </c>
      <c r="B1254" s="3" t="s">
        <v>6989</v>
      </c>
      <c r="C1254" s="3" t="s">
        <v>6985</v>
      </c>
      <c r="D1254" s="3" t="s">
        <v>1138</v>
      </c>
      <c r="E1254" s="3">
        <v>1253</v>
      </c>
      <c r="F1254" s="3" t="s">
        <v>3618</v>
      </c>
      <c r="G1254" s="3" t="s">
        <v>1100</v>
      </c>
      <c r="H1254" s="3" t="str">
        <f t="shared" si="21"/>
        <v>Data QA applied on Tendon Tension 13, computed by BMT WinMon.</v>
      </c>
    </row>
    <row r="1255" spans="1:8" x14ac:dyDescent="0.25">
      <c r="A1255" s="3" t="s">
        <v>6983</v>
      </c>
      <c r="B1255" s="3" t="s">
        <v>6989</v>
      </c>
      <c r="C1255" s="3" t="s">
        <v>6985</v>
      </c>
      <c r="D1255" s="3" t="s">
        <v>1138</v>
      </c>
      <c r="E1255" s="3">
        <v>1254</v>
      </c>
      <c r="F1255" s="3" t="s">
        <v>3619</v>
      </c>
      <c r="G1255" s="3" t="s">
        <v>1100</v>
      </c>
      <c r="H1255" s="3" t="str">
        <f t="shared" si="21"/>
        <v>Data QA applied on Tendon Tension 16, computed by BMT WinMon.</v>
      </c>
    </row>
    <row r="1256" spans="1:8" x14ac:dyDescent="0.25">
      <c r="A1256" s="3" t="s">
        <v>6983</v>
      </c>
      <c r="B1256" s="3" t="s">
        <v>6989</v>
      </c>
      <c r="C1256" s="3" t="s">
        <v>6985</v>
      </c>
      <c r="D1256" s="3" t="s">
        <v>1138</v>
      </c>
      <c r="E1256" s="3">
        <v>1255</v>
      </c>
      <c r="F1256" s="3" t="s">
        <v>3620</v>
      </c>
      <c r="G1256" s="3" t="s">
        <v>1100</v>
      </c>
      <c r="H1256" s="3" t="str">
        <f t="shared" si="21"/>
        <v>Data QA applied on Riser A Tension, computed by BMT WinMon.</v>
      </c>
    </row>
    <row r="1257" spans="1:8" x14ac:dyDescent="0.25">
      <c r="A1257" s="3" t="s">
        <v>6983</v>
      </c>
      <c r="B1257" s="3" t="s">
        <v>6989</v>
      </c>
      <c r="C1257" s="3" t="s">
        <v>6985</v>
      </c>
      <c r="D1257" s="3" t="s">
        <v>1138</v>
      </c>
      <c r="E1257" s="3">
        <v>1256</v>
      </c>
      <c r="F1257" s="3" t="s">
        <v>3621</v>
      </c>
      <c r="G1257" s="3" t="s">
        <v>1100</v>
      </c>
      <c r="H1257" s="3" t="str">
        <f t="shared" si="21"/>
        <v>Data QA applied on Riser B Tension, computed by BMT WinMon.</v>
      </c>
    </row>
    <row r="1258" spans="1:8" x14ac:dyDescent="0.25">
      <c r="A1258" s="3" t="s">
        <v>6983</v>
      </c>
      <c r="B1258" s="3" t="s">
        <v>6989</v>
      </c>
      <c r="C1258" s="3" t="s">
        <v>6985</v>
      </c>
      <c r="D1258" s="3" t="s">
        <v>1138</v>
      </c>
      <c r="E1258" s="3">
        <v>1257</v>
      </c>
      <c r="F1258" s="3" t="s">
        <v>3622</v>
      </c>
      <c r="G1258" s="3" t="s">
        <v>1100</v>
      </c>
      <c r="H1258" s="3" t="str">
        <f t="shared" si="21"/>
        <v>Data QA applied on Riser C Tension, computed by BMT WinMon.</v>
      </c>
    </row>
    <row r="1259" spans="1:8" x14ac:dyDescent="0.25">
      <c r="A1259" s="3" t="s">
        <v>6983</v>
      </c>
      <c r="B1259" s="3" t="s">
        <v>6989</v>
      </c>
      <c r="C1259" s="3" t="s">
        <v>6985</v>
      </c>
      <c r="D1259" s="3" t="s">
        <v>1138</v>
      </c>
      <c r="E1259" s="3">
        <v>1258</v>
      </c>
      <c r="F1259" s="3" t="s">
        <v>3623</v>
      </c>
      <c r="G1259" s="3" t="s">
        <v>1100</v>
      </c>
      <c r="H1259" s="3" t="str">
        <f t="shared" si="21"/>
        <v>Data QA applied on Riser D Tension, computed by BMT WinMon.</v>
      </c>
    </row>
    <row r="1260" spans="1:8" x14ac:dyDescent="0.25">
      <c r="A1260" s="3" t="s">
        <v>6983</v>
      </c>
      <c r="B1260" s="3" t="s">
        <v>6989</v>
      </c>
      <c r="C1260" s="3" t="s">
        <v>6985</v>
      </c>
      <c r="D1260" s="3" t="s">
        <v>1138</v>
      </c>
      <c r="E1260" s="3">
        <v>1259</v>
      </c>
      <c r="F1260" s="3" t="s">
        <v>3624</v>
      </c>
      <c r="G1260" s="3" t="s">
        <v>1100</v>
      </c>
      <c r="H1260" s="3" t="str">
        <f t="shared" si="21"/>
        <v>Data QA applied on Riser E Tension, computed by BMT WinMon.</v>
      </c>
    </row>
    <row r="1261" spans="1:8" x14ac:dyDescent="0.25">
      <c r="A1261" s="3" t="s">
        <v>6983</v>
      </c>
      <c r="B1261" s="3" t="s">
        <v>6989</v>
      </c>
      <c r="C1261" s="3" t="s">
        <v>6985</v>
      </c>
      <c r="D1261" s="3" t="s">
        <v>1138</v>
      </c>
      <c r="E1261" s="3">
        <v>1260</v>
      </c>
      <c r="F1261" s="3" t="s">
        <v>3625</v>
      </c>
      <c r="G1261" s="3" t="s">
        <v>1100</v>
      </c>
      <c r="H1261" s="3" t="str">
        <f t="shared" si="21"/>
        <v>Data QA applied on Riser F Tension, computed by BMT WinMon.</v>
      </c>
    </row>
    <row r="1262" spans="1:8" x14ac:dyDescent="0.25">
      <c r="A1262" s="3" t="s">
        <v>6983</v>
      </c>
      <c r="B1262" s="3" t="s">
        <v>6989</v>
      </c>
      <c r="C1262" s="3" t="s">
        <v>6985</v>
      </c>
      <c r="D1262" s="3" t="s">
        <v>1138</v>
      </c>
      <c r="E1262" s="3">
        <v>1261</v>
      </c>
      <c r="F1262" s="3" t="s">
        <v>3626</v>
      </c>
      <c r="G1262" s="3" t="s">
        <v>1100</v>
      </c>
      <c r="H1262" s="3" t="str">
        <f t="shared" si="21"/>
        <v>Data QA applied on Riser G Tension, computed by BMT WinMon.</v>
      </c>
    </row>
    <row r="1263" spans="1:8" x14ac:dyDescent="0.25">
      <c r="A1263" s="3" t="s">
        <v>6983</v>
      </c>
      <c r="B1263" s="3" t="s">
        <v>6989</v>
      </c>
      <c r="C1263" s="3" t="s">
        <v>6985</v>
      </c>
      <c r="D1263" s="3" t="s">
        <v>1138</v>
      </c>
      <c r="E1263" s="3">
        <v>1262</v>
      </c>
      <c r="F1263" s="3" t="s">
        <v>3627</v>
      </c>
      <c r="G1263" s="3" t="s">
        <v>1100</v>
      </c>
      <c r="H1263" s="3" t="str">
        <f t="shared" si="21"/>
        <v>Data QA applied on Riser H Tension, computed by BMT WinMon.</v>
      </c>
    </row>
    <row r="1264" spans="1:8" x14ac:dyDescent="0.25">
      <c r="A1264" s="3" t="s">
        <v>6983</v>
      </c>
      <c r="B1264" s="3" t="s">
        <v>6989</v>
      </c>
      <c r="C1264" s="3" t="s">
        <v>6985</v>
      </c>
      <c r="D1264" s="3" t="s">
        <v>1138</v>
      </c>
      <c r="E1264" s="3">
        <v>1263</v>
      </c>
      <c r="F1264" s="3" t="s">
        <v>3628</v>
      </c>
      <c r="G1264" s="3" t="s">
        <v>1100</v>
      </c>
      <c r="H1264" s="3" t="str">
        <f t="shared" si="21"/>
        <v>Data QA applied on Riser I Tension, computed by BMT WinMon.</v>
      </c>
    </row>
    <row r="1265" spans="1:8" x14ac:dyDescent="0.25">
      <c r="A1265" s="3" t="s">
        <v>6983</v>
      </c>
      <c r="B1265" s="3" t="s">
        <v>6989</v>
      </c>
      <c r="C1265" s="3" t="s">
        <v>6985</v>
      </c>
      <c r="D1265" s="3" t="s">
        <v>1138</v>
      </c>
      <c r="E1265" s="3">
        <v>1264</v>
      </c>
      <c r="F1265" s="3" t="s">
        <v>3629</v>
      </c>
      <c r="G1265" s="3" t="s">
        <v>1100</v>
      </c>
      <c r="H1265" s="3" t="str">
        <f t="shared" si="21"/>
        <v>Data QA applied on Riser J Tension, computed by BMT WinMon.</v>
      </c>
    </row>
    <row r="1266" spans="1:8" x14ac:dyDescent="0.25">
      <c r="A1266" s="3" t="s">
        <v>6983</v>
      </c>
      <c r="B1266" s="3" t="s">
        <v>6989</v>
      </c>
      <c r="C1266" s="3" t="s">
        <v>6985</v>
      </c>
      <c r="D1266" s="3" t="s">
        <v>1138</v>
      </c>
      <c r="E1266" s="3">
        <v>1265</v>
      </c>
      <c r="F1266" s="3" t="s">
        <v>3630</v>
      </c>
      <c r="G1266" s="3" t="s">
        <v>1100</v>
      </c>
      <c r="H1266" s="3" t="str">
        <f t="shared" si="21"/>
        <v>Data QA applied on Riser K Tension, computed by BMT WinMon.</v>
      </c>
    </row>
    <row r="1267" spans="1:8" x14ac:dyDescent="0.25">
      <c r="A1267" s="3" t="s">
        <v>6983</v>
      </c>
      <c r="B1267" s="3" t="s">
        <v>6989</v>
      </c>
      <c r="C1267" s="3" t="s">
        <v>6985</v>
      </c>
      <c r="D1267" s="3" t="s">
        <v>1138</v>
      </c>
      <c r="E1267" s="3">
        <v>1266</v>
      </c>
      <c r="F1267" s="3" t="s">
        <v>3631</v>
      </c>
      <c r="G1267" s="3" t="s">
        <v>1100</v>
      </c>
      <c r="H1267" s="3" t="str">
        <f t="shared" si="21"/>
        <v>Data QA applied on Riser L Tension, computed by BMT WinMon.</v>
      </c>
    </row>
    <row r="1268" spans="1:8" x14ac:dyDescent="0.25">
      <c r="A1268" s="3" t="s">
        <v>6983</v>
      </c>
      <c r="B1268" s="3" t="s">
        <v>6989</v>
      </c>
      <c r="C1268" s="3" t="s">
        <v>6985</v>
      </c>
      <c r="D1268" s="3" t="s">
        <v>1138</v>
      </c>
      <c r="E1268" s="3">
        <v>1267</v>
      </c>
      <c r="F1268" s="3" t="s">
        <v>3632</v>
      </c>
      <c r="G1268" s="3" t="s">
        <v>1100</v>
      </c>
      <c r="H1268" s="3" t="str">
        <f t="shared" si="21"/>
        <v>Data QA applied on Riser M Tension, computed by BMT WinMon.</v>
      </c>
    </row>
    <row r="1269" spans="1:8" x14ac:dyDescent="0.25">
      <c r="A1269" s="3" t="s">
        <v>6983</v>
      </c>
      <c r="B1269" s="3" t="s">
        <v>6989</v>
      </c>
      <c r="C1269" s="3" t="s">
        <v>6985</v>
      </c>
      <c r="D1269" s="3" t="s">
        <v>1138</v>
      </c>
      <c r="E1269" s="3">
        <v>1268</v>
      </c>
      <c r="F1269" s="3" t="s">
        <v>3633</v>
      </c>
      <c r="G1269" s="3" t="s">
        <v>1100</v>
      </c>
      <c r="H1269" s="3" t="str">
        <f t="shared" si="21"/>
        <v>Data QA applied on Riser N Tension, computed by BMT WinMon.</v>
      </c>
    </row>
    <row r="1270" spans="1:8" x14ac:dyDescent="0.25">
      <c r="A1270" s="3" t="s">
        <v>6983</v>
      </c>
      <c r="B1270" s="3" t="s">
        <v>6989</v>
      </c>
      <c r="C1270" s="3" t="s">
        <v>6985</v>
      </c>
      <c r="D1270" s="3" t="s">
        <v>1138</v>
      </c>
      <c r="E1270" s="3">
        <v>1269</v>
      </c>
      <c r="F1270" s="3" t="s">
        <v>3634</v>
      </c>
      <c r="G1270" s="3" t="s">
        <v>1100</v>
      </c>
      <c r="H1270" s="3" t="str">
        <f t="shared" si="21"/>
        <v>Data QA applied on Riser O Tension, computed by BMT WinMon.</v>
      </c>
    </row>
    <row r="1271" spans="1:8" x14ac:dyDescent="0.25">
      <c r="A1271" s="3" t="s">
        <v>6983</v>
      </c>
      <c r="B1271" s="3" t="s">
        <v>6989</v>
      </c>
      <c r="C1271" s="3" t="s">
        <v>6985</v>
      </c>
      <c r="D1271" s="3" t="s">
        <v>1138</v>
      </c>
      <c r="E1271" s="3">
        <v>1270</v>
      </c>
      <c r="F1271" s="3" t="s">
        <v>3635</v>
      </c>
      <c r="G1271" s="3" t="s">
        <v>1100</v>
      </c>
      <c r="H1271" s="3" t="str">
        <f t="shared" si="21"/>
        <v>Data QA applied on Riser P Tension, computed by BMT WinMon.</v>
      </c>
    </row>
    <row r="1272" spans="1:8" x14ac:dyDescent="0.25">
      <c r="A1272" s="3" t="s">
        <v>6983</v>
      </c>
      <c r="B1272" s="3" t="s">
        <v>6989</v>
      </c>
      <c r="C1272" s="3" t="s">
        <v>6985</v>
      </c>
      <c r="D1272" s="3" t="s">
        <v>1138</v>
      </c>
      <c r="E1272" s="3">
        <v>1271</v>
      </c>
      <c r="F1272" s="3" t="s">
        <v>3636</v>
      </c>
      <c r="G1272" s="3" t="s">
        <v>1100</v>
      </c>
      <c r="H1272" s="3" t="str">
        <f t="shared" si="21"/>
        <v>Data QA applied on Riser Q Tension, computed by BMT WinMon.</v>
      </c>
    </row>
    <row r="1273" spans="1:8" x14ac:dyDescent="0.25">
      <c r="A1273" s="3" t="s">
        <v>6983</v>
      </c>
      <c r="B1273" s="3" t="s">
        <v>6989</v>
      </c>
      <c r="C1273" s="3" t="s">
        <v>6985</v>
      </c>
      <c r="D1273" s="3" t="s">
        <v>1138</v>
      </c>
      <c r="E1273" s="3">
        <v>1272</v>
      </c>
      <c r="F1273" s="3" t="s">
        <v>3637</v>
      </c>
      <c r="G1273" s="3" t="s">
        <v>1100</v>
      </c>
      <c r="H1273" s="3" t="str">
        <f t="shared" si="21"/>
        <v>Data QA applied on Riser R Tension, computed by BMT WinMon.</v>
      </c>
    </row>
    <row r="1274" spans="1:8" x14ac:dyDescent="0.25">
      <c r="A1274" s="3" t="s">
        <v>6983</v>
      </c>
      <c r="B1274" s="3" t="s">
        <v>6989</v>
      </c>
      <c r="C1274" s="3" t="s">
        <v>6985</v>
      </c>
      <c r="D1274" s="3" t="s">
        <v>1138</v>
      </c>
      <c r="E1274" s="3">
        <v>1273</v>
      </c>
      <c r="F1274" s="3" t="s">
        <v>3638</v>
      </c>
      <c r="G1274" s="3" t="s">
        <v>1100</v>
      </c>
      <c r="H1274" s="3" t="str">
        <f t="shared" si="21"/>
        <v>Data QA applied on Riser S Tension, computed by BMT WinMon.</v>
      </c>
    </row>
    <row r="1275" spans="1:8" x14ac:dyDescent="0.25">
      <c r="A1275" s="3" t="s">
        <v>6983</v>
      </c>
      <c r="B1275" s="3" t="s">
        <v>6989</v>
      </c>
      <c r="C1275" s="3" t="s">
        <v>6985</v>
      </c>
      <c r="D1275" s="3" t="s">
        <v>1138</v>
      </c>
      <c r="E1275" s="3">
        <v>1274</v>
      </c>
      <c r="F1275" s="3" t="s">
        <v>3639</v>
      </c>
      <c r="G1275" s="3" t="s">
        <v>1100</v>
      </c>
      <c r="H1275" s="3" t="str">
        <f t="shared" si="21"/>
        <v>Data QA applied on Riser T Tension, computed by BMT WinMon.</v>
      </c>
    </row>
    <row r="1276" spans="1:8" x14ac:dyDescent="0.25">
      <c r="A1276" s="3" t="s">
        <v>6983</v>
      </c>
      <c r="B1276" s="3" t="s">
        <v>6989</v>
      </c>
      <c r="C1276" s="3" t="s">
        <v>6985</v>
      </c>
      <c r="D1276" s="3" t="s">
        <v>1138</v>
      </c>
      <c r="E1276" s="3">
        <v>1275</v>
      </c>
      <c r="F1276" s="3" t="s">
        <v>3640</v>
      </c>
      <c r="G1276" s="3" t="s">
        <v>1100</v>
      </c>
      <c r="H1276" s="3" t="str">
        <f t="shared" si="21"/>
        <v>Data QA applied on Riser U Tension, computed by BMT WinMon.</v>
      </c>
    </row>
    <row r="1277" spans="1:8" x14ac:dyDescent="0.25">
      <c r="A1277" s="3" t="s">
        <v>6983</v>
      </c>
      <c r="B1277" s="3" t="s">
        <v>6989</v>
      </c>
      <c r="C1277" s="3" t="s">
        <v>6985</v>
      </c>
      <c r="D1277" s="3" t="s">
        <v>1138</v>
      </c>
      <c r="E1277" s="3">
        <v>1276</v>
      </c>
      <c r="F1277" s="3" t="s">
        <v>3641</v>
      </c>
      <c r="G1277" s="3" t="s">
        <v>1100</v>
      </c>
      <c r="H1277" s="3" t="str">
        <f t="shared" si="21"/>
        <v>Data QA applied on Riser V Tension, computed by BMT WinMon.</v>
      </c>
    </row>
    <row r="1278" spans="1:8" x14ac:dyDescent="0.25">
      <c r="A1278" s="3" t="s">
        <v>6983</v>
      </c>
      <c r="B1278" s="3" t="s">
        <v>6989</v>
      </c>
      <c r="C1278" s="3" t="s">
        <v>6985</v>
      </c>
      <c r="D1278" s="3" t="s">
        <v>1138</v>
      </c>
      <c r="E1278" s="3">
        <v>1277</v>
      </c>
      <c r="F1278" s="3" t="s">
        <v>3642</v>
      </c>
      <c r="G1278" s="3" t="s">
        <v>1100</v>
      </c>
      <c r="H1278" s="3" t="str">
        <f t="shared" si="21"/>
        <v>Data QA applied on Riser W Tension, computed by BMT WinMon.</v>
      </c>
    </row>
    <row r="1279" spans="1:8" x14ac:dyDescent="0.25">
      <c r="A1279" s="3" t="s">
        <v>6983</v>
      </c>
      <c r="B1279" s="3" t="s">
        <v>6989</v>
      </c>
      <c r="C1279" s="3" t="s">
        <v>6985</v>
      </c>
      <c r="D1279" s="3" t="s">
        <v>1138</v>
      </c>
      <c r="E1279" s="3">
        <v>1278</v>
      </c>
      <c r="F1279" s="3" t="s">
        <v>3643</v>
      </c>
      <c r="G1279" s="3" t="s">
        <v>1100</v>
      </c>
      <c r="H1279" s="3" t="str">
        <f>_xlfn.CONCAT("Data QA applied on ",_xlfn.TEXTAFTER(F1279, "MAS "), ", computed by BMT WinMon.")</f>
        <v>Data QA applied on Riser X Tension, computed by BMT WinMon.</v>
      </c>
    </row>
    <row r="1280" spans="1:8" x14ac:dyDescent="0.25">
      <c r="A1280" s="3" t="s">
        <v>6983</v>
      </c>
      <c r="B1280" s="3" t="s">
        <v>6989</v>
      </c>
      <c r="C1280" s="3" t="s">
        <v>6985</v>
      </c>
      <c r="D1280" s="3" t="s">
        <v>1138</v>
      </c>
      <c r="E1280" s="3">
        <v>1279</v>
      </c>
      <c r="F1280" s="3" t="s">
        <v>3644</v>
      </c>
      <c r="G1280" s="3" t="s">
        <v>1097</v>
      </c>
      <c r="H1280" s="3" t="str">
        <f>_xlfn.CONCAT("Data QA applied on ",_xlfn.TEXTAFTER(F1280,"OL "), ", computed by BMT WinMon.")</f>
        <v>Data QA applied on ILST_100B1_FWKO, computed by BMT WinMon.</v>
      </c>
    </row>
    <row r="1281" spans="1:8" x14ac:dyDescent="0.25">
      <c r="A1281" s="3" t="s">
        <v>6983</v>
      </c>
      <c r="B1281" s="3" t="s">
        <v>6989</v>
      </c>
      <c r="C1281" s="3" t="s">
        <v>6985</v>
      </c>
      <c r="D1281" s="3" t="s">
        <v>1138</v>
      </c>
      <c r="E1281" s="3">
        <v>1280</v>
      </c>
      <c r="F1281" s="3" t="s">
        <v>3645</v>
      </c>
      <c r="G1281" s="3" t="s">
        <v>1097</v>
      </c>
      <c r="H1281" s="3" t="str">
        <f t="shared" ref="H1281:H1344" si="22">_xlfn.CONCAT("Data QA applied on ",_xlfn.TEXTAFTER(F1281,"OL "), ", computed by BMT WinMon.")</f>
        <v>Data QA applied on ILST_100B2_FWKO, computed by BMT WinMon.</v>
      </c>
    </row>
    <row r="1282" spans="1:8" x14ac:dyDescent="0.25">
      <c r="A1282" s="3" t="s">
        <v>6983</v>
      </c>
      <c r="B1282" s="3" t="s">
        <v>6989</v>
      </c>
      <c r="C1282" s="3" t="s">
        <v>6985</v>
      </c>
      <c r="D1282" s="3" t="s">
        <v>1138</v>
      </c>
      <c r="E1282" s="3">
        <v>1281</v>
      </c>
      <c r="F1282" s="3" t="s">
        <v>3646</v>
      </c>
      <c r="G1282" s="3" t="s">
        <v>1097</v>
      </c>
      <c r="H1282" s="3" t="str">
        <f t="shared" si="22"/>
        <v>Data QA applied on ILST_100B3_FWKO, computed by BMT WinMon.</v>
      </c>
    </row>
    <row r="1283" spans="1:8" x14ac:dyDescent="0.25">
      <c r="A1283" s="3" t="s">
        <v>6983</v>
      </c>
      <c r="B1283" s="3" t="s">
        <v>6989</v>
      </c>
      <c r="C1283" s="3" t="s">
        <v>6985</v>
      </c>
      <c r="D1283" s="3" t="s">
        <v>1138</v>
      </c>
      <c r="E1283" s="3">
        <v>1282</v>
      </c>
      <c r="F1283" s="3" t="s">
        <v>3647</v>
      </c>
      <c r="G1283" s="3" t="s">
        <v>1097</v>
      </c>
      <c r="H1283" s="3" t="str">
        <f t="shared" si="22"/>
        <v>Data QA applied on ILST_300B_BOT, computed by BMT WinMon.</v>
      </c>
    </row>
    <row r="1284" spans="1:8" x14ac:dyDescent="0.25">
      <c r="A1284" s="3" t="s">
        <v>6983</v>
      </c>
      <c r="B1284" s="3" t="s">
        <v>6989</v>
      </c>
      <c r="C1284" s="3" t="s">
        <v>6985</v>
      </c>
      <c r="D1284" s="3" t="s">
        <v>1138</v>
      </c>
      <c r="E1284" s="3">
        <v>1283</v>
      </c>
      <c r="F1284" s="3" t="s">
        <v>3648</v>
      </c>
      <c r="G1284" s="3" t="s">
        <v>1097</v>
      </c>
      <c r="H1284" s="3" t="str">
        <f t="shared" si="22"/>
        <v>Data QA applied on ILT_100B1_FWKO, computed by BMT WinMon.</v>
      </c>
    </row>
    <row r="1285" spans="1:8" x14ac:dyDescent="0.25">
      <c r="A1285" s="3" t="s">
        <v>6983</v>
      </c>
      <c r="B1285" s="3" t="s">
        <v>6989</v>
      </c>
      <c r="C1285" s="3" t="s">
        <v>6985</v>
      </c>
      <c r="D1285" s="3" t="s">
        <v>1138</v>
      </c>
      <c r="E1285" s="3">
        <v>1284</v>
      </c>
      <c r="F1285" s="3" t="s">
        <v>3649</v>
      </c>
      <c r="G1285" s="3" t="s">
        <v>1097</v>
      </c>
      <c r="H1285" s="3" t="str">
        <f t="shared" si="22"/>
        <v>Data QA applied on ILT_1150A1_SMP, computed by BMT WinMon.</v>
      </c>
    </row>
    <row r="1286" spans="1:8" x14ac:dyDescent="0.25">
      <c r="A1286" s="3" t="s">
        <v>6983</v>
      </c>
      <c r="B1286" s="3" t="s">
        <v>6989</v>
      </c>
      <c r="C1286" s="3" t="s">
        <v>6985</v>
      </c>
      <c r="D1286" s="3" t="s">
        <v>1138</v>
      </c>
      <c r="E1286" s="3">
        <v>1285</v>
      </c>
      <c r="F1286" s="3" t="s">
        <v>3650</v>
      </c>
      <c r="G1286" s="3" t="s">
        <v>1097</v>
      </c>
      <c r="H1286" s="3" t="str">
        <f t="shared" si="22"/>
        <v>Data QA applied on ILT_1166B1_SLOP_TNK, computed by BMT WinMon.</v>
      </c>
    </row>
    <row r="1287" spans="1:8" x14ac:dyDescent="0.25">
      <c r="A1287" s="3" t="s">
        <v>6983</v>
      </c>
      <c r="B1287" s="3" t="s">
        <v>6989</v>
      </c>
      <c r="C1287" s="3" t="s">
        <v>6985</v>
      </c>
      <c r="D1287" s="3" t="s">
        <v>1138</v>
      </c>
      <c r="E1287" s="3">
        <v>1286</v>
      </c>
      <c r="F1287" s="3" t="s">
        <v>3651</v>
      </c>
      <c r="G1287" s="3" t="s">
        <v>1097</v>
      </c>
      <c r="H1287" s="3" t="str">
        <f t="shared" si="22"/>
        <v>Data QA applied on ILT_120B1_TEST_SEP, computed by BMT WinMon.</v>
      </c>
    </row>
    <row r="1288" spans="1:8" x14ac:dyDescent="0.25">
      <c r="A1288" s="3" t="s">
        <v>6983</v>
      </c>
      <c r="B1288" s="3" t="s">
        <v>6989</v>
      </c>
      <c r="C1288" s="3" t="s">
        <v>6985</v>
      </c>
      <c r="D1288" s="3" t="s">
        <v>1138</v>
      </c>
      <c r="E1288" s="3">
        <v>1287</v>
      </c>
      <c r="F1288" s="3" t="s">
        <v>3652</v>
      </c>
      <c r="G1288" s="3" t="s">
        <v>1097</v>
      </c>
      <c r="H1288" s="3" t="str">
        <f t="shared" si="22"/>
        <v>Data QA applied on ILT_300B1_BOT, computed by BMT WinMon.</v>
      </c>
    </row>
    <row r="1289" spans="1:8" x14ac:dyDescent="0.25">
      <c r="A1289" s="3" t="s">
        <v>6983</v>
      </c>
      <c r="B1289" s="3" t="s">
        <v>6989</v>
      </c>
      <c r="C1289" s="3" t="s">
        <v>6985</v>
      </c>
      <c r="D1289" s="3" t="s">
        <v>1138</v>
      </c>
      <c r="E1289" s="3">
        <v>1288</v>
      </c>
      <c r="F1289" s="3" t="s">
        <v>3653</v>
      </c>
      <c r="G1289" s="3" t="s">
        <v>1097</v>
      </c>
      <c r="H1289" s="3" t="str">
        <f t="shared" si="22"/>
        <v>Data QA applied on ILT_320B1_WOT, computed by BMT WinMon.</v>
      </c>
    </row>
    <row r="1290" spans="1:8" x14ac:dyDescent="0.25">
      <c r="A1290" s="3" t="s">
        <v>6983</v>
      </c>
      <c r="B1290" s="3" t="s">
        <v>6989</v>
      </c>
      <c r="C1290" s="3" t="s">
        <v>6985</v>
      </c>
      <c r="D1290" s="3" t="s">
        <v>1138</v>
      </c>
      <c r="E1290" s="3">
        <v>1289</v>
      </c>
      <c r="F1290" s="3" t="s">
        <v>3654</v>
      </c>
      <c r="G1290" s="3" t="s">
        <v>1097</v>
      </c>
      <c r="H1290" s="3" t="str">
        <f t="shared" si="22"/>
        <v>Data QA applied on LST_1007A_FGC_A1, computed by BMT WinMon.</v>
      </c>
    </row>
    <row r="1291" spans="1:8" x14ac:dyDescent="0.25">
      <c r="A1291" s="3" t="s">
        <v>6983</v>
      </c>
      <c r="B1291" s="3" t="s">
        <v>6989</v>
      </c>
      <c r="C1291" s="3" t="s">
        <v>6985</v>
      </c>
      <c r="D1291" s="3" t="s">
        <v>1138</v>
      </c>
      <c r="E1291" s="3">
        <v>1290</v>
      </c>
      <c r="F1291" s="3" t="s">
        <v>3655</v>
      </c>
      <c r="G1291" s="3" t="s">
        <v>1097</v>
      </c>
      <c r="H1291" s="3" t="str">
        <f t="shared" si="22"/>
        <v>Data QA applied on LST_100A_FWKO, computed by BMT WinMon.</v>
      </c>
    </row>
    <row r="1292" spans="1:8" x14ac:dyDescent="0.25">
      <c r="A1292" s="3" t="s">
        <v>6983</v>
      </c>
      <c r="B1292" s="3" t="s">
        <v>6989</v>
      </c>
      <c r="C1292" s="3" t="s">
        <v>6985</v>
      </c>
      <c r="D1292" s="3" t="s">
        <v>1138</v>
      </c>
      <c r="E1292" s="3">
        <v>1291</v>
      </c>
      <c r="F1292" s="3" t="s">
        <v>3656</v>
      </c>
      <c r="G1292" s="3" t="s">
        <v>1097</v>
      </c>
      <c r="H1292" s="3" t="str">
        <f t="shared" si="22"/>
        <v>Data QA applied on LST_1016A_FGC_A2, computed by BMT WinMon.</v>
      </c>
    </row>
    <row r="1293" spans="1:8" x14ac:dyDescent="0.25">
      <c r="A1293" s="3" t="s">
        <v>6983</v>
      </c>
      <c r="B1293" s="3" t="s">
        <v>6989</v>
      </c>
      <c r="C1293" s="3" t="s">
        <v>6985</v>
      </c>
      <c r="D1293" s="3" t="s">
        <v>1138</v>
      </c>
      <c r="E1293" s="3">
        <v>1292</v>
      </c>
      <c r="F1293" s="3" t="s">
        <v>3657</v>
      </c>
      <c r="G1293" s="3" t="s">
        <v>1097</v>
      </c>
      <c r="H1293" s="3" t="str">
        <f t="shared" si="22"/>
        <v>Data QA applied on LST_1057A_FGC_B1, computed by BMT WinMon.</v>
      </c>
    </row>
    <row r="1294" spans="1:8" x14ac:dyDescent="0.25">
      <c r="A1294" s="3" t="s">
        <v>6983</v>
      </c>
      <c r="B1294" s="3" t="s">
        <v>6989</v>
      </c>
      <c r="C1294" s="3" t="s">
        <v>6985</v>
      </c>
      <c r="D1294" s="3" t="s">
        <v>1138</v>
      </c>
      <c r="E1294" s="3">
        <v>1293</v>
      </c>
      <c r="F1294" s="3" t="s">
        <v>3658</v>
      </c>
      <c r="G1294" s="3" t="s">
        <v>1097</v>
      </c>
      <c r="H1294" s="3" t="str">
        <f t="shared" si="22"/>
        <v>Data QA applied on LST_1066A_FGC_B2, computed by BMT WinMon.</v>
      </c>
    </row>
    <row r="1295" spans="1:8" x14ac:dyDescent="0.25">
      <c r="A1295" s="3" t="s">
        <v>6983</v>
      </c>
      <c r="B1295" s="3" t="s">
        <v>6989</v>
      </c>
      <c r="C1295" s="3" t="s">
        <v>6985</v>
      </c>
      <c r="D1295" s="3" t="s">
        <v>1138</v>
      </c>
      <c r="E1295" s="3">
        <v>1294</v>
      </c>
      <c r="F1295" s="3" t="s">
        <v>3659</v>
      </c>
      <c r="G1295" s="3" t="s">
        <v>1097</v>
      </c>
      <c r="H1295" s="3" t="str">
        <f t="shared" si="22"/>
        <v>Data QA applied on LST_1091A_SEAL_GAS, computed by BMT WinMon.</v>
      </c>
    </row>
    <row r="1296" spans="1:8" x14ac:dyDescent="0.25">
      <c r="A1296" s="3" t="s">
        <v>6983</v>
      </c>
      <c r="B1296" s="3" t="s">
        <v>6989</v>
      </c>
      <c r="C1296" s="3" t="s">
        <v>6985</v>
      </c>
      <c r="D1296" s="3" t="s">
        <v>1138</v>
      </c>
      <c r="E1296" s="3">
        <v>1295</v>
      </c>
      <c r="F1296" s="3" t="s">
        <v>3660</v>
      </c>
      <c r="G1296" s="3" t="s">
        <v>1097</v>
      </c>
      <c r="H1296" s="3" t="str">
        <f t="shared" si="22"/>
        <v>Data QA applied on LST_1092A_SEAL_GAS, computed by BMT WinMon.</v>
      </c>
    </row>
    <row r="1297" spans="1:8" x14ac:dyDescent="0.25">
      <c r="A1297" s="3" t="s">
        <v>6983</v>
      </c>
      <c r="B1297" s="3" t="s">
        <v>6989</v>
      </c>
      <c r="C1297" s="3" t="s">
        <v>6985</v>
      </c>
      <c r="D1297" s="3" t="s">
        <v>1138</v>
      </c>
      <c r="E1297" s="3">
        <v>1296</v>
      </c>
      <c r="F1297" s="3" t="s">
        <v>3661</v>
      </c>
      <c r="G1297" s="3" t="s">
        <v>1097</v>
      </c>
      <c r="H1297" s="3" t="str">
        <f t="shared" si="22"/>
        <v>Data QA applied on LST_1101A_GLC, computed by BMT WinMon.</v>
      </c>
    </row>
    <row r="1298" spans="1:8" x14ac:dyDescent="0.25">
      <c r="A1298" s="3" t="s">
        <v>6983</v>
      </c>
      <c r="B1298" s="3" t="s">
        <v>6989</v>
      </c>
      <c r="C1298" s="3" t="s">
        <v>6985</v>
      </c>
      <c r="D1298" s="3" t="s">
        <v>1138</v>
      </c>
      <c r="E1298" s="3">
        <v>1297</v>
      </c>
      <c r="F1298" s="3" t="s">
        <v>3662</v>
      </c>
      <c r="G1298" s="3" t="s">
        <v>1097</v>
      </c>
      <c r="H1298" s="3" t="str">
        <f t="shared" si="22"/>
        <v>Data QA applied on LST_110A_HP_SEP, computed by BMT WinMon.</v>
      </c>
    </row>
    <row r="1299" spans="1:8" x14ac:dyDescent="0.25">
      <c r="A1299" s="3" t="s">
        <v>6983</v>
      </c>
      <c r="B1299" s="3" t="s">
        <v>6989</v>
      </c>
      <c r="C1299" s="3" t="s">
        <v>6985</v>
      </c>
      <c r="D1299" s="3" t="s">
        <v>1138</v>
      </c>
      <c r="E1299" s="3">
        <v>1298</v>
      </c>
      <c r="F1299" s="3" t="s">
        <v>3663</v>
      </c>
      <c r="G1299" s="3" t="s">
        <v>1097</v>
      </c>
      <c r="H1299" s="3" t="str">
        <f t="shared" si="22"/>
        <v>Data QA applied on LST_1110A_SEAL_GAS, computed by BMT WinMon.</v>
      </c>
    </row>
    <row r="1300" spans="1:8" x14ac:dyDescent="0.25">
      <c r="A1300" s="3" t="s">
        <v>6983</v>
      </c>
      <c r="B1300" s="3" t="s">
        <v>6989</v>
      </c>
      <c r="C1300" s="3" t="s">
        <v>6985</v>
      </c>
      <c r="D1300" s="3" t="s">
        <v>1138</v>
      </c>
      <c r="E1300" s="3">
        <v>1299</v>
      </c>
      <c r="F1300" s="3" t="s">
        <v>3664</v>
      </c>
      <c r="G1300" s="3" t="s">
        <v>1097</v>
      </c>
      <c r="H1300" s="3" t="str">
        <f t="shared" si="22"/>
        <v>Data QA applied on LST_1150A_SMP_CAISSON, computed by BMT WinMon.</v>
      </c>
    </row>
    <row r="1301" spans="1:8" x14ac:dyDescent="0.25">
      <c r="A1301" s="3" t="s">
        <v>6983</v>
      </c>
      <c r="B1301" s="3" t="s">
        <v>6989</v>
      </c>
      <c r="C1301" s="3" t="s">
        <v>6985</v>
      </c>
      <c r="D1301" s="3" t="s">
        <v>1138</v>
      </c>
      <c r="E1301" s="3">
        <v>1300</v>
      </c>
      <c r="F1301" s="3" t="s">
        <v>3665</v>
      </c>
      <c r="G1301" s="3" t="s">
        <v>1097</v>
      </c>
      <c r="H1301" s="3" t="str">
        <f t="shared" si="22"/>
        <v>Data QA applied on LST_1153A_PRE_SMP_OIL, computed by BMT WinMon.</v>
      </c>
    </row>
    <row r="1302" spans="1:8" x14ac:dyDescent="0.25">
      <c r="A1302" s="3" t="s">
        <v>6983</v>
      </c>
      <c r="B1302" s="3" t="s">
        <v>6989</v>
      </c>
      <c r="C1302" s="3" t="s">
        <v>6985</v>
      </c>
      <c r="D1302" s="3" t="s">
        <v>1138</v>
      </c>
      <c r="E1302" s="3">
        <v>1301</v>
      </c>
      <c r="F1302" s="3" t="s">
        <v>3666</v>
      </c>
      <c r="G1302" s="3" t="s">
        <v>1097</v>
      </c>
      <c r="H1302" s="3" t="str">
        <f t="shared" si="22"/>
        <v>Data QA applied on LST_1166A_OIL_BUCKET, computed by BMT WinMon.</v>
      </c>
    </row>
    <row r="1303" spans="1:8" x14ac:dyDescent="0.25">
      <c r="A1303" s="3" t="s">
        <v>6983</v>
      </c>
      <c r="B1303" s="3" t="s">
        <v>6989</v>
      </c>
      <c r="C1303" s="3" t="s">
        <v>6985</v>
      </c>
      <c r="D1303" s="3" t="s">
        <v>1138</v>
      </c>
      <c r="E1303" s="3">
        <v>1302</v>
      </c>
      <c r="F1303" s="3" t="s">
        <v>3667</v>
      </c>
      <c r="G1303" s="3" t="s">
        <v>1097</v>
      </c>
      <c r="H1303" s="3" t="str">
        <f t="shared" si="22"/>
        <v>Data QA applied on LST_1166C_SLOP_TNK, computed by BMT WinMon.</v>
      </c>
    </row>
    <row r="1304" spans="1:8" x14ac:dyDescent="0.25">
      <c r="A1304" s="3" t="s">
        <v>6983</v>
      </c>
      <c r="B1304" s="3" t="s">
        <v>6989</v>
      </c>
      <c r="C1304" s="3" t="s">
        <v>6985</v>
      </c>
      <c r="D1304" s="3" t="s">
        <v>1138</v>
      </c>
      <c r="E1304" s="3">
        <v>1303</v>
      </c>
      <c r="F1304" s="3" t="s">
        <v>3668</v>
      </c>
      <c r="G1304" s="3" t="s">
        <v>1097</v>
      </c>
      <c r="H1304" s="3" t="str">
        <f t="shared" si="22"/>
        <v>Data QA applied on LST_120A_TEST_SEP_OIL, computed by BMT WinMon.</v>
      </c>
    </row>
    <row r="1305" spans="1:8" x14ac:dyDescent="0.25">
      <c r="A1305" s="3" t="s">
        <v>6983</v>
      </c>
      <c r="B1305" s="3" t="s">
        <v>6989</v>
      </c>
      <c r="C1305" s="3" t="s">
        <v>6985</v>
      </c>
      <c r="D1305" s="3" t="s">
        <v>1138</v>
      </c>
      <c r="E1305" s="3">
        <v>1304</v>
      </c>
      <c r="F1305" s="3" t="s">
        <v>3669</v>
      </c>
      <c r="G1305" s="3" t="s">
        <v>1097</v>
      </c>
      <c r="H1305" s="3" t="str">
        <f t="shared" si="22"/>
        <v>Data QA applied on LST_120B_TEST_SEP_WTR, computed by BMT WinMon.</v>
      </c>
    </row>
    <row r="1306" spans="1:8" x14ac:dyDescent="0.25">
      <c r="A1306" s="3" t="s">
        <v>6983</v>
      </c>
      <c r="B1306" s="3" t="s">
        <v>6989</v>
      </c>
      <c r="C1306" s="3" t="s">
        <v>6985</v>
      </c>
      <c r="D1306" s="3" t="s">
        <v>1138</v>
      </c>
      <c r="E1306" s="3">
        <v>1305</v>
      </c>
      <c r="F1306" s="3" t="s">
        <v>3670</v>
      </c>
      <c r="G1306" s="3" t="s">
        <v>1097</v>
      </c>
      <c r="H1306" s="3" t="str">
        <f t="shared" si="22"/>
        <v>Data QA applied on LST_1901A_Methanol, computed by BMT WinMon.</v>
      </c>
    </row>
    <row r="1307" spans="1:8" x14ac:dyDescent="0.25">
      <c r="A1307" s="3" t="s">
        <v>6983</v>
      </c>
      <c r="B1307" s="3" t="s">
        <v>6989</v>
      </c>
      <c r="C1307" s="3" t="s">
        <v>6985</v>
      </c>
      <c r="D1307" s="3" t="s">
        <v>1138</v>
      </c>
      <c r="E1307" s="3">
        <v>1306</v>
      </c>
      <c r="F1307" s="3" t="s">
        <v>3671</v>
      </c>
      <c r="G1307" s="3" t="s">
        <v>1097</v>
      </c>
      <c r="H1307" s="3" t="str">
        <f t="shared" si="22"/>
        <v>Data QA applied on LST_206A_PL_PMP_LO, computed by BMT WinMon.</v>
      </c>
    </row>
    <row r="1308" spans="1:8" x14ac:dyDescent="0.25">
      <c r="A1308" s="3" t="s">
        <v>6983</v>
      </c>
      <c r="B1308" s="3" t="s">
        <v>6989</v>
      </c>
      <c r="C1308" s="3" t="s">
        <v>6985</v>
      </c>
      <c r="D1308" s="3" t="s">
        <v>1138</v>
      </c>
      <c r="E1308" s="3">
        <v>1307</v>
      </c>
      <c r="F1308" s="3" t="s">
        <v>3672</v>
      </c>
      <c r="G1308" s="3" t="s">
        <v>1097</v>
      </c>
      <c r="H1308" s="3" t="str">
        <f t="shared" si="22"/>
        <v>Data QA applied on LST_2084A_FG_SCRUB, computed by BMT WinMon.</v>
      </c>
    </row>
    <row r="1309" spans="1:8" x14ac:dyDescent="0.25">
      <c r="A1309" s="3" t="s">
        <v>6983</v>
      </c>
      <c r="B1309" s="3" t="s">
        <v>6989</v>
      </c>
      <c r="C1309" s="3" t="s">
        <v>6985</v>
      </c>
      <c r="D1309" s="3" t="s">
        <v>1138</v>
      </c>
      <c r="E1309" s="3">
        <v>1308</v>
      </c>
      <c r="F1309" s="3" t="s">
        <v>3673</v>
      </c>
      <c r="G1309" s="3" t="s">
        <v>1097</v>
      </c>
      <c r="H1309" s="3" t="str">
        <f t="shared" si="22"/>
        <v>Data QA applied on LST_2086A_FG_FLTR, computed by BMT WinMon.</v>
      </c>
    </row>
    <row r="1310" spans="1:8" x14ac:dyDescent="0.25">
      <c r="A1310" s="3" t="s">
        <v>6983</v>
      </c>
      <c r="B1310" s="3" t="s">
        <v>6989</v>
      </c>
      <c r="C1310" s="3" t="s">
        <v>6985</v>
      </c>
      <c r="D1310" s="3" t="s">
        <v>1138</v>
      </c>
      <c r="E1310" s="3">
        <v>1309</v>
      </c>
      <c r="F1310" s="3" t="s">
        <v>3674</v>
      </c>
      <c r="G1310" s="3" t="s">
        <v>1097</v>
      </c>
      <c r="H1310" s="3" t="str">
        <f t="shared" si="22"/>
        <v>Data QA applied on LST_2087A_FG_FLTR, computed by BMT WinMon.</v>
      </c>
    </row>
    <row r="1311" spans="1:8" x14ac:dyDescent="0.25">
      <c r="A1311" s="3" t="s">
        <v>6983</v>
      </c>
      <c r="B1311" s="3" t="s">
        <v>6989</v>
      </c>
      <c r="C1311" s="3" t="s">
        <v>6985</v>
      </c>
      <c r="D1311" s="3" t="s">
        <v>1138</v>
      </c>
      <c r="E1311" s="3">
        <v>1310</v>
      </c>
      <c r="F1311" s="3" t="s">
        <v>3675</v>
      </c>
      <c r="G1311" s="3" t="s">
        <v>1097</v>
      </c>
      <c r="H1311" s="3" t="str">
        <f t="shared" si="22"/>
        <v>Data QA applied on LST_2170A_DSL_FUEL, computed by BMT WinMon.</v>
      </c>
    </row>
    <row r="1312" spans="1:8" x14ac:dyDescent="0.25">
      <c r="A1312" s="3" t="s">
        <v>6983</v>
      </c>
      <c r="B1312" s="3" t="s">
        <v>6989</v>
      </c>
      <c r="C1312" s="3" t="s">
        <v>6985</v>
      </c>
      <c r="D1312" s="3" t="s">
        <v>1138</v>
      </c>
      <c r="E1312" s="3">
        <v>1311</v>
      </c>
      <c r="F1312" s="3" t="s">
        <v>3676</v>
      </c>
      <c r="G1312" s="3" t="s">
        <v>1097</v>
      </c>
      <c r="H1312" s="3" t="str">
        <f t="shared" si="22"/>
        <v>Data QA applied on LST_2230A_STEAM_SEP, computed by BMT WinMon.</v>
      </c>
    </row>
    <row r="1313" spans="1:8" x14ac:dyDescent="0.25">
      <c r="A1313" s="3" t="s">
        <v>6983</v>
      </c>
      <c r="B1313" s="3" t="s">
        <v>6989</v>
      </c>
      <c r="C1313" s="3" t="s">
        <v>6985</v>
      </c>
      <c r="D1313" s="3" t="s">
        <v>1138</v>
      </c>
      <c r="E1313" s="3">
        <v>1312</v>
      </c>
      <c r="F1313" s="3" t="s">
        <v>3677</v>
      </c>
      <c r="G1313" s="3" t="s">
        <v>1097</v>
      </c>
      <c r="H1313" s="3" t="str">
        <f t="shared" si="22"/>
        <v>Data QA applied on LST_2251A_MAKE_UP_WTR, computed by BMT WinMon.</v>
      </c>
    </row>
    <row r="1314" spans="1:8" x14ac:dyDescent="0.25">
      <c r="A1314" s="3" t="s">
        <v>6983</v>
      </c>
      <c r="B1314" s="3" t="s">
        <v>6989</v>
      </c>
      <c r="C1314" s="3" t="s">
        <v>6985</v>
      </c>
      <c r="D1314" s="3" t="s">
        <v>1138</v>
      </c>
      <c r="E1314" s="3">
        <v>1313</v>
      </c>
      <c r="F1314" s="3" t="s">
        <v>3678</v>
      </c>
      <c r="G1314" s="3" t="s">
        <v>1097</v>
      </c>
      <c r="H1314" s="3" t="str">
        <f t="shared" si="22"/>
        <v>Data QA applied on LST_226A_PL_PMP_LO, computed by BMT WinMon.</v>
      </c>
    </row>
    <row r="1315" spans="1:8" x14ac:dyDescent="0.25">
      <c r="A1315" s="3" t="s">
        <v>6983</v>
      </c>
      <c r="B1315" s="3" t="s">
        <v>6989</v>
      </c>
      <c r="C1315" s="3" t="s">
        <v>6985</v>
      </c>
      <c r="D1315" s="3" t="s">
        <v>1138</v>
      </c>
      <c r="E1315" s="3">
        <v>1314</v>
      </c>
      <c r="F1315" s="3" t="s">
        <v>3679</v>
      </c>
      <c r="G1315" s="3" t="s">
        <v>1097</v>
      </c>
      <c r="H1315" s="3" t="str">
        <f t="shared" si="22"/>
        <v>Data QA applied on LST_246A_PL_PMP_LO, computed by BMT WinMon.</v>
      </c>
    </row>
    <row r="1316" spans="1:8" x14ac:dyDescent="0.25">
      <c r="A1316" s="3" t="s">
        <v>6983</v>
      </c>
      <c r="B1316" s="3" t="s">
        <v>6989</v>
      </c>
      <c r="C1316" s="3" t="s">
        <v>6985</v>
      </c>
      <c r="D1316" s="3" t="s">
        <v>1138</v>
      </c>
      <c r="E1316" s="3">
        <v>1315</v>
      </c>
      <c r="F1316" s="3" t="s">
        <v>3680</v>
      </c>
      <c r="G1316" s="3" t="s">
        <v>1097</v>
      </c>
      <c r="H1316" s="3" t="str">
        <f t="shared" si="22"/>
        <v>Data QA applied on LST_2491A_DRILL_RIG, computed by BMT WinMon.</v>
      </c>
    </row>
    <row r="1317" spans="1:8" x14ac:dyDescent="0.25">
      <c r="A1317" s="3" t="s">
        <v>6983</v>
      </c>
      <c r="B1317" s="3" t="s">
        <v>6989</v>
      </c>
      <c r="C1317" s="3" t="s">
        <v>6985</v>
      </c>
      <c r="D1317" s="3" t="s">
        <v>1138</v>
      </c>
      <c r="E1317" s="3">
        <v>1316</v>
      </c>
      <c r="F1317" s="3" t="s">
        <v>3681</v>
      </c>
      <c r="G1317" s="3" t="s">
        <v>1097</v>
      </c>
      <c r="H1317" s="3" t="str">
        <f t="shared" si="22"/>
        <v>Data QA applied on LST_2605A_LDHI_TNK, computed by BMT WinMon.</v>
      </c>
    </row>
    <row r="1318" spans="1:8" x14ac:dyDescent="0.25">
      <c r="A1318" s="3" t="s">
        <v>6983</v>
      </c>
      <c r="B1318" s="3" t="s">
        <v>6989</v>
      </c>
      <c r="C1318" s="3" t="s">
        <v>6985</v>
      </c>
      <c r="D1318" s="3" t="s">
        <v>1138</v>
      </c>
      <c r="E1318" s="3">
        <v>1317</v>
      </c>
      <c r="F1318" s="3" t="s">
        <v>3682</v>
      </c>
      <c r="G1318" s="3" t="s">
        <v>1097</v>
      </c>
      <c r="H1318" s="3" t="str">
        <f t="shared" si="22"/>
        <v>Data QA applied on LST_2831A_Glycol, computed by BMT WinMon.</v>
      </c>
    </row>
    <row r="1319" spans="1:8" x14ac:dyDescent="0.25">
      <c r="A1319" s="3" t="s">
        <v>6983</v>
      </c>
      <c r="B1319" s="3" t="s">
        <v>6989</v>
      </c>
      <c r="C1319" s="3" t="s">
        <v>6985</v>
      </c>
      <c r="D1319" s="3" t="s">
        <v>1138</v>
      </c>
      <c r="E1319" s="3">
        <v>1318</v>
      </c>
      <c r="F1319" s="3" t="s">
        <v>3683</v>
      </c>
      <c r="G1319" s="3" t="s">
        <v>1097</v>
      </c>
      <c r="H1319" s="3" t="str">
        <f t="shared" si="22"/>
        <v>Data QA applied on LST_2840A_GLY_COND, computed by BMT WinMon.</v>
      </c>
    </row>
    <row r="1320" spans="1:8" x14ac:dyDescent="0.25">
      <c r="A1320" s="3" t="s">
        <v>6983</v>
      </c>
      <c r="B1320" s="3" t="s">
        <v>6989</v>
      </c>
      <c r="C1320" s="3" t="s">
        <v>6985</v>
      </c>
      <c r="D1320" s="3" t="s">
        <v>1138</v>
      </c>
      <c r="E1320" s="3">
        <v>1319</v>
      </c>
      <c r="F1320" s="3" t="s">
        <v>3684</v>
      </c>
      <c r="G1320" s="3" t="s">
        <v>1097</v>
      </c>
      <c r="H1320" s="3" t="str">
        <f t="shared" si="22"/>
        <v>Data QA applied on LST_300A_BOT_GAS_SIDE, computed by BMT WinMon.</v>
      </c>
    </row>
    <row r="1321" spans="1:8" x14ac:dyDescent="0.25">
      <c r="A1321" s="3" t="s">
        <v>6983</v>
      </c>
      <c r="B1321" s="3" t="s">
        <v>6989</v>
      </c>
      <c r="C1321" s="3" t="s">
        <v>6985</v>
      </c>
      <c r="D1321" s="3" t="s">
        <v>1138</v>
      </c>
      <c r="E1321" s="3">
        <v>1320</v>
      </c>
      <c r="F1321" s="3" t="s">
        <v>3685</v>
      </c>
      <c r="G1321" s="3" t="s">
        <v>1097</v>
      </c>
      <c r="H1321" s="3" t="str">
        <f t="shared" si="22"/>
        <v>Data QA applied on LST_300C_BOT_GRID, computed by BMT WinMon.</v>
      </c>
    </row>
    <row r="1322" spans="1:8" x14ac:dyDescent="0.25">
      <c r="A1322" s="3" t="s">
        <v>6983</v>
      </c>
      <c r="B1322" s="3" t="s">
        <v>6989</v>
      </c>
      <c r="C1322" s="3" t="s">
        <v>6985</v>
      </c>
      <c r="D1322" s="3" t="s">
        <v>1138</v>
      </c>
      <c r="E1322" s="3">
        <v>1321</v>
      </c>
      <c r="F1322" s="3" t="s">
        <v>3686</v>
      </c>
      <c r="G1322" s="3" t="s">
        <v>1097</v>
      </c>
      <c r="H1322" s="3" t="str">
        <f t="shared" si="22"/>
        <v>Data QA applied on LST_320A_WOT, computed by BMT WinMon.</v>
      </c>
    </row>
    <row r="1323" spans="1:8" x14ac:dyDescent="0.25">
      <c r="A1323" s="3" t="s">
        <v>6983</v>
      </c>
      <c r="B1323" s="3" t="s">
        <v>6989</v>
      </c>
      <c r="C1323" s="3" t="s">
        <v>6985</v>
      </c>
      <c r="D1323" s="3" t="s">
        <v>1138</v>
      </c>
      <c r="E1323" s="3">
        <v>1322</v>
      </c>
      <c r="F1323" s="3" t="s">
        <v>3687</v>
      </c>
      <c r="G1323" s="3" t="s">
        <v>1097</v>
      </c>
      <c r="H1323" s="3" t="str">
        <f t="shared" si="22"/>
        <v>Data QA applied on LST_330A_DOT, computed by BMT WinMon.</v>
      </c>
    </row>
    <row r="1324" spans="1:8" x14ac:dyDescent="0.25">
      <c r="A1324" s="3" t="s">
        <v>6983</v>
      </c>
      <c r="B1324" s="3" t="s">
        <v>6989</v>
      </c>
      <c r="C1324" s="3" t="s">
        <v>6985</v>
      </c>
      <c r="D1324" s="3" t="s">
        <v>1138</v>
      </c>
      <c r="E1324" s="3">
        <v>1323</v>
      </c>
      <c r="F1324" s="3" t="s">
        <v>3688</v>
      </c>
      <c r="G1324" s="3" t="s">
        <v>1097</v>
      </c>
      <c r="H1324" s="3" t="str">
        <f t="shared" si="22"/>
        <v>Data QA applied on LST_410A_FU, computed by BMT WinMon.</v>
      </c>
    </row>
    <row r="1325" spans="1:8" x14ac:dyDescent="0.25">
      <c r="A1325" s="3" t="s">
        <v>6983</v>
      </c>
      <c r="B1325" s="3" t="s">
        <v>6989</v>
      </c>
      <c r="C1325" s="3" t="s">
        <v>6985</v>
      </c>
      <c r="D1325" s="3" t="s">
        <v>1138</v>
      </c>
      <c r="E1325" s="3">
        <v>1324</v>
      </c>
      <c r="F1325" s="3" t="s">
        <v>3689</v>
      </c>
      <c r="G1325" s="3" t="s">
        <v>1097</v>
      </c>
      <c r="H1325" s="3" t="str">
        <f t="shared" si="22"/>
        <v>Data QA applied on LST_410B_FU_OIL, computed by BMT WinMon.</v>
      </c>
    </row>
    <row r="1326" spans="1:8" x14ac:dyDescent="0.25">
      <c r="A1326" s="3" t="s">
        <v>6983</v>
      </c>
      <c r="B1326" s="3" t="s">
        <v>6989</v>
      </c>
      <c r="C1326" s="3" t="s">
        <v>6985</v>
      </c>
      <c r="D1326" s="3" t="s">
        <v>1138</v>
      </c>
      <c r="E1326" s="3">
        <v>1325</v>
      </c>
      <c r="F1326" s="3" t="s">
        <v>3690</v>
      </c>
      <c r="G1326" s="3" t="s">
        <v>1097</v>
      </c>
      <c r="H1326" s="3" t="str">
        <f t="shared" si="22"/>
        <v>Data QA applied on LST_420A_FU, computed by BMT WinMon.</v>
      </c>
    </row>
    <row r="1327" spans="1:8" x14ac:dyDescent="0.25">
      <c r="A1327" s="3" t="s">
        <v>6983</v>
      </c>
      <c r="B1327" s="3" t="s">
        <v>6989</v>
      </c>
      <c r="C1327" s="3" t="s">
        <v>6985</v>
      </c>
      <c r="D1327" s="3" t="s">
        <v>1138</v>
      </c>
      <c r="E1327" s="3">
        <v>1326</v>
      </c>
      <c r="F1327" s="3" t="s">
        <v>3691</v>
      </c>
      <c r="G1327" s="3" t="s">
        <v>1097</v>
      </c>
      <c r="H1327" s="3" t="str">
        <f t="shared" si="22"/>
        <v>Data QA applied on LST_420B_FU, computed by BMT WinMon.</v>
      </c>
    </row>
    <row r="1328" spans="1:8" x14ac:dyDescent="0.25">
      <c r="A1328" s="3" t="s">
        <v>6983</v>
      </c>
      <c r="B1328" s="3" t="s">
        <v>6989</v>
      </c>
      <c r="C1328" s="3" t="s">
        <v>6985</v>
      </c>
      <c r="D1328" s="3" t="s">
        <v>1138</v>
      </c>
      <c r="E1328" s="3">
        <v>1327</v>
      </c>
      <c r="F1328" s="3" t="s">
        <v>3692</v>
      </c>
      <c r="G1328" s="3" t="s">
        <v>1097</v>
      </c>
      <c r="H1328" s="3" t="str">
        <f t="shared" si="22"/>
        <v>Data QA applied on LST_500A1_FLARE, computed by BMT WinMon.</v>
      </c>
    </row>
    <row r="1329" spans="1:8" x14ac:dyDescent="0.25">
      <c r="A1329" s="3" t="s">
        <v>6983</v>
      </c>
      <c r="B1329" s="3" t="s">
        <v>6989</v>
      </c>
      <c r="C1329" s="3" t="s">
        <v>6985</v>
      </c>
      <c r="D1329" s="3" t="s">
        <v>1138</v>
      </c>
      <c r="E1329" s="3">
        <v>1328</v>
      </c>
      <c r="F1329" s="3" t="s">
        <v>3693</v>
      </c>
      <c r="G1329" s="3" t="s">
        <v>1097</v>
      </c>
      <c r="H1329" s="3" t="str">
        <f t="shared" si="22"/>
        <v>Data QA applied on LST_500A2_FLARE, computed by BMT WinMon.</v>
      </c>
    </row>
    <row r="1330" spans="1:8" x14ac:dyDescent="0.25">
      <c r="A1330" s="3" t="s">
        <v>6983</v>
      </c>
      <c r="B1330" s="3" t="s">
        <v>6989</v>
      </c>
      <c r="C1330" s="3" t="s">
        <v>6985</v>
      </c>
      <c r="D1330" s="3" t="s">
        <v>1138</v>
      </c>
      <c r="E1330" s="3">
        <v>1329</v>
      </c>
      <c r="F1330" s="3" t="s">
        <v>3694</v>
      </c>
      <c r="G1330" s="3" t="s">
        <v>1097</v>
      </c>
      <c r="H1330" s="3" t="str">
        <f t="shared" si="22"/>
        <v>Data QA applied on LST_500A3_FLARE, computed by BMT WinMon.</v>
      </c>
    </row>
    <row r="1331" spans="1:8" x14ac:dyDescent="0.25">
      <c r="A1331" s="3" t="s">
        <v>6983</v>
      </c>
      <c r="B1331" s="3" t="s">
        <v>6989</v>
      </c>
      <c r="C1331" s="3" t="s">
        <v>6985</v>
      </c>
      <c r="D1331" s="3" t="s">
        <v>1138</v>
      </c>
      <c r="E1331" s="3">
        <v>1330</v>
      </c>
      <c r="F1331" s="3" t="s">
        <v>3695</v>
      </c>
      <c r="G1331" s="3" t="s">
        <v>1097</v>
      </c>
      <c r="H1331" s="3" t="str">
        <f t="shared" si="22"/>
        <v>Data QA applied on LST_5360A_DSL_TNK, computed by BMT WinMon.</v>
      </c>
    </row>
    <row r="1332" spans="1:8" x14ac:dyDescent="0.25">
      <c r="A1332" s="3" t="s">
        <v>6983</v>
      </c>
      <c r="B1332" s="3" t="s">
        <v>6989</v>
      </c>
      <c r="C1332" s="3" t="s">
        <v>6985</v>
      </c>
      <c r="D1332" s="3" t="s">
        <v>1138</v>
      </c>
      <c r="E1332" s="3">
        <v>1331</v>
      </c>
      <c r="F1332" s="3" t="s">
        <v>3696</v>
      </c>
      <c r="G1332" s="3" t="s">
        <v>1097</v>
      </c>
      <c r="H1332" s="3" t="str">
        <f t="shared" si="22"/>
        <v>Data QA applied on LST_600A_HP_CLSCNG, computed by BMT WinMon.</v>
      </c>
    </row>
    <row r="1333" spans="1:8" x14ac:dyDescent="0.25">
      <c r="A1333" s="3" t="s">
        <v>6983</v>
      </c>
      <c r="B1333" s="3" t="s">
        <v>6989</v>
      </c>
      <c r="C1333" s="3" t="s">
        <v>6985</v>
      </c>
      <c r="D1333" s="3" t="s">
        <v>1138</v>
      </c>
      <c r="E1333" s="3">
        <v>1332</v>
      </c>
      <c r="F1333" s="3" t="s">
        <v>3697</v>
      </c>
      <c r="G1333" s="3" t="s">
        <v>1097</v>
      </c>
      <c r="H1333" s="3" t="str">
        <f t="shared" si="22"/>
        <v>Data QA applied on LST_610A_GLY_CNTCR, computed by BMT WinMon.</v>
      </c>
    </row>
    <row r="1334" spans="1:8" x14ac:dyDescent="0.25">
      <c r="A1334" s="3" t="s">
        <v>6983</v>
      </c>
      <c r="B1334" s="3" t="s">
        <v>6989</v>
      </c>
      <c r="C1334" s="3" t="s">
        <v>6985</v>
      </c>
      <c r="D1334" s="3" t="s">
        <v>1138</v>
      </c>
      <c r="E1334" s="3">
        <v>1333</v>
      </c>
      <c r="F1334" s="3" t="s">
        <v>3698</v>
      </c>
      <c r="G1334" s="3" t="s">
        <v>1097</v>
      </c>
      <c r="H1334" s="3" t="str">
        <f t="shared" si="22"/>
        <v>Data QA applied on LST_903A_VRU_A1, computed by BMT WinMon.</v>
      </c>
    </row>
    <row r="1335" spans="1:8" x14ac:dyDescent="0.25">
      <c r="A1335" s="3" t="s">
        <v>6983</v>
      </c>
      <c r="B1335" s="3" t="s">
        <v>6989</v>
      </c>
      <c r="C1335" s="3" t="s">
        <v>6985</v>
      </c>
      <c r="D1335" s="3" t="s">
        <v>1138</v>
      </c>
      <c r="E1335" s="3">
        <v>1334</v>
      </c>
      <c r="F1335" s="3" t="s">
        <v>3699</v>
      </c>
      <c r="G1335" s="3" t="s">
        <v>1097</v>
      </c>
      <c r="H1335" s="3" t="str">
        <f t="shared" si="22"/>
        <v>Data QA applied on LST_907A_VRU_A1_DSCH, computed by BMT WinMon.</v>
      </c>
    </row>
    <row r="1336" spans="1:8" x14ac:dyDescent="0.25">
      <c r="A1336" s="3" t="s">
        <v>6983</v>
      </c>
      <c r="B1336" s="3" t="s">
        <v>6989</v>
      </c>
      <c r="C1336" s="3" t="s">
        <v>6985</v>
      </c>
      <c r="D1336" s="3" t="s">
        <v>1138</v>
      </c>
      <c r="E1336" s="3">
        <v>1335</v>
      </c>
      <c r="F1336" s="3" t="s">
        <v>3700</v>
      </c>
      <c r="G1336" s="3" t="s">
        <v>1097</v>
      </c>
      <c r="H1336" s="3" t="str">
        <f t="shared" si="22"/>
        <v>Data QA applied on LST_908A_VRU_A2, computed by BMT WinMon.</v>
      </c>
    </row>
    <row r="1337" spans="1:8" x14ac:dyDescent="0.25">
      <c r="A1337" s="3" t="s">
        <v>6983</v>
      </c>
      <c r="B1337" s="3" t="s">
        <v>6989</v>
      </c>
      <c r="C1337" s="3" t="s">
        <v>6985</v>
      </c>
      <c r="D1337" s="3" t="s">
        <v>1138</v>
      </c>
      <c r="E1337" s="3">
        <v>1336</v>
      </c>
      <c r="F1337" s="3" t="s">
        <v>3701</v>
      </c>
      <c r="G1337" s="3" t="s">
        <v>1097</v>
      </c>
      <c r="H1337" s="3" t="str">
        <f t="shared" si="22"/>
        <v>Data QA applied on LST_913A_VRU_A2_DSCH, computed by BMT WinMon.</v>
      </c>
    </row>
    <row r="1338" spans="1:8" x14ac:dyDescent="0.25">
      <c r="A1338" s="3" t="s">
        <v>6983</v>
      </c>
      <c r="B1338" s="3" t="s">
        <v>6989</v>
      </c>
      <c r="C1338" s="3" t="s">
        <v>6985</v>
      </c>
      <c r="D1338" s="3" t="s">
        <v>1138</v>
      </c>
      <c r="E1338" s="3">
        <v>1337</v>
      </c>
      <c r="F1338" s="3" t="s">
        <v>3702</v>
      </c>
      <c r="G1338" s="3" t="s">
        <v>1097</v>
      </c>
      <c r="H1338" s="3" t="str">
        <f t="shared" si="22"/>
        <v>Data QA applied on LST_920A_VRU_A_LO, computed by BMT WinMon.</v>
      </c>
    </row>
    <row r="1339" spans="1:8" x14ac:dyDescent="0.25">
      <c r="A1339" s="3" t="s">
        <v>6983</v>
      </c>
      <c r="B1339" s="3" t="s">
        <v>6989</v>
      </c>
      <c r="C1339" s="3" t="s">
        <v>6985</v>
      </c>
      <c r="D1339" s="3" t="s">
        <v>1138</v>
      </c>
      <c r="E1339" s="3">
        <v>1338</v>
      </c>
      <c r="F1339" s="3" t="s">
        <v>3703</v>
      </c>
      <c r="G1339" s="3" t="s">
        <v>1097</v>
      </c>
      <c r="H1339" s="3" t="str">
        <f t="shared" si="22"/>
        <v>Data QA applied on LST_953A_VRU_B1, computed by BMT WinMon.</v>
      </c>
    </row>
    <row r="1340" spans="1:8" x14ac:dyDescent="0.25">
      <c r="A1340" s="3" t="s">
        <v>6983</v>
      </c>
      <c r="B1340" s="3" t="s">
        <v>6989</v>
      </c>
      <c r="C1340" s="3" t="s">
        <v>6985</v>
      </c>
      <c r="D1340" s="3" t="s">
        <v>1138</v>
      </c>
      <c r="E1340" s="3">
        <v>1339</v>
      </c>
      <c r="F1340" s="3" t="s">
        <v>3704</v>
      </c>
      <c r="G1340" s="3" t="s">
        <v>1097</v>
      </c>
      <c r="H1340" s="3" t="str">
        <f t="shared" si="22"/>
        <v>Data QA applied on LST_957A_VRU_B1_DSCH, computed by BMT WinMon.</v>
      </c>
    </row>
    <row r="1341" spans="1:8" x14ac:dyDescent="0.25">
      <c r="A1341" s="3" t="s">
        <v>6983</v>
      </c>
      <c r="B1341" s="3" t="s">
        <v>6989</v>
      </c>
      <c r="C1341" s="3" t="s">
        <v>6985</v>
      </c>
      <c r="D1341" s="3" t="s">
        <v>1138</v>
      </c>
      <c r="E1341" s="3">
        <v>1340</v>
      </c>
      <c r="F1341" s="3" t="s">
        <v>3705</v>
      </c>
      <c r="G1341" s="3" t="s">
        <v>1097</v>
      </c>
      <c r="H1341" s="3" t="str">
        <f t="shared" si="22"/>
        <v>Data QA applied on LST_958A_VRU_B2, computed by BMT WinMon.</v>
      </c>
    </row>
    <row r="1342" spans="1:8" x14ac:dyDescent="0.25">
      <c r="A1342" s="3" t="s">
        <v>6983</v>
      </c>
      <c r="B1342" s="3" t="s">
        <v>6989</v>
      </c>
      <c r="C1342" s="3" t="s">
        <v>6985</v>
      </c>
      <c r="D1342" s="3" t="s">
        <v>1138</v>
      </c>
      <c r="E1342" s="3">
        <v>1341</v>
      </c>
      <c r="F1342" s="3" t="s">
        <v>3706</v>
      </c>
      <c r="G1342" s="3" t="s">
        <v>1097</v>
      </c>
      <c r="H1342" s="3" t="str">
        <f t="shared" si="22"/>
        <v>Data QA applied on LST_963A_VRU_B2_DSCH, computed by BMT WinMon.</v>
      </c>
    </row>
    <row r="1343" spans="1:8" x14ac:dyDescent="0.25">
      <c r="A1343" s="3" t="s">
        <v>6983</v>
      </c>
      <c r="B1343" s="3" t="s">
        <v>6989</v>
      </c>
      <c r="C1343" s="3" t="s">
        <v>6985</v>
      </c>
      <c r="D1343" s="3" t="s">
        <v>1138</v>
      </c>
      <c r="E1343" s="3">
        <v>1342</v>
      </c>
      <c r="F1343" s="3" t="s">
        <v>3707</v>
      </c>
      <c r="G1343" s="3" t="s">
        <v>1097</v>
      </c>
      <c r="H1343" s="3" t="str">
        <f t="shared" si="22"/>
        <v>Data QA applied on LST_970A_VRU_B_LO, computed by BMT WinMon.</v>
      </c>
    </row>
    <row r="1344" spans="1:8" x14ac:dyDescent="0.25">
      <c r="A1344" s="3" t="s">
        <v>6983</v>
      </c>
      <c r="B1344" s="3" t="s">
        <v>6989</v>
      </c>
      <c r="C1344" s="3" t="s">
        <v>6985</v>
      </c>
      <c r="D1344" s="3" t="s">
        <v>1138</v>
      </c>
      <c r="E1344" s="3">
        <v>1343</v>
      </c>
      <c r="F1344" s="3" t="s">
        <v>3708</v>
      </c>
      <c r="G1344" s="3" t="s">
        <v>1097</v>
      </c>
      <c r="H1344" s="3" t="str">
        <f t="shared" si="22"/>
        <v>Data QA applied on LT_1007A1_FGC_A1, computed by BMT WinMon.</v>
      </c>
    </row>
    <row r="1345" spans="1:8" x14ac:dyDescent="0.25">
      <c r="A1345" s="3" t="s">
        <v>6983</v>
      </c>
      <c r="B1345" s="3" t="s">
        <v>6989</v>
      </c>
      <c r="C1345" s="3" t="s">
        <v>6985</v>
      </c>
      <c r="D1345" s="3" t="s">
        <v>1138</v>
      </c>
      <c r="E1345" s="3">
        <v>1344</v>
      </c>
      <c r="F1345" s="3" t="s">
        <v>3709</v>
      </c>
      <c r="G1345" s="3" t="s">
        <v>1097</v>
      </c>
      <c r="H1345" s="3" t="str">
        <f t="shared" ref="H1345:H1408" si="23">_xlfn.CONCAT("Data QA applied on ",_xlfn.TEXTAFTER(F1345,"OL "), ", computed by BMT WinMon.")</f>
        <v>Data QA applied on LT_100A1_Freewtr, computed by BMT WinMon.</v>
      </c>
    </row>
    <row r="1346" spans="1:8" x14ac:dyDescent="0.25">
      <c r="A1346" s="3" t="s">
        <v>6983</v>
      </c>
      <c r="B1346" s="3" t="s">
        <v>6989</v>
      </c>
      <c r="C1346" s="3" t="s">
        <v>6985</v>
      </c>
      <c r="D1346" s="3" t="s">
        <v>1138</v>
      </c>
      <c r="E1346" s="3">
        <v>1345</v>
      </c>
      <c r="F1346" s="3" t="s">
        <v>3710</v>
      </c>
      <c r="G1346" s="3" t="s">
        <v>1097</v>
      </c>
      <c r="H1346" s="3" t="str">
        <f t="shared" si="23"/>
        <v>Data QA applied on LT_1016A1_FGC_A2, computed by BMT WinMon.</v>
      </c>
    </row>
    <row r="1347" spans="1:8" x14ac:dyDescent="0.25">
      <c r="A1347" s="3" t="s">
        <v>6983</v>
      </c>
      <c r="B1347" s="3" t="s">
        <v>6989</v>
      </c>
      <c r="C1347" s="3" t="s">
        <v>6985</v>
      </c>
      <c r="D1347" s="3" t="s">
        <v>1138</v>
      </c>
      <c r="E1347" s="3">
        <v>1346</v>
      </c>
      <c r="F1347" s="3" t="s">
        <v>3711</v>
      </c>
      <c r="G1347" s="3" t="s">
        <v>1097</v>
      </c>
      <c r="H1347" s="3" t="str">
        <f t="shared" si="23"/>
        <v>Data QA applied on LT_1057A1_FGC_B1, computed by BMT WinMon.</v>
      </c>
    </row>
    <row r="1348" spans="1:8" x14ac:dyDescent="0.25">
      <c r="A1348" s="3" t="s">
        <v>6983</v>
      </c>
      <c r="B1348" s="3" t="s">
        <v>6989</v>
      </c>
      <c r="C1348" s="3" t="s">
        <v>6985</v>
      </c>
      <c r="D1348" s="3" t="s">
        <v>1138</v>
      </c>
      <c r="E1348" s="3">
        <v>1347</v>
      </c>
      <c r="F1348" s="3" t="s">
        <v>3712</v>
      </c>
      <c r="G1348" s="3" t="s">
        <v>1097</v>
      </c>
      <c r="H1348" s="3" t="str">
        <f t="shared" si="23"/>
        <v>Data QA applied on LT_1066A1_FGC_B2, computed by BMT WinMon.</v>
      </c>
    </row>
    <row r="1349" spans="1:8" x14ac:dyDescent="0.25">
      <c r="A1349" s="3" t="s">
        <v>6983</v>
      </c>
      <c r="B1349" s="3" t="s">
        <v>6989</v>
      </c>
      <c r="C1349" s="3" t="s">
        <v>6985</v>
      </c>
      <c r="D1349" s="3" t="s">
        <v>1138</v>
      </c>
      <c r="E1349" s="3">
        <v>1348</v>
      </c>
      <c r="F1349" s="3" t="s">
        <v>3713</v>
      </c>
      <c r="G1349" s="3" t="s">
        <v>1097</v>
      </c>
      <c r="H1349" s="3" t="str">
        <f t="shared" si="23"/>
        <v>Data QA applied on LT_1101A1_GLC, computed by BMT WinMon.</v>
      </c>
    </row>
    <row r="1350" spans="1:8" x14ac:dyDescent="0.25">
      <c r="A1350" s="3" t="s">
        <v>6983</v>
      </c>
      <c r="B1350" s="3" t="s">
        <v>6989</v>
      </c>
      <c r="C1350" s="3" t="s">
        <v>6985</v>
      </c>
      <c r="D1350" s="3" t="s">
        <v>1138</v>
      </c>
      <c r="E1350" s="3">
        <v>1349</v>
      </c>
      <c r="F1350" s="3" t="s">
        <v>3714</v>
      </c>
      <c r="G1350" s="3" t="s">
        <v>1097</v>
      </c>
      <c r="H1350" s="3" t="str">
        <f t="shared" si="23"/>
        <v>Data QA applied on LT_110A1_HP_Sep, computed by BMT WinMon.</v>
      </c>
    </row>
    <row r="1351" spans="1:8" x14ac:dyDescent="0.25">
      <c r="A1351" s="3" t="s">
        <v>6983</v>
      </c>
      <c r="B1351" s="3" t="s">
        <v>6989</v>
      </c>
      <c r="C1351" s="3" t="s">
        <v>6985</v>
      </c>
      <c r="D1351" s="3" t="s">
        <v>1138</v>
      </c>
      <c r="E1351" s="3">
        <v>1350</v>
      </c>
      <c r="F1351" s="3" t="s">
        <v>3715</v>
      </c>
      <c r="G1351" s="3" t="s">
        <v>1097</v>
      </c>
      <c r="H1351" s="3" t="str">
        <f t="shared" si="23"/>
        <v>Data QA applied on LT_1153A1_PRE_SMP_OIL, computed by BMT WinMon.</v>
      </c>
    </row>
    <row r="1352" spans="1:8" x14ac:dyDescent="0.25">
      <c r="A1352" s="3" t="s">
        <v>6983</v>
      </c>
      <c r="B1352" s="3" t="s">
        <v>6989</v>
      </c>
      <c r="C1352" s="3" t="s">
        <v>6985</v>
      </c>
      <c r="D1352" s="3" t="s">
        <v>1138</v>
      </c>
      <c r="E1352" s="3">
        <v>1351</v>
      </c>
      <c r="F1352" s="3" t="s">
        <v>3716</v>
      </c>
      <c r="G1352" s="3" t="s">
        <v>1097</v>
      </c>
      <c r="H1352" s="3" t="str">
        <f t="shared" si="23"/>
        <v>Data QA applied on LT_1153B1_PRE_SMP, computed by BMT WinMon.</v>
      </c>
    </row>
    <row r="1353" spans="1:8" x14ac:dyDescent="0.25">
      <c r="A1353" s="3" t="s">
        <v>6983</v>
      </c>
      <c r="B1353" s="3" t="s">
        <v>6989</v>
      </c>
      <c r="C1353" s="3" t="s">
        <v>6985</v>
      </c>
      <c r="D1353" s="3" t="s">
        <v>1138</v>
      </c>
      <c r="E1353" s="3">
        <v>1352</v>
      </c>
      <c r="F1353" s="3" t="s">
        <v>3717</v>
      </c>
      <c r="G1353" s="3" t="s">
        <v>1097</v>
      </c>
      <c r="H1353" s="3" t="str">
        <f t="shared" si="23"/>
        <v>Data QA applied on LT_1166A1_Dry_Oil, computed by BMT WinMon.</v>
      </c>
    </row>
    <row r="1354" spans="1:8" x14ac:dyDescent="0.25">
      <c r="A1354" s="3" t="s">
        <v>6983</v>
      </c>
      <c r="B1354" s="3" t="s">
        <v>6989</v>
      </c>
      <c r="C1354" s="3" t="s">
        <v>6985</v>
      </c>
      <c r="D1354" s="3" t="s">
        <v>1138</v>
      </c>
      <c r="E1354" s="3">
        <v>1353</v>
      </c>
      <c r="F1354" s="3" t="s">
        <v>3718</v>
      </c>
      <c r="G1354" s="3" t="s">
        <v>1097</v>
      </c>
      <c r="H1354" s="3" t="str">
        <f t="shared" si="23"/>
        <v>Data QA applied on LT_120A1_Well_Test, computed by BMT WinMon.</v>
      </c>
    </row>
    <row r="1355" spans="1:8" x14ac:dyDescent="0.25">
      <c r="A1355" s="3" t="s">
        <v>6983</v>
      </c>
      <c r="B1355" s="3" t="s">
        <v>6989</v>
      </c>
      <c r="C1355" s="3" t="s">
        <v>6985</v>
      </c>
      <c r="D1355" s="3" t="s">
        <v>1138</v>
      </c>
      <c r="E1355" s="3">
        <v>1354</v>
      </c>
      <c r="F1355" s="3" t="s">
        <v>3719</v>
      </c>
      <c r="G1355" s="3" t="s">
        <v>1097</v>
      </c>
      <c r="H1355" s="3" t="str">
        <f t="shared" si="23"/>
        <v>Data QA applied on LT_130A_WB_HYD, computed by BMT WinMon.</v>
      </c>
    </row>
    <row r="1356" spans="1:8" x14ac:dyDescent="0.25">
      <c r="A1356" s="3" t="s">
        <v>6983</v>
      </c>
      <c r="B1356" s="3" t="s">
        <v>6989</v>
      </c>
      <c r="C1356" s="3" t="s">
        <v>6985</v>
      </c>
      <c r="D1356" s="3" t="s">
        <v>1138</v>
      </c>
      <c r="E1356" s="3">
        <v>1355</v>
      </c>
      <c r="F1356" s="3" t="s">
        <v>3720</v>
      </c>
      <c r="G1356" s="3" t="s">
        <v>1097</v>
      </c>
      <c r="H1356" s="3" t="str">
        <f t="shared" si="23"/>
        <v>Data QA applied on LT_130B_PT_BLKG_PNL, computed by BMT WinMon.</v>
      </c>
    </row>
    <row r="1357" spans="1:8" x14ac:dyDescent="0.25">
      <c r="A1357" s="3" t="s">
        <v>6983</v>
      </c>
      <c r="B1357" s="3" t="s">
        <v>6989</v>
      </c>
      <c r="C1357" s="3" t="s">
        <v>6985</v>
      </c>
      <c r="D1357" s="3" t="s">
        <v>1138</v>
      </c>
      <c r="E1357" s="3">
        <v>1356</v>
      </c>
      <c r="F1357" s="3" t="s">
        <v>3721</v>
      </c>
      <c r="G1357" s="3" t="s">
        <v>1097</v>
      </c>
      <c r="H1357" s="3" t="str">
        <f t="shared" si="23"/>
        <v>Data QA applied on LT_2084A1_FG_SCRUB, computed by BMT WinMon.</v>
      </c>
    </row>
    <row r="1358" spans="1:8" x14ac:dyDescent="0.25">
      <c r="A1358" s="3" t="s">
        <v>6983</v>
      </c>
      <c r="B1358" s="3" t="s">
        <v>6989</v>
      </c>
      <c r="C1358" s="3" t="s">
        <v>6985</v>
      </c>
      <c r="D1358" s="3" t="s">
        <v>1138</v>
      </c>
      <c r="E1358" s="3">
        <v>1357</v>
      </c>
      <c r="F1358" s="3" t="s">
        <v>3722</v>
      </c>
      <c r="G1358" s="3" t="s">
        <v>1097</v>
      </c>
      <c r="H1358" s="3" t="str">
        <f t="shared" si="23"/>
        <v>Data QA applied on LT_2086A1_FG_FLTR, computed by BMT WinMon.</v>
      </c>
    </row>
    <row r="1359" spans="1:8" x14ac:dyDescent="0.25">
      <c r="A1359" s="3" t="s">
        <v>6983</v>
      </c>
      <c r="B1359" s="3" t="s">
        <v>6989</v>
      </c>
      <c r="C1359" s="3" t="s">
        <v>6985</v>
      </c>
      <c r="D1359" s="3" t="s">
        <v>1138</v>
      </c>
      <c r="E1359" s="3">
        <v>1358</v>
      </c>
      <c r="F1359" s="3" t="s">
        <v>3723</v>
      </c>
      <c r="G1359" s="3" t="s">
        <v>1097</v>
      </c>
      <c r="H1359" s="3" t="str">
        <f t="shared" si="23"/>
        <v>Data QA applied on LT_2086B1_FG_FLTR, computed by BMT WinMon.</v>
      </c>
    </row>
    <row r="1360" spans="1:8" x14ac:dyDescent="0.25">
      <c r="A1360" s="3" t="s">
        <v>6983</v>
      </c>
      <c r="B1360" s="3" t="s">
        <v>6989</v>
      </c>
      <c r="C1360" s="3" t="s">
        <v>6985</v>
      </c>
      <c r="D1360" s="3" t="s">
        <v>1138</v>
      </c>
      <c r="E1360" s="3">
        <v>1359</v>
      </c>
      <c r="F1360" s="3" t="s">
        <v>3724</v>
      </c>
      <c r="G1360" s="3" t="s">
        <v>1097</v>
      </c>
      <c r="H1360" s="3" t="str">
        <f t="shared" si="23"/>
        <v>Data QA applied on LT_2087A1_FG_FLTR, computed by BMT WinMon.</v>
      </c>
    </row>
    <row r="1361" spans="1:8" x14ac:dyDescent="0.25">
      <c r="A1361" s="3" t="s">
        <v>6983</v>
      </c>
      <c r="B1361" s="3" t="s">
        <v>6989</v>
      </c>
      <c r="C1361" s="3" t="s">
        <v>6985</v>
      </c>
      <c r="D1361" s="3" t="s">
        <v>1138</v>
      </c>
      <c r="E1361" s="3">
        <v>1360</v>
      </c>
      <c r="F1361" s="3" t="s">
        <v>3725</v>
      </c>
      <c r="G1361" s="3" t="s">
        <v>1097</v>
      </c>
      <c r="H1361" s="3" t="str">
        <f t="shared" si="23"/>
        <v>Data QA applied on LT_2087B1_FG_FLTR, computed by BMT WinMon.</v>
      </c>
    </row>
    <row r="1362" spans="1:8" x14ac:dyDescent="0.25">
      <c r="A1362" s="3" t="s">
        <v>6983</v>
      </c>
      <c r="B1362" s="3" t="s">
        <v>6989</v>
      </c>
      <c r="C1362" s="3" t="s">
        <v>6985</v>
      </c>
      <c r="D1362" s="3" t="s">
        <v>1138</v>
      </c>
      <c r="E1362" s="3">
        <v>1361</v>
      </c>
      <c r="F1362" s="3" t="s">
        <v>3726</v>
      </c>
      <c r="G1362" s="3" t="s">
        <v>1097</v>
      </c>
      <c r="H1362" s="3" t="str">
        <f t="shared" si="23"/>
        <v>Data QA applied on LT_2170A1_Diesel_Fuel, computed by BMT WinMon.</v>
      </c>
    </row>
    <row r="1363" spans="1:8" x14ac:dyDescent="0.25">
      <c r="A1363" s="3" t="s">
        <v>6983</v>
      </c>
      <c r="B1363" s="3" t="s">
        <v>6989</v>
      </c>
      <c r="C1363" s="3" t="s">
        <v>6985</v>
      </c>
      <c r="D1363" s="3" t="s">
        <v>1138</v>
      </c>
      <c r="E1363" s="3">
        <v>1362</v>
      </c>
      <c r="F1363" s="3" t="s">
        <v>3727</v>
      </c>
      <c r="G1363" s="3" t="s">
        <v>1097</v>
      </c>
      <c r="H1363" s="3" t="str">
        <f t="shared" si="23"/>
        <v>Data QA applied on LT_2601A1_Water, computed by BMT WinMon.</v>
      </c>
    </row>
    <row r="1364" spans="1:8" x14ac:dyDescent="0.25">
      <c r="A1364" s="3" t="s">
        <v>6983</v>
      </c>
      <c r="B1364" s="3" t="s">
        <v>6989</v>
      </c>
      <c r="C1364" s="3" t="s">
        <v>6985</v>
      </c>
      <c r="D1364" s="3" t="s">
        <v>1138</v>
      </c>
      <c r="E1364" s="3">
        <v>1363</v>
      </c>
      <c r="F1364" s="3" t="s">
        <v>3728</v>
      </c>
      <c r="G1364" s="3" t="s">
        <v>1097</v>
      </c>
      <c r="H1364" s="3" t="str">
        <f t="shared" si="23"/>
        <v>Data QA applied on LT_2602A1_Biocide, computed by BMT WinMon.</v>
      </c>
    </row>
    <row r="1365" spans="1:8" x14ac:dyDescent="0.25">
      <c r="A1365" s="3" t="s">
        <v>6983</v>
      </c>
      <c r="B1365" s="3" t="s">
        <v>6989</v>
      </c>
      <c r="C1365" s="3" t="s">
        <v>6985</v>
      </c>
      <c r="D1365" s="3" t="s">
        <v>1138</v>
      </c>
      <c r="E1365" s="3">
        <v>1364</v>
      </c>
      <c r="F1365" s="3" t="s">
        <v>3729</v>
      </c>
      <c r="G1365" s="3" t="s">
        <v>1097</v>
      </c>
      <c r="H1365" s="3" t="str">
        <f t="shared" si="23"/>
        <v>Data QA applied on LT_2603A1_Asphaltn, computed by BMT WinMon.</v>
      </c>
    </row>
    <row r="1366" spans="1:8" x14ac:dyDescent="0.25">
      <c r="A1366" s="3" t="s">
        <v>6983</v>
      </c>
      <c r="B1366" s="3" t="s">
        <v>6989</v>
      </c>
      <c r="C1366" s="3" t="s">
        <v>6985</v>
      </c>
      <c r="D1366" s="3" t="s">
        <v>1138</v>
      </c>
      <c r="E1366" s="3">
        <v>1365</v>
      </c>
      <c r="F1366" s="3" t="s">
        <v>3730</v>
      </c>
      <c r="G1366" s="3" t="s">
        <v>1097</v>
      </c>
      <c r="H1366" s="3" t="str">
        <f t="shared" si="23"/>
        <v>Data QA applied on LT_2604A1_SCALE_INH, computed by BMT WinMon.</v>
      </c>
    </row>
    <row r="1367" spans="1:8" x14ac:dyDescent="0.25">
      <c r="A1367" s="3" t="s">
        <v>6983</v>
      </c>
      <c r="B1367" s="3" t="s">
        <v>6989</v>
      </c>
      <c r="C1367" s="3" t="s">
        <v>6985</v>
      </c>
      <c r="D1367" s="3" t="s">
        <v>1138</v>
      </c>
      <c r="E1367" s="3">
        <v>1366</v>
      </c>
      <c r="F1367" s="3" t="s">
        <v>3731</v>
      </c>
      <c r="G1367" s="3" t="s">
        <v>1097</v>
      </c>
      <c r="H1367" s="3" t="str">
        <f t="shared" si="23"/>
        <v>Data QA applied on LT_2606A1_Sili_Def, computed by BMT WinMon.</v>
      </c>
    </row>
    <row r="1368" spans="1:8" x14ac:dyDescent="0.25">
      <c r="A1368" s="3" t="s">
        <v>6983</v>
      </c>
      <c r="B1368" s="3" t="s">
        <v>6989</v>
      </c>
      <c r="C1368" s="3" t="s">
        <v>6985</v>
      </c>
      <c r="D1368" s="3" t="s">
        <v>1138</v>
      </c>
      <c r="E1368" s="3">
        <v>1367</v>
      </c>
      <c r="F1368" s="3" t="s">
        <v>3732</v>
      </c>
      <c r="G1368" s="3" t="s">
        <v>1097</v>
      </c>
      <c r="H1368" s="3" t="str">
        <f t="shared" si="23"/>
        <v>Data QA applied on LT_2607A1_Asphaltn, computed by BMT WinMon.</v>
      </c>
    </row>
    <row r="1369" spans="1:8" x14ac:dyDescent="0.25">
      <c r="A1369" s="3" t="s">
        <v>6983</v>
      </c>
      <c r="B1369" s="3" t="s">
        <v>6989</v>
      </c>
      <c r="C1369" s="3" t="s">
        <v>6985</v>
      </c>
      <c r="D1369" s="3" t="s">
        <v>1138</v>
      </c>
      <c r="E1369" s="3">
        <v>1368</v>
      </c>
      <c r="F1369" s="3" t="s">
        <v>3733</v>
      </c>
      <c r="G1369" s="3" t="s">
        <v>1097</v>
      </c>
      <c r="H1369" s="3" t="str">
        <f t="shared" si="23"/>
        <v>Data QA applied on LT_2608A1_Asphaltn, computed by BMT WinMon.</v>
      </c>
    </row>
    <row r="1370" spans="1:8" x14ac:dyDescent="0.25">
      <c r="A1370" s="3" t="s">
        <v>6983</v>
      </c>
      <c r="B1370" s="3" t="s">
        <v>6989</v>
      </c>
      <c r="C1370" s="3" t="s">
        <v>6985</v>
      </c>
      <c r="D1370" s="3" t="s">
        <v>1138</v>
      </c>
      <c r="E1370" s="3">
        <v>1369</v>
      </c>
      <c r="F1370" s="3" t="s">
        <v>3734</v>
      </c>
      <c r="G1370" s="3" t="s">
        <v>1097</v>
      </c>
      <c r="H1370" s="3" t="str">
        <f t="shared" si="23"/>
        <v>Data QA applied on LT_2609A1_Asphaltn, computed by BMT WinMon.</v>
      </c>
    </row>
    <row r="1371" spans="1:8" x14ac:dyDescent="0.25">
      <c r="A1371" s="3" t="s">
        <v>6983</v>
      </c>
      <c r="B1371" s="3" t="s">
        <v>6989</v>
      </c>
      <c r="C1371" s="3" t="s">
        <v>6985</v>
      </c>
      <c r="D1371" s="3" t="s">
        <v>1138</v>
      </c>
      <c r="E1371" s="3">
        <v>1370</v>
      </c>
      <c r="F1371" s="3" t="s">
        <v>3735</v>
      </c>
      <c r="G1371" s="3" t="s">
        <v>1097</v>
      </c>
      <c r="H1371" s="3" t="str">
        <f t="shared" si="23"/>
        <v>Data QA applied on LT_2610A1_Fluor_Def, computed by BMT WinMon.</v>
      </c>
    </row>
    <row r="1372" spans="1:8" x14ac:dyDescent="0.25">
      <c r="A1372" s="3" t="s">
        <v>6983</v>
      </c>
      <c r="B1372" s="3" t="s">
        <v>6989</v>
      </c>
      <c r="C1372" s="3" t="s">
        <v>6985</v>
      </c>
      <c r="D1372" s="3" t="s">
        <v>1138</v>
      </c>
      <c r="E1372" s="3">
        <v>1371</v>
      </c>
      <c r="F1372" s="3" t="s">
        <v>3736</v>
      </c>
      <c r="G1372" s="3" t="s">
        <v>1097</v>
      </c>
      <c r="H1372" s="3" t="str">
        <f t="shared" si="23"/>
        <v>Data QA applied on LT_2611A1_CORR_INH, computed by BMT WinMon.</v>
      </c>
    </row>
    <row r="1373" spans="1:8" x14ac:dyDescent="0.25">
      <c r="A1373" s="3" t="s">
        <v>6983</v>
      </c>
      <c r="B1373" s="3" t="s">
        <v>6989</v>
      </c>
      <c r="C1373" s="3" t="s">
        <v>6985</v>
      </c>
      <c r="D1373" s="3" t="s">
        <v>1138</v>
      </c>
      <c r="E1373" s="3">
        <v>1372</v>
      </c>
      <c r="F1373" s="3" t="s">
        <v>3737</v>
      </c>
      <c r="G1373" s="3" t="s">
        <v>1097</v>
      </c>
      <c r="H1373" s="3" t="str">
        <f t="shared" si="23"/>
        <v>Data QA applied on LT_2612A1_CORR_INH, computed by BMT WinMon.</v>
      </c>
    </row>
    <row r="1374" spans="1:8" x14ac:dyDescent="0.25">
      <c r="A1374" s="3" t="s">
        <v>6983</v>
      </c>
      <c r="B1374" s="3" t="s">
        <v>6989</v>
      </c>
      <c r="C1374" s="3" t="s">
        <v>6985</v>
      </c>
      <c r="D1374" s="3" t="s">
        <v>1138</v>
      </c>
      <c r="E1374" s="3">
        <v>1373</v>
      </c>
      <c r="F1374" s="3" t="s">
        <v>3738</v>
      </c>
      <c r="G1374" s="3" t="s">
        <v>1097</v>
      </c>
      <c r="H1374" s="3" t="str">
        <f t="shared" si="23"/>
        <v>Data QA applied on LT_2613A1_Demulsifier, computed by BMT WinMon.</v>
      </c>
    </row>
    <row r="1375" spans="1:8" x14ac:dyDescent="0.25">
      <c r="A1375" s="3" t="s">
        <v>6983</v>
      </c>
      <c r="B1375" s="3" t="s">
        <v>6989</v>
      </c>
      <c r="C1375" s="3" t="s">
        <v>6985</v>
      </c>
      <c r="D1375" s="3" t="s">
        <v>1138</v>
      </c>
      <c r="E1375" s="3">
        <v>1374</v>
      </c>
      <c r="F1375" s="3" t="s">
        <v>3739</v>
      </c>
      <c r="G1375" s="3" t="s">
        <v>1097</v>
      </c>
      <c r="H1375" s="3" t="str">
        <f t="shared" si="23"/>
        <v>Data QA applied on LT_2721A1_Heli_Fuel, computed by BMT WinMon.</v>
      </c>
    </row>
    <row r="1376" spans="1:8" x14ac:dyDescent="0.25">
      <c r="A1376" s="3" t="s">
        <v>6983</v>
      </c>
      <c r="B1376" s="3" t="s">
        <v>6989</v>
      </c>
      <c r="C1376" s="3" t="s">
        <v>6985</v>
      </c>
      <c r="D1376" s="3" t="s">
        <v>1138</v>
      </c>
      <c r="E1376" s="3">
        <v>1375</v>
      </c>
      <c r="F1376" s="3" t="s">
        <v>3740</v>
      </c>
      <c r="G1376" s="3" t="s">
        <v>1097</v>
      </c>
      <c r="H1376" s="3" t="str">
        <f t="shared" si="23"/>
        <v>Data QA applied on LT_2722A1_Heli_Fuel, computed by BMT WinMon.</v>
      </c>
    </row>
    <row r="1377" spans="1:8" x14ac:dyDescent="0.25">
      <c r="A1377" s="3" t="s">
        <v>6983</v>
      </c>
      <c r="B1377" s="3" t="s">
        <v>6989</v>
      </c>
      <c r="C1377" s="3" t="s">
        <v>6985</v>
      </c>
      <c r="D1377" s="3" t="s">
        <v>1138</v>
      </c>
      <c r="E1377" s="3">
        <v>1376</v>
      </c>
      <c r="F1377" s="3" t="s">
        <v>3741</v>
      </c>
      <c r="G1377" s="3" t="s">
        <v>1097</v>
      </c>
      <c r="H1377" s="3" t="str">
        <f t="shared" si="23"/>
        <v>Data QA applied on LT_2723A1_Heli_Fuel, computed by BMT WinMon.</v>
      </c>
    </row>
    <row r="1378" spans="1:8" x14ac:dyDescent="0.25">
      <c r="A1378" s="3" t="s">
        <v>6983</v>
      </c>
      <c r="B1378" s="3" t="s">
        <v>6989</v>
      </c>
      <c r="C1378" s="3" t="s">
        <v>6985</v>
      </c>
      <c r="D1378" s="3" t="s">
        <v>1138</v>
      </c>
      <c r="E1378" s="3">
        <v>1377</v>
      </c>
      <c r="F1378" s="3" t="s">
        <v>3742</v>
      </c>
      <c r="G1378" s="3" t="s">
        <v>1097</v>
      </c>
      <c r="H1378" s="3" t="str">
        <f t="shared" si="23"/>
        <v>Data QA applied on LT_2825A1_GLY_RBL, computed by BMT WinMon.</v>
      </c>
    </row>
    <row r="1379" spans="1:8" x14ac:dyDescent="0.25">
      <c r="A1379" s="3" t="s">
        <v>6983</v>
      </c>
      <c r="B1379" s="3" t="s">
        <v>6989</v>
      </c>
      <c r="C1379" s="3" t="s">
        <v>6985</v>
      </c>
      <c r="D1379" s="3" t="s">
        <v>1138</v>
      </c>
      <c r="E1379" s="3">
        <v>1378</v>
      </c>
      <c r="F1379" s="3" t="s">
        <v>3743</v>
      </c>
      <c r="G1379" s="3" t="s">
        <v>1097</v>
      </c>
      <c r="H1379" s="3" t="str">
        <f t="shared" si="23"/>
        <v>Data QA applied on LT_2840A1_Separator, computed by BMT WinMon.</v>
      </c>
    </row>
    <row r="1380" spans="1:8" x14ac:dyDescent="0.25">
      <c r="A1380" s="3" t="s">
        <v>6983</v>
      </c>
      <c r="B1380" s="3" t="s">
        <v>6989</v>
      </c>
      <c r="C1380" s="3" t="s">
        <v>6985</v>
      </c>
      <c r="D1380" s="3" t="s">
        <v>1138</v>
      </c>
      <c r="E1380" s="3">
        <v>1379</v>
      </c>
      <c r="F1380" s="3" t="s">
        <v>3744</v>
      </c>
      <c r="G1380" s="3" t="s">
        <v>1097</v>
      </c>
      <c r="H1380" s="3" t="str">
        <f t="shared" si="23"/>
        <v>Data QA applied on LT_2840B1_GLY_COND, computed by BMT WinMon.</v>
      </c>
    </row>
    <row r="1381" spans="1:8" x14ac:dyDescent="0.25">
      <c r="A1381" s="3" t="s">
        <v>6983</v>
      </c>
      <c r="B1381" s="3" t="s">
        <v>6989</v>
      </c>
      <c r="C1381" s="3" t="s">
        <v>6985</v>
      </c>
      <c r="D1381" s="3" t="s">
        <v>1138</v>
      </c>
      <c r="E1381" s="3">
        <v>1380</v>
      </c>
      <c r="F1381" s="3" t="s">
        <v>3745</v>
      </c>
      <c r="G1381" s="3" t="s">
        <v>1097</v>
      </c>
      <c r="H1381" s="3" t="str">
        <f t="shared" si="23"/>
        <v>Data QA applied on LT_2881A1_Pot_Water, computed by BMT WinMon.</v>
      </c>
    </row>
    <row r="1382" spans="1:8" x14ac:dyDescent="0.25">
      <c r="A1382" s="3" t="s">
        <v>6983</v>
      </c>
      <c r="B1382" s="3" t="s">
        <v>6989</v>
      </c>
      <c r="C1382" s="3" t="s">
        <v>6985</v>
      </c>
      <c r="D1382" s="3" t="s">
        <v>1138</v>
      </c>
      <c r="E1382" s="3">
        <v>1381</v>
      </c>
      <c r="F1382" s="3" t="s">
        <v>3746</v>
      </c>
      <c r="G1382" s="3" t="s">
        <v>1097</v>
      </c>
      <c r="H1382" s="3" t="str">
        <f t="shared" si="23"/>
        <v>Data QA applied on LT_2882A1_Pot_Water, computed by BMT WinMon.</v>
      </c>
    </row>
    <row r="1383" spans="1:8" x14ac:dyDescent="0.25">
      <c r="A1383" s="3" t="s">
        <v>6983</v>
      </c>
      <c r="B1383" s="3" t="s">
        <v>6989</v>
      </c>
      <c r="C1383" s="3" t="s">
        <v>6985</v>
      </c>
      <c r="D1383" s="3" t="s">
        <v>1138</v>
      </c>
      <c r="E1383" s="3">
        <v>1382</v>
      </c>
      <c r="F1383" s="3" t="s">
        <v>3747</v>
      </c>
      <c r="G1383" s="3" t="s">
        <v>1097</v>
      </c>
      <c r="H1383" s="3" t="str">
        <f t="shared" si="23"/>
        <v>Data QA applied on LT_2883A1_Pot_Water, computed by BMT WinMon.</v>
      </c>
    </row>
    <row r="1384" spans="1:8" x14ac:dyDescent="0.25">
      <c r="A1384" s="3" t="s">
        <v>6983</v>
      </c>
      <c r="B1384" s="3" t="s">
        <v>6989</v>
      </c>
      <c r="C1384" s="3" t="s">
        <v>6985</v>
      </c>
      <c r="D1384" s="3" t="s">
        <v>1138</v>
      </c>
      <c r="E1384" s="3">
        <v>1383</v>
      </c>
      <c r="F1384" s="3" t="s">
        <v>3748</v>
      </c>
      <c r="G1384" s="3" t="s">
        <v>1097</v>
      </c>
      <c r="H1384" s="3" t="str">
        <f t="shared" si="23"/>
        <v>Data QA applied on LT_300A1_Oil_Treater, computed by BMT WinMon.</v>
      </c>
    </row>
    <row r="1385" spans="1:8" x14ac:dyDescent="0.25">
      <c r="A1385" s="3" t="s">
        <v>6983</v>
      </c>
      <c r="B1385" s="3" t="s">
        <v>6989</v>
      </c>
      <c r="C1385" s="3" t="s">
        <v>6985</v>
      </c>
      <c r="D1385" s="3" t="s">
        <v>1138</v>
      </c>
      <c r="E1385" s="3">
        <v>1384</v>
      </c>
      <c r="F1385" s="3" t="s">
        <v>3749</v>
      </c>
      <c r="G1385" s="3" t="s">
        <v>1097</v>
      </c>
      <c r="H1385" s="3" t="str">
        <f t="shared" si="23"/>
        <v>Data QA applied on LT_320A1_Wet_Oil, computed by BMT WinMon.</v>
      </c>
    </row>
    <row r="1386" spans="1:8" x14ac:dyDescent="0.25">
      <c r="A1386" s="3" t="s">
        <v>6983</v>
      </c>
      <c r="B1386" s="3" t="s">
        <v>6989</v>
      </c>
      <c r="C1386" s="3" t="s">
        <v>6985</v>
      </c>
      <c r="D1386" s="3" t="s">
        <v>1138</v>
      </c>
      <c r="E1386" s="3">
        <v>1385</v>
      </c>
      <c r="F1386" s="3" t="s">
        <v>3750</v>
      </c>
      <c r="G1386" s="3" t="s">
        <v>1097</v>
      </c>
      <c r="H1386" s="3" t="str">
        <f t="shared" si="23"/>
        <v>Data QA applied on LT_330A1_Dry_Oil, computed by BMT WinMon.</v>
      </c>
    </row>
    <row r="1387" spans="1:8" x14ac:dyDescent="0.25">
      <c r="A1387" s="3" t="s">
        <v>6983</v>
      </c>
      <c r="B1387" s="3" t="s">
        <v>6989</v>
      </c>
      <c r="C1387" s="3" t="s">
        <v>6985</v>
      </c>
      <c r="D1387" s="3" t="s">
        <v>1138</v>
      </c>
      <c r="E1387" s="3">
        <v>1386</v>
      </c>
      <c r="F1387" s="3" t="s">
        <v>3751</v>
      </c>
      <c r="G1387" s="3" t="s">
        <v>1097</v>
      </c>
      <c r="H1387" s="3" t="str">
        <f t="shared" si="23"/>
        <v>Data QA applied on LT_410A1_Flotation, computed by BMT WinMon.</v>
      </c>
    </row>
    <row r="1388" spans="1:8" x14ac:dyDescent="0.25">
      <c r="A1388" s="3" t="s">
        <v>6983</v>
      </c>
      <c r="B1388" s="3" t="s">
        <v>6989</v>
      </c>
      <c r="C1388" s="3" t="s">
        <v>6985</v>
      </c>
      <c r="D1388" s="3" t="s">
        <v>1138</v>
      </c>
      <c r="E1388" s="3">
        <v>1387</v>
      </c>
      <c r="F1388" s="3" t="s">
        <v>3752</v>
      </c>
      <c r="G1388" s="3" t="s">
        <v>1097</v>
      </c>
      <c r="H1388" s="3" t="str">
        <f t="shared" si="23"/>
        <v>Data QA applied on LT_410B1__OIL_OUT, computed by BMT WinMon.</v>
      </c>
    </row>
    <row r="1389" spans="1:8" x14ac:dyDescent="0.25">
      <c r="A1389" s="3" t="s">
        <v>6983</v>
      </c>
      <c r="B1389" s="3" t="s">
        <v>6989</v>
      </c>
      <c r="C1389" s="3" t="s">
        <v>6985</v>
      </c>
      <c r="D1389" s="3" t="s">
        <v>1138</v>
      </c>
      <c r="E1389" s="3">
        <v>1388</v>
      </c>
      <c r="F1389" s="3" t="s">
        <v>3753</v>
      </c>
      <c r="G1389" s="3" t="s">
        <v>1097</v>
      </c>
      <c r="H1389" s="3" t="str">
        <f t="shared" si="23"/>
        <v>Data QA applied on LT_420A1_WTR_OVERBRD, computed by BMT WinMon.</v>
      </c>
    </row>
    <row r="1390" spans="1:8" x14ac:dyDescent="0.25">
      <c r="A1390" s="3" t="s">
        <v>6983</v>
      </c>
      <c r="B1390" s="3" t="s">
        <v>6989</v>
      </c>
      <c r="C1390" s="3" t="s">
        <v>6985</v>
      </c>
      <c r="D1390" s="3" t="s">
        <v>1138</v>
      </c>
      <c r="E1390" s="3">
        <v>1389</v>
      </c>
      <c r="F1390" s="3" t="s">
        <v>3754</v>
      </c>
      <c r="G1390" s="3" t="s">
        <v>1097</v>
      </c>
      <c r="H1390" s="3" t="str">
        <f t="shared" si="23"/>
        <v>Data QA applied on LT_420B1_OIL_TO_WOT, computed by BMT WinMon.</v>
      </c>
    </row>
    <row r="1391" spans="1:8" x14ac:dyDescent="0.25">
      <c r="A1391" s="3" t="s">
        <v>6983</v>
      </c>
      <c r="B1391" s="3" t="s">
        <v>6989</v>
      </c>
      <c r="C1391" s="3" t="s">
        <v>6985</v>
      </c>
      <c r="D1391" s="3" t="s">
        <v>1138</v>
      </c>
      <c r="E1391" s="3">
        <v>1390</v>
      </c>
      <c r="F1391" s="3" t="s">
        <v>3755</v>
      </c>
      <c r="G1391" s="3" t="s">
        <v>1097</v>
      </c>
      <c r="H1391" s="3" t="str">
        <f t="shared" si="23"/>
        <v>Data QA applied on LT_500A1_FLR_SCRUB, computed by BMT WinMon.</v>
      </c>
    </row>
    <row r="1392" spans="1:8" x14ac:dyDescent="0.25">
      <c r="A1392" s="3" t="s">
        <v>6983</v>
      </c>
      <c r="B1392" s="3" t="s">
        <v>6989</v>
      </c>
      <c r="C1392" s="3" t="s">
        <v>6985</v>
      </c>
      <c r="D1392" s="3" t="s">
        <v>1138</v>
      </c>
      <c r="E1392" s="3">
        <v>1391</v>
      </c>
      <c r="F1392" s="3" t="s">
        <v>3756</v>
      </c>
      <c r="G1392" s="3" t="s">
        <v>1093</v>
      </c>
      <c r="H1392" s="3" t="str">
        <f t="shared" si="23"/>
        <v>Data QA applied on LT_5121A1_De_Watering, computed by BMT WinMon.</v>
      </c>
    </row>
    <row r="1393" spans="1:8" x14ac:dyDescent="0.25">
      <c r="A1393" s="3" t="s">
        <v>6983</v>
      </c>
      <c r="B1393" s="3" t="s">
        <v>6989</v>
      </c>
      <c r="C1393" s="3" t="s">
        <v>6985</v>
      </c>
      <c r="D1393" s="3" t="s">
        <v>1138</v>
      </c>
      <c r="E1393" s="3">
        <v>1392</v>
      </c>
      <c r="F1393" s="3" t="s">
        <v>3757</v>
      </c>
      <c r="G1393" s="3" t="s">
        <v>1097</v>
      </c>
      <c r="H1393" s="3" t="str">
        <f t="shared" si="23"/>
        <v>Data QA applied on LT_5160A1_METH_STRG, computed by BMT WinMon.</v>
      </c>
    </row>
    <row r="1394" spans="1:8" x14ac:dyDescent="0.25">
      <c r="A1394" s="3" t="s">
        <v>6983</v>
      </c>
      <c r="B1394" s="3" t="s">
        <v>6989</v>
      </c>
      <c r="C1394" s="3" t="s">
        <v>6985</v>
      </c>
      <c r="D1394" s="3" t="s">
        <v>1138</v>
      </c>
      <c r="E1394" s="3">
        <v>1393</v>
      </c>
      <c r="F1394" s="3" t="s">
        <v>3758</v>
      </c>
      <c r="G1394" s="3" t="s">
        <v>1097</v>
      </c>
      <c r="H1394" s="3" t="str">
        <f t="shared" si="23"/>
        <v>Data QA applied on LT_5161A1_METH_STRG, computed by BMT WinMon.</v>
      </c>
    </row>
    <row r="1395" spans="1:8" x14ac:dyDescent="0.25">
      <c r="A1395" s="3" t="s">
        <v>6983</v>
      </c>
      <c r="B1395" s="3" t="s">
        <v>6989</v>
      </c>
      <c r="C1395" s="3" t="s">
        <v>6985</v>
      </c>
      <c r="D1395" s="3" t="s">
        <v>1138</v>
      </c>
      <c r="E1395" s="3">
        <v>1394</v>
      </c>
      <c r="F1395" s="3" t="s">
        <v>3759</v>
      </c>
      <c r="G1395" s="3" t="s">
        <v>1093</v>
      </c>
      <c r="H1395" s="3" t="str">
        <f t="shared" si="23"/>
        <v>Data QA applied on LT_5221A1_De_Watering, computed by BMT WinMon.</v>
      </c>
    </row>
    <row r="1396" spans="1:8" x14ac:dyDescent="0.25">
      <c r="A1396" s="3" t="s">
        <v>6983</v>
      </c>
      <c r="B1396" s="3" t="s">
        <v>6989</v>
      </c>
      <c r="C1396" s="3" t="s">
        <v>6985</v>
      </c>
      <c r="D1396" s="3" t="s">
        <v>1138</v>
      </c>
      <c r="E1396" s="3">
        <v>1395</v>
      </c>
      <c r="F1396" s="3" t="s">
        <v>3760</v>
      </c>
      <c r="G1396" s="3" t="s">
        <v>1093</v>
      </c>
      <c r="H1396" s="3" t="str">
        <f t="shared" si="23"/>
        <v>Data QA applied on LT_5321A1_De_Watering, computed by BMT WinMon.</v>
      </c>
    </row>
    <row r="1397" spans="1:8" x14ac:dyDescent="0.25">
      <c r="A1397" s="3" t="s">
        <v>6983</v>
      </c>
      <c r="B1397" s="3" t="s">
        <v>6989</v>
      </c>
      <c r="C1397" s="3" t="s">
        <v>6985</v>
      </c>
      <c r="D1397" s="3" t="s">
        <v>1138</v>
      </c>
      <c r="E1397" s="3">
        <v>1396</v>
      </c>
      <c r="F1397" s="3" t="s">
        <v>3761</v>
      </c>
      <c r="G1397" s="3" t="s">
        <v>1097</v>
      </c>
      <c r="H1397" s="3" t="str">
        <f t="shared" si="23"/>
        <v>Data QA applied on LT_5360A1_DSL, computed by BMT WinMon.</v>
      </c>
    </row>
    <row r="1398" spans="1:8" x14ac:dyDescent="0.25">
      <c r="A1398" s="3" t="s">
        <v>6983</v>
      </c>
      <c r="B1398" s="3" t="s">
        <v>6989</v>
      </c>
      <c r="C1398" s="3" t="s">
        <v>6985</v>
      </c>
      <c r="D1398" s="3" t="s">
        <v>1138</v>
      </c>
      <c r="E1398" s="3">
        <v>1397</v>
      </c>
      <c r="F1398" s="3" t="s">
        <v>3762</v>
      </c>
      <c r="G1398" s="3" t="s">
        <v>1093</v>
      </c>
      <c r="H1398" s="3" t="str">
        <f t="shared" si="23"/>
        <v>Data QA applied on LT_5421A1_De_Watering, computed by BMT WinMon.</v>
      </c>
    </row>
    <row r="1399" spans="1:8" x14ac:dyDescent="0.25">
      <c r="A1399" s="3" t="s">
        <v>6983</v>
      </c>
      <c r="B1399" s="3" t="s">
        <v>6989</v>
      </c>
      <c r="C1399" s="3" t="s">
        <v>6985</v>
      </c>
      <c r="D1399" s="3" t="s">
        <v>1138</v>
      </c>
      <c r="E1399" s="3">
        <v>1398</v>
      </c>
      <c r="F1399" s="3" t="s">
        <v>3763</v>
      </c>
      <c r="G1399" s="3" t="s">
        <v>1097</v>
      </c>
      <c r="H1399" s="3" t="str">
        <f t="shared" si="23"/>
        <v>Data QA applied on LT_5460A1_DRILL_WTR, computed by BMT WinMon.</v>
      </c>
    </row>
    <row r="1400" spans="1:8" x14ac:dyDescent="0.25">
      <c r="A1400" s="3" t="s">
        <v>6983</v>
      </c>
      <c r="B1400" s="3" t="s">
        <v>6989</v>
      </c>
      <c r="C1400" s="3" t="s">
        <v>6985</v>
      </c>
      <c r="D1400" s="3" t="s">
        <v>1138</v>
      </c>
      <c r="E1400" s="3">
        <v>1399</v>
      </c>
      <c r="F1400" s="3" t="s">
        <v>3764</v>
      </c>
      <c r="G1400" s="3" t="s">
        <v>1097</v>
      </c>
      <c r="H1400" s="3" t="str">
        <f t="shared" si="23"/>
        <v>Data QA applied on LT_600A1_HP_CLSCNG, computed by BMT WinMon.</v>
      </c>
    </row>
    <row r="1401" spans="1:8" x14ac:dyDescent="0.25">
      <c r="A1401" s="3" t="s">
        <v>6983</v>
      </c>
      <c r="B1401" s="3" t="s">
        <v>6989</v>
      </c>
      <c r="C1401" s="3" t="s">
        <v>6985</v>
      </c>
      <c r="D1401" s="3" t="s">
        <v>1138</v>
      </c>
      <c r="E1401" s="3">
        <v>1400</v>
      </c>
      <c r="F1401" s="3" t="s">
        <v>3765</v>
      </c>
      <c r="G1401" s="3" t="s">
        <v>1097</v>
      </c>
      <c r="H1401" s="3" t="str">
        <f t="shared" si="23"/>
        <v>Data QA applied on LT_610A1_GLY_CNTCR, computed by BMT WinMon.</v>
      </c>
    </row>
    <row r="1402" spans="1:8" x14ac:dyDescent="0.25">
      <c r="A1402" s="3" t="s">
        <v>6983</v>
      </c>
      <c r="B1402" s="3" t="s">
        <v>6989</v>
      </c>
      <c r="C1402" s="3" t="s">
        <v>6985</v>
      </c>
      <c r="D1402" s="3" t="s">
        <v>1138</v>
      </c>
      <c r="E1402" s="3">
        <v>1401</v>
      </c>
      <c r="F1402" s="3" t="s">
        <v>3766</v>
      </c>
      <c r="G1402" s="3" t="s">
        <v>1097</v>
      </c>
      <c r="H1402" s="3" t="str">
        <f t="shared" si="23"/>
        <v>Data QA applied on LT_7101A1_SCSSV_HYD, computed by BMT WinMon.</v>
      </c>
    </row>
    <row r="1403" spans="1:8" x14ac:dyDescent="0.25">
      <c r="A1403" s="3" t="s">
        <v>6983</v>
      </c>
      <c r="B1403" s="3" t="s">
        <v>6989</v>
      </c>
      <c r="C1403" s="3" t="s">
        <v>6985</v>
      </c>
      <c r="D1403" s="3" t="s">
        <v>1138</v>
      </c>
      <c r="E1403" s="3">
        <v>1402</v>
      </c>
      <c r="F1403" s="3" t="s">
        <v>3767</v>
      </c>
      <c r="G1403" s="3" t="s">
        <v>1097</v>
      </c>
      <c r="H1403" s="3" t="str">
        <f t="shared" si="23"/>
        <v>Data QA applied on LT_7101B1_LP_HYD, computed by BMT WinMon.</v>
      </c>
    </row>
    <row r="1404" spans="1:8" x14ac:dyDescent="0.25">
      <c r="A1404" s="3" t="s">
        <v>6983</v>
      </c>
      <c r="B1404" s="3" t="s">
        <v>6989</v>
      </c>
      <c r="C1404" s="3" t="s">
        <v>6985</v>
      </c>
      <c r="D1404" s="3" t="s">
        <v>1138</v>
      </c>
      <c r="E1404" s="3">
        <v>1403</v>
      </c>
      <c r="F1404" s="3" t="s">
        <v>3768</v>
      </c>
      <c r="G1404" s="3" t="s">
        <v>1097</v>
      </c>
      <c r="H1404" s="3" t="str">
        <f t="shared" si="23"/>
        <v>Data QA applied on LT_7102A1_SCSSV_HYD, computed by BMT WinMon.</v>
      </c>
    </row>
    <row r="1405" spans="1:8" x14ac:dyDescent="0.25">
      <c r="A1405" s="3" t="s">
        <v>6983</v>
      </c>
      <c r="B1405" s="3" t="s">
        <v>6989</v>
      </c>
      <c r="C1405" s="3" t="s">
        <v>6985</v>
      </c>
      <c r="D1405" s="3" t="s">
        <v>1138</v>
      </c>
      <c r="E1405" s="3">
        <v>1404</v>
      </c>
      <c r="F1405" s="3" t="s">
        <v>3769</v>
      </c>
      <c r="G1405" s="3" t="s">
        <v>1097</v>
      </c>
      <c r="H1405" s="3" t="str">
        <f t="shared" si="23"/>
        <v>Data QA applied on LT_7102B1_LP_HYD, computed by BMT WinMon.</v>
      </c>
    </row>
    <row r="1406" spans="1:8" x14ac:dyDescent="0.25">
      <c r="A1406" s="3" t="s">
        <v>6983</v>
      </c>
      <c r="B1406" s="3" t="s">
        <v>6989</v>
      </c>
      <c r="C1406" s="3" t="s">
        <v>6985</v>
      </c>
      <c r="D1406" s="3" t="s">
        <v>1138</v>
      </c>
      <c r="E1406" s="3">
        <v>1405</v>
      </c>
      <c r="F1406" s="3" t="s">
        <v>3770</v>
      </c>
      <c r="G1406" s="3" t="s">
        <v>1097</v>
      </c>
      <c r="H1406" s="3" t="str">
        <f t="shared" si="23"/>
        <v>Data QA applied on LT_7103A1_SCSSV_HYD, computed by BMT WinMon.</v>
      </c>
    </row>
    <row r="1407" spans="1:8" x14ac:dyDescent="0.25">
      <c r="A1407" s="3" t="s">
        <v>6983</v>
      </c>
      <c r="B1407" s="3" t="s">
        <v>6989</v>
      </c>
      <c r="C1407" s="3" t="s">
        <v>6985</v>
      </c>
      <c r="D1407" s="3" t="s">
        <v>1138</v>
      </c>
      <c r="E1407" s="3">
        <v>1406</v>
      </c>
      <c r="F1407" s="3" t="s">
        <v>3771</v>
      </c>
      <c r="G1407" s="3" t="s">
        <v>1097</v>
      </c>
      <c r="H1407" s="3" t="str">
        <f t="shared" si="23"/>
        <v>Data QA applied on LT_7103B1_LP_HYD, computed by BMT WinMon.</v>
      </c>
    </row>
    <row r="1408" spans="1:8" x14ac:dyDescent="0.25">
      <c r="A1408" s="3" t="s">
        <v>6983</v>
      </c>
      <c r="B1408" s="3" t="s">
        <v>6989</v>
      </c>
      <c r="C1408" s="3" t="s">
        <v>6985</v>
      </c>
      <c r="D1408" s="3" t="s">
        <v>1138</v>
      </c>
      <c r="E1408" s="3">
        <v>1407</v>
      </c>
      <c r="F1408" s="3" t="s">
        <v>3772</v>
      </c>
      <c r="G1408" s="3" t="s">
        <v>1097</v>
      </c>
      <c r="H1408" s="3" t="str">
        <f t="shared" si="23"/>
        <v>Data QA applied on LT_7104A1_SCSSV_HYD, computed by BMT WinMon.</v>
      </c>
    </row>
    <row r="1409" spans="1:8" x14ac:dyDescent="0.25">
      <c r="A1409" s="3" t="s">
        <v>6983</v>
      </c>
      <c r="B1409" s="3" t="s">
        <v>6989</v>
      </c>
      <c r="C1409" s="3" t="s">
        <v>6985</v>
      </c>
      <c r="D1409" s="3" t="s">
        <v>1138</v>
      </c>
      <c r="E1409" s="3">
        <v>1408</v>
      </c>
      <c r="F1409" s="3" t="s">
        <v>3773</v>
      </c>
      <c r="G1409" s="3" t="s">
        <v>1097</v>
      </c>
      <c r="H1409" s="3" t="str">
        <f t="shared" ref="H1409:H1444" si="24">_xlfn.CONCAT("Data QA applied on ",_xlfn.TEXTAFTER(F1409,"OL "), ", computed by BMT WinMon.")</f>
        <v>Data QA applied on LT_7104B1_LP_HYD, computed by BMT WinMon.</v>
      </c>
    </row>
    <row r="1410" spans="1:8" x14ac:dyDescent="0.25">
      <c r="A1410" s="3" t="s">
        <v>6983</v>
      </c>
      <c r="B1410" s="3" t="s">
        <v>6989</v>
      </c>
      <c r="C1410" s="3" t="s">
        <v>6985</v>
      </c>
      <c r="D1410" s="3" t="s">
        <v>1138</v>
      </c>
      <c r="E1410" s="3">
        <v>1409</v>
      </c>
      <c r="F1410" s="3" t="s">
        <v>3774</v>
      </c>
      <c r="G1410" s="3" t="s">
        <v>1097</v>
      </c>
      <c r="H1410" s="3" t="str">
        <f t="shared" si="24"/>
        <v>Data QA applied on LT_907A1_VRU_A1_DSCH, computed by BMT WinMon.</v>
      </c>
    </row>
    <row r="1411" spans="1:8" x14ac:dyDescent="0.25">
      <c r="A1411" s="3" t="s">
        <v>6983</v>
      </c>
      <c r="B1411" s="3" t="s">
        <v>6989</v>
      </c>
      <c r="C1411" s="3" t="s">
        <v>6985</v>
      </c>
      <c r="D1411" s="3" t="s">
        <v>1138</v>
      </c>
      <c r="E1411" s="3">
        <v>1410</v>
      </c>
      <c r="F1411" s="3" t="s">
        <v>3775</v>
      </c>
      <c r="G1411" s="3" t="s">
        <v>1097</v>
      </c>
      <c r="H1411" s="3" t="str">
        <f t="shared" si="24"/>
        <v>Data QA applied on LT_908A1_VRU_A2, computed by BMT WinMon.</v>
      </c>
    </row>
    <row r="1412" spans="1:8" x14ac:dyDescent="0.25">
      <c r="A1412" s="3" t="s">
        <v>6983</v>
      </c>
      <c r="B1412" s="3" t="s">
        <v>6989</v>
      </c>
      <c r="C1412" s="3" t="s">
        <v>6985</v>
      </c>
      <c r="D1412" s="3" t="s">
        <v>1138</v>
      </c>
      <c r="E1412" s="3">
        <v>1411</v>
      </c>
      <c r="F1412" s="3" t="s">
        <v>3776</v>
      </c>
      <c r="G1412" s="3" t="s">
        <v>1097</v>
      </c>
      <c r="H1412" s="3" t="str">
        <f t="shared" si="24"/>
        <v>Data QA applied on LT_913A1_VRU_A2_DSCH, computed by BMT WinMon.</v>
      </c>
    </row>
    <row r="1413" spans="1:8" x14ac:dyDescent="0.25">
      <c r="A1413" s="3" t="s">
        <v>6983</v>
      </c>
      <c r="B1413" s="3" t="s">
        <v>6989</v>
      </c>
      <c r="C1413" s="3" t="s">
        <v>6985</v>
      </c>
      <c r="D1413" s="3" t="s">
        <v>1138</v>
      </c>
      <c r="E1413" s="3">
        <v>1412</v>
      </c>
      <c r="F1413" s="3" t="s">
        <v>3777</v>
      </c>
      <c r="G1413" s="3" t="s">
        <v>1097</v>
      </c>
      <c r="H1413" s="3" t="str">
        <f t="shared" si="24"/>
        <v>Data QA applied on LT_957A1_VRU_B1_DSCH, computed by BMT WinMon.</v>
      </c>
    </row>
    <row r="1414" spans="1:8" x14ac:dyDescent="0.25">
      <c r="A1414" s="3" t="s">
        <v>6983</v>
      </c>
      <c r="B1414" s="3" t="s">
        <v>6989</v>
      </c>
      <c r="C1414" s="3" t="s">
        <v>6985</v>
      </c>
      <c r="D1414" s="3" t="s">
        <v>1138</v>
      </c>
      <c r="E1414" s="3">
        <v>1413</v>
      </c>
      <c r="F1414" s="3" t="s">
        <v>3778</v>
      </c>
      <c r="G1414" s="3" t="s">
        <v>1097</v>
      </c>
      <c r="H1414" s="3" t="str">
        <f t="shared" si="24"/>
        <v>Data QA applied on LT_958A1_VRU_B2, computed by BMT WinMon.</v>
      </c>
    </row>
    <row r="1415" spans="1:8" x14ac:dyDescent="0.25">
      <c r="A1415" s="3" t="s">
        <v>6983</v>
      </c>
      <c r="B1415" s="3" t="s">
        <v>6989</v>
      </c>
      <c r="C1415" s="3" t="s">
        <v>6985</v>
      </c>
      <c r="D1415" s="3" t="s">
        <v>1138</v>
      </c>
      <c r="E1415" s="3">
        <v>1414</v>
      </c>
      <c r="F1415" s="3" t="s">
        <v>3779</v>
      </c>
      <c r="G1415" s="3" t="s">
        <v>1097</v>
      </c>
      <c r="H1415" s="3" t="str">
        <f t="shared" si="24"/>
        <v>Data QA applied on LT_963A1_VRU_B2_DSCH, computed by BMT WinMon.</v>
      </c>
    </row>
    <row r="1416" spans="1:8" x14ac:dyDescent="0.25">
      <c r="A1416" s="3" t="s">
        <v>6983</v>
      </c>
      <c r="B1416" s="3" t="s">
        <v>6989</v>
      </c>
      <c r="C1416" s="3" t="s">
        <v>6985</v>
      </c>
      <c r="D1416" s="3" t="s">
        <v>1138</v>
      </c>
      <c r="E1416" s="3">
        <v>1415</v>
      </c>
      <c r="F1416" s="3" t="s">
        <v>3780</v>
      </c>
      <c r="G1416" s="3" t="s">
        <v>1097</v>
      </c>
      <c r="H1416" s="3" t="str">
        <f t="shared" si="24"/>
        <v>Data QA applied on LT_X4300_PNL_HYD_RSVR, computed by BMT WinMon.</v>
      </c>
    </row>
    <row r="1417" spans="1:8" x14ac:dyDescent="0.25">
      <c r="A1417" s="3" t="s">
        <v>6983</v>
      </c>
      <c r="B1417" s="3" t="s">
        <v>6989</v>
      </c>
      <c r="C1417" s="3" t="s">
        <v>6985</v>
      </c>
      <c r="D1417" s="3" t="s">
        <v>1138</v>
      </c>
      <c r="E1417" s="3">
        <v>1416</v>
      </c>
      <c r="F1417" s="3" t="s">
        <v>3781</v>
      </c>
      <c r="G1417" s="3" t="s">
        <v>1093</v>
      </c>
      <c r="H1417" s="3" t="str">
        <f t="shared" si="24"/>
        <v>Data QA applied on LT_EPNB_Ballast, computed by BMT WinMon.</v>
      </c>
    </row>
    <row r="1418" spans="1:8" x14ac:dyDescent="0.25">
      <c r="A1418" s="3" t="s">
        <v>6983</v>
      </c>
      <c r="B1418" s="3" t="s">
        <v>6989</v>
      </c>
      <c r="C1418" s="3" t="s">
        <v>6985</v>
      </c>
      <c r="D1418" s="3" t="s">
        <v>1138</v>
      </c>
      <c r="E1418" s="3">
        <v>1417</v>
      </c>
      <c r="F1418" s="3" t="s">
        <v>3782</v>
      </c>
      <c r="G1418" s="3" t="s">
        <v>1093</v>
      </c>
      <c r="H1418" s="3" t="str">
        <f t="shared" si="24"/>
        <v>Data QA applied on LT_EPSB_Ballast, computed by BMT WinMon.</v>
      </c>
    </row>
    <row r="1419" spans="1:8" x14ac:dyDescent="0.25">
      <c r="A1419" s="3" t="s">
        <v>6983</v>
      </c>
      <c r="B1419" s="3" t="s">
        <v>6989</v>
      </c>
      <c r="C1419" s="3" t="s">
        <v>6985</v>
      </c>
      <c r="D1419" s="3" t="s">
        <v>1138</v>
      </c>
      <c r="E1419" s="3">
        <v>1418</v>
      </c>
      <c r="F1419" s="3" t="s">
        <v>3783</v>
      </c>
      <c r="G1419" s="3" t="s">
        <v>1093</v>
      </c>
      <c r="H1419" s="3" t="str">
        <f t="shared" si="24"/>
        <v>Data QA applied on LT_NE0BNE_Ballast, computed by BMT WinMon.</v>
      </c>
    </row>
    <row r="1420" spans="1:8" x14ac:dyDescent="0.25">
      <c r="A1420" s="3" t="s">
        <v>6983</v>
      </c>
      <c r="B1420" s="3" t="s">
        <v>6989</v>
      </c>
      <c r="C1420" s="3" t="s">
        <v>6985</v>
      </c>
      <c r="D1420" s="3" t="s">
        <v>1138</v>
      </c>
      <c r="E1420" s="3">
        <v>1419</v>
      </c>
      <c r="F1420" s="3" t="s">
        <v>3784</v>
      </c>
      <c r="G1420" s="3" t="s">
        <v>1093</v>
      </c>
      <c r="H1420" s="3" t="str">
        <f t="shared" si="24"/>
        <v>Data QA applied on LT_NE0BSW_Ballast, computed by BMT WinMon.</v>
      </c>
    </row>
    <row r="1421" spans="1:8" x14ac:dyDescent="0.25">
      <c r="A1421" s="3" t="s">
        <v>6983</v>
      </c>
      <c r="B1421" s="3" t="s">
        <v>6989</v>
      </c>
      <c r="C1421" s="3" t="s">
        <v>6985</v>
      </c>
      <c r="D1421" s="3" t="s">
        <v>1138</v>
      </c>
      <c r="E1421" s="3">
        <v>1420</v>
      </c>
      <c r="F1421" s="3" t="s">
        <v>3785</v>
      </c>
      <c r="G1421" s="3" t="s">
        <v>1093</v>
      </c>
      <c r="H1421" s="3" t="str">
        <f t="shared" si="24"/>
        <v>Data QA applied on LT_NE1TE_Ballast, computed by BMT WinMon.</v>
      </c>
    </row>
    <row r="1422" spans="1:8" x14ac:dyDescent="0.25">
      <c r="A1422" s="3" t="s">
        <v>6983</v>
      </c>
      <c r="B1422" s="3" t="s">
        <v>6989</v>
      </c>
      <c r="C1422" s="3" t="s">
        <v>6985</v>
      </c>
      <c r="D1422" s="3" t="s">
        <v>1138</v>
      </c>
      <c r="E1422" s="3">
        <v>1421</v>
      </c>
      <c r="F1422" s="3" t="s">
        <v>3786</v>
      </c>
      <c r="G1422" s="3" t="s">
        <v>1093</v>
      </c>
      <c r="H1422" s="3" t="str">
        <f t="shared" si="24"/>
        <v>Data QA applied on LT_NE1TN_Ballast, computed by BMT WinMon.</v>
      </c>
    </row>
    <row r="1423" spans="1:8" x14ac:dyDescent="0.25">
      <c r="A1423" s="3" t="s">
        <v>6983</v>
      </c>
      <c r="B1423" s="3" t="s">
        <v>6989</v>
      </c>
      <c r="C1423" s="3" t="s">
        <v>6985</v>
      </c>
      <c r="D1423" s="3" t="s">
        <v>1138</v>
      </c>
      <c r="E1423" s="3">
        <v>1422</v>
      </c>
      <c r="F1423" s="3" t="s">
        <v>3787</v>
      </c>
      <c r="G1423" s="3" t="s">
        <v>1093</v>
      </c>
      <c r="H1423" s="3" t="str">
        <f t="shared" si="24"/>
        <v>Data QA applied on LT_NPEB_Ballast, computed by BMT WinMon.</v>
      </c>
    </row>
    <row r="1424" spans="1:8" x14ac:dyDescent="0.25">
      <c r="A1424" s="3" t="s">
        <v>6983</v>
      </c>
      <c r="B1424" s="3" t="s">
        <v>6989</v>
      </c>
      <c r="C1424" s="3" t="s">
        <v>6985</v>
      </c>
      <c r="D1424" s="3" t="s">
        <v>1138</v>
      </c>
      <c r="E1424" s="3">
        <v>1423</v>
      </c>
      <c r="F1424" s="3" t="s">
        <v>3788</v>
      </c>
      <c r="G1424" s="3" t="s">
        <v>1093</v>
      </c>
      <c r="H1424" s="3" t="str">
        <f t="shared" si="24"/>
        <v>Data QA applied on LT_NPWB_Ballast, computed by BMT WinMon.</v>
      </c>
    </row>
    <row r="1425" spans="1:8" x14ac:dyDescent="0.25">
      <c r="A1425" s="3" t="s">
        <v>6983</v>
      </c>
      <c r="B1425" s="3" t="s">
        <v>6989</v>
      </c>
      <c r="C1425" s="3" t="s">
        <v>6985</v>
      </c>
      <c r="D1425" s="3" t="s">
        <v>1138</v>
      </c>
      <c r="E1425" s="3">
        <v>1424</v>
      </c>
      <c r="F1425" s="3" t="s">
        <v>3789</v>
      </c>
      <c r="G1425" s="3" t="s">
        <v>1093</v>
      </c>
      <c r="H1425" s="3" t="str">
        <f t="shared" si="24"/>
        <v>Data QA applied on LT_NW0BNW_Ballast, computed by BMT WinMon.</v>
      </c>
    </row>
    <row r="1426" spans="1:8" x14ac:dyDescent="0.25">
      <c r="A1426" s="3" t="s">
        <v>6983</v>
      </c>
      <c r="B1426" s="3" t="s">
        <v>6989</v>
      </c>
      <c r="C1426" s="3" t="s">
        <v>6985</v>
      </c>
      <c r="D1426" s="3" t="s">
        <v>1138</v>
      </c>
      <c r="E1426" s="3">
        <v>1425</v>
      </c>
      <c r="F1426" s="3" t="s">
        <v>3790</v>
      </c>
      <c r="G1426" s="3" t="s">
        <v>1093</v>
      </c>
      <c r="H1426" s="3" t="str">
        <f t="shared" si="24"/>
        <v>Data QA applied on LT_NW0BSE_Ballast, computed by BMT WinMon.</v>
      </c>
    </row>
    <row r="1427" spans="1:8" x14ac:dyDescent="0.25">
      <c r="A1427" s="3" t="s">
        <v>6983</v>
      </c>
      <c r="B1427" s="3" t="s">
        <v>6989</v>
      </c>
      <c r="C1427" s="3" t="s">
        <v>6985</v>
      </c>
      <c r="D1427" s="3" t="s">
        <v>1138</v>
      </c>
      <c r="E1427" s="3">
        <v>1426</v>
      </c>
      <c r="F1427" s="3" t="s">
        <v>3791</v>
      </c>
      <c r="G1427" s="3" t="s">
        <v>1093</v>
      </c>
      <c r="H1427" s="3" t="str">
        <f t="shared" si="24"/>
        <v>Data QA applied on LT_NW1TN_Ballast, computed by BMT WinMon.</v>
      </c>
    </row>
    <row r="1428" spans="1:8" x14ac:dyDescent="0.25">
      <c r="A1428" s="3" t="s">
        <v>6983</v>
      </c>
      <c r="B1428" s="3" t="s">
        <v>6989</v>
      </c>
      <c r="C1428" s="3" t="s">
        <v>6985</v>
      </c>
      <c r="D1428" s="3" t="s">
        <v>1138</v>
      </c>
      <c r="E1428" s="3">
        <v>1427</v>
      </c>
      <c r="F1428" s="3" t="s">
        <v>3792</v>
      </c>
      <c r="G1428" s="3" t="s">
        <v>1093</v>
      </c>
      <c r="H1428" s="3" t="str">
        <f t="shared" si="24"/>
        <v>Data QA applied on LT_NW1TW_Ballast, computed by BMT WinMon.</v>
      </c>
    </row>
    <row r="1429" spans="1:8" x14ac:dyDescent="0.25">
      <c r="A1429" s="3" t="s">
        <v>6983</v>
      </c>
      <c r="B1429" s="3" t="s">
        <v>6989</v>
      </c>
      <c r="C1429" s="3" t="s">
        <v>6985</v>
      </c>
      <c r="D1429" s="3" t="s">
        <v>1138</v>
      </c>
      <c r="E1429" s="3">
        <v>1428</v>
      </c>
      <c r="F1429" s="3" t="s">
        <v>3793</v>
      </c>
      <c r="G1429" s="3" t="s">
        <v>1093</v>
      </c>
      <c r="H1429" s="3" t="str">
        <f t="shared" si="24"/>
        <v>Data QA applied on LT_SE0BNW_Ballast, computed by BMT WinMon.</v>
      </c>
    </row>
    <row r="1430" spans="1:8" x14ac:dyDescent="0.25">
      <c r="A1430" s="3" t="s">
        <v>6983</v>
      </c>
      <c r="B1430" s="3" t="s">
        <v>6989</v>
      </c>
      <c r="C1430" s="3" t="s">
        <v>6985</v>
      </c>
      <c r="D1430" s="3" t="s">
        <v>1138</v>
      </c>
      <c r="E1430" s="3">
        <v>1429</v>
      </c>
      <c r="F1430" s="3" t="s">
        <v>3794</v>
      </c>
      <c r="G1430" s="3" t="s">
        <v>1093</v>
      </c>
      <c r="H1430" s="3" t="str">
        <f t="shared" si="24"/>
        <v>Data QA applied on LT_SE0BSE_Ballast, computed by BMT WinMon.</v>
      </c>
    </row>
    <row r="1431" spans="1:8" x14ac:dyDescent="0.25">
      <c r="A1431" s="3" t="s">
        <v>6983</v>
      </c>
      <c r="B1431" s="3" t="s">
        <v>6989</v>
      </c>
      <c r="C1431" s="3" t="s">
        <v>6985</v>
      </c>
      <c r="D1431" s="3" t="s">
        <v>1138</v>
      </c>
      <c r="E1431" s="3">
        <v>1430</v>
      </c>
      <c r="F1431" s="3" t="s">
        <v>3795</v>
      </c>
      <c r="G1431" s="3" t="s">
        <v>1093</v>
      </c>
      <c r="H1431" s="3" t="str">
        <f t="shared" si="24"/>
        <v>Data QA applied on LT_SE1TE_Ballast, computed by BMT WinMon.</v>
      </c>
    </row>
    <row r="1432" spans="1:8" x14ac:dyDescent="0.25">
      <c r="A1432" s="3" t="s">
        <v>6983</v>
      </c>
      <c r="B1432" s="3" t="s">
        <v>6989</v>
      </c>
      <c r="C1432" s="3" t="s">
        <v>6985</v>
      </c>
      <c r="D1432" s="3" t="s">
        <v>1138</v>
      </c>
      <c r="E1432" s="3">
        <v>1431</v>
      </c>
      <c r="F1432" s="3" t="s">
        <v>3796</v>
      </c>
      <c r="G1432" s="3" t="s">
        <v>1093</v>
      </c>
      <c r="H1432" s="3" t="str">
        <f t="shared" si="24"/>
        <v>Data QA applied on LT_SE1TS_Ballast, computed by BMT WinMon.</v>
      </c>
    </row>
    <row r="1433" spans="1:8" x14ac:dyDescent="0.25">
      <c r="A1433" s="3" t="s">
        <v>6983</v>
      </c>
      <c r="B1433" s="3" t="s">
        <v>6989</v>
      </c>
      <c r="C1433" s="3" t="s">
        <v>6985</v>
      </c>
      <c r="D1433" s="3" t="s">
        <v>1138</v>
      </c>
      <c r="E1433" s="3">
        <v>1432</v>
      </c>
      <c r="F1433" s="3" t="s">
        <v>3797</v>
      </c>
      <c r="G1433" s="3" t="s">
        <v>1093</v>
      </c>
      <c r="H1433" s="3" t="str">
        <f t="shared" si="24"/>
        <v>Data QA applied on LT_SPEB_Ballast, computed by BMT WinMon.</v>
      </c>
    </row>
    <row r="1434" spans="1:8" x14ac:dyDescent="0.25">
      <c r="A1434" s="3" t="s">
        <v>6983</v>
      </c>
      <c r="B1434" s="3" t="s">
        <v>6989</v>
      </c>
      <c r="C1434" s="3" t="s">
        <v>6985</v>
      </c>
      <c r="D1434" s="3" t="s">
        <v>1138</v>
      </c>
      <c r="E1434" s="3">
        <v>1433</v>
      </c>
      <c r="F1434" s="3" t="s">
        <v>3798</v>
      </c>
      <c r="G1434" s="3" t="s">
        <v>1093</v>
      </c>
      <c r="H1434" s="3" t="str">
        <f t="shared" si="24"/>
        <v>Data QA applied on LT_SPWB_Ballast, computed by BMT WinMon.</v>
      </c>
    </row>
    <row r="1435" spans="1:8" x14ac:dyDescent="0.25">
      <c r="A1435" s="3" t="s">
        <v>6983</v>
      </c>
      <c r="B1435" s="3" t="s">
        <v>6989</v>
      </c>
      <c r="C1435" s="3" t="s">
        <v>6985</v>
      </c>
      <c r="D1435" s="3" t="s">
        <v>1138</v>
      </c>
      <c r="E1435" s="3">
        <v>1434</v>
      </c>
      <c r="F1435" s="3" t="s">
        <v>3799</v>
      </c>
      <c r="G1435" s="3" t="s">
        <v>1093</v>
      </c>
      <c r="H1435" s="3" t="str">
        <f t="shared" si="24"/>
        <v>Data QA applied on LT_SW0BNE_Ballast, computed by BMT WinMon.</v>
      </c>
    </row>
    <row r="1436" spans="1:8" x14ac:dyDescent="0.25">
      <c r="A1436" s="3" t="s">
        <v>6983</v>
      </c>
      <c r="B1436" s="3" t="s">
        <v>6989</v>
      </c>
      <c r="C1436" s="3" t="s">
        <v>6985</v>
      </c>
      <c r="D1436" s="3" t="s">
        <v>1138</v>
      </c>
      <c r="E1436" s="3">
        <v>1435</v>
      </c>
      <c r="F1436" s="3" t="s">
        <v>3800</v>
      </c>
      <c r="G1436" s="3" t="s">
        <v>1093</v>
      </c>
      <c r="H1436" s="3" t="str">
        <f t="shared" si="24"/>
        <v>Data QA applied on LT_SW0BSW_Ballast, computed by BMT WinMon.</v>
      </c>
    </row>
    <row r="1437" spans="1:8" x14ac:dyDescent="0.25">
      <c r="A1437" s="3" t="s">
        <v>6983</v>
      </c>
      <c r="B1437" s="3" t="s">
        <v>6989</v>
      </c>
      <c r="C1437" s="3" t="s">
        <v>6985</v>
      </c>
      <c r="D1437" s="3" t="s">
        <v>1138</v>
      </c>
      <c r="E1437" s="3">
        <v>1436</v>
      </c>
      <c r="F1437" s="3" t="s">
        <v>3801</v>
      </c>
      <c r="G1437" s="3" t="s">
        <v>1093</v>
      </c>
      <c r="H1437" s="3" t="str">
        <f t="shared" si="24"/>
        <v>Data QA applied on LT_SW1TS_Ballast, computed by BMT WinMon.</v>
      </c>
    </row>
    <row r="1438" spans="1:8" x14ac:dyDescent="0.25">
      <c r="A1438" s="3" t="s">
        <v>6983</v>
      </c>
      <c r="B1438" s="3" t="s">
        <v>6989</v>
      </c>
      <c r="C1438" s="3" t="s">
        <v>6985</v>
      </c>
      <c r="D1438" s="3" t="s">
        <v>1138</v>
      </c>
      <c r="E1438" s="3">
        <v>1437</v>
      </c>
      <c r="F1438" s="3" t="s">
        <v>3802</v>
      </c>
      <c r="G1438" s="3" t="s">
        <v>1093</v>
      </c>
      <c r="H1438" s="3" t="str">
        <f t="shared" si="24"/>
        <v>Data QA applied on LT_SW1TW_Ballast, computed by BMT WinMon.</v>
      </c>
    </row>
    <row r="1439" spans="1:8" x14ac:dyDescent="0.25">
      <c r="A1439" s="3" t="s">
        <v>6983</v>
      </c>
      <c r="B1439" s="3" t="s">
        <v>6989</v>
      </c>
      <c r="C1439" s="3" t="s">
        <v>6985</v>
      </c>
      <c r="D1439" s="3" t="s">
        <v>1138</v>
      </c>
      <c r="E1439" s="3">
        <v>1438</v>
      </c>
      <c r="F1439" s="3" t="s">
        <v>3803</v>
      </c>
      <c r="G1439" s="3" t="s">
        <v>1093</v>
      </c>
      <c r="H1439" s="3" t="str">
        <f t="shared" si="24"/>
        <v>Data QA applied on LT_WPNB_Ballast, computed by BMT WinMon.</v>
      </c>
    </row>
    <row r="1440" spans="1:8" x14ac:dyDescent="0.25">
      <c r="A1440" s="3" t="s">
        <v>6983</v>
      </c>
      <c r="B1440" s="3" t="s">
        <v>6989</v>
      </c>
      <c r="C1440" s="3" t="s">
        <v>6985</v>
      </c>
      <c r="D1440" s="3" t="s">
        <v>1138</v>
      </c>
      <c r="E1440" s="3">
        <v>1439</v>
      </c>
      <c r="F1440" s="3" t="s">
        <v>3804</v>
      </c>
      <c r="G1440" s="3" t="s">
        <v>1093</v>
      </c>
      <c r="H1440" s="3" t="str">
        <f t="shared" si="24"/>
        <v>Data QA applied on LT_WPSB_Ballast, computed by BMT WinMon.</v>
      </c>
    </row>
    <row r="1441" spans="1:10" x14ac:dyDescent="0.25">
      <c r="A1441" s="3" t="s">
        <v>6983</v>
      </c>
      <c r="B1441" s="3" t="s">
        <v>6989</v>
      </c>
      <c r="C1441" s="3" t="s">
        <v>6985</v>
      </c>
      <c r="D1441" s="3" t="s">
        <v>1138</v>
      </c>
      <c r="E1441" s="3">
        <v>1440</v>
      </c>
      <c r="F1441" s="3" t="s">
        <v>3805</v>
      </c>
      <c r="G1441" s="3" t="s">
        <v>1097</v>
      </c>
      <c r="H1441" s="3" t="str">
        <f t="shared" si="24"/>
        <v>Data QA applied on LT_5160A1_Methanol, computed by BMT WinMon.</v>
      </c>
    </row>
    <row r="1442" spans="1:10" x14ac:dyDescent="0.25">
      <c r="A1442" s="3" t="s">
        <v>6983</v>
      </c>
      <c r="B1442" s="3" t="s">
        <v>6989</v>
      </c>
      <c r="C1442" s="3" t="s">
        <v>6985</v>
      </c>
      <c r="D1442" s="3" t="s">
        <v>1138</v>
      </c>
      <c r="E1442" s="3">
        <v>1441</v>
      </c>
      <c r="F1442" s="3" t="s">
        <v>3806</v>
      </c>
      <c r="G1442" s="3" t="s">
        <v>1097</v>
      </c>
      <c r="H1442" s="3" t="str">
        <f t="shared" si="24"/>
        <v>Data QA applied on LT_5161A1_Methanol, computed by BMT WinMon.</v>
      </c>
    </row>
    <row r="1443" spans="1:10" x14ac:dyDescent="0.25">
      <c r="A1443" s="3" t="s">
        <v>6983</v>
      </c>
      <c r="B1443" s="3" t="s">
        <v>6989</v>
      </c>
      <c r="C1443" s="3" t="s">
        <v>6985</v>
      </c>
      <c r="D1443" s="3" t="s">
        <v>1138</v>
      </c>
      <c r="E1443" s="3">
        <v>1442</v>
      </c>
      <c r="F1443" s="3" t="s">
        <v>3807</v>
      </c>
      <c r="G1443" s="3" t="s">
        <v>1097</v>
      </c>
      <c r="H1443" s="3" t="str">
        <f t="shared" si="24"/>
        <v>Data QA applied on LT_5360A1_Diesel_Tnk, computed by BMT WinMon.</v>
      </c>
    </row>
    <row r="1444" spans="1:10" x14ac:dyDescent="0.25">
      <c r="A1444" s="3" t="s">
        <v>6983</v>
      </c>
      <c r="B1444" s="3" t="s">
        <v>6989</v>
      </c>
      <c r="C1444" s="3" t="s">
        <v>6985</v>
      </c>
      <c r="D1444" s="3" t="s">
        <v>1138</v>
      </c>
      <c r="E1444" s="3">
        <v>1443</v>
      </c>
      <c r="F1444" s="3" t="s">
        <v>3808</v>
      </c>
      <c r="G1444" s="3" t="s">
        <v>1097</v>
      </c>
      <c r="H1444" s="3" t="str">
        <f t="shared" si="24"/>
        <v>Data QA applied on LT_5460A1_Drill_Water, computed by BMT WinMon.</v>
      </c>
    </row>
    <row r="1445" spans="1:10" x14ac:dyDescent="0.25">
      <c r="A1445" s="3" t="s">
        <v>6983</v>
      </c>
      <c r="B1445" s="3" t="s">
        <v>6989</v>
      </c>
      <c r="C1445" s="3" t="s">
        <v>6985</v>
      </c>
      <c r="D1445" s="3" t="s">
        <v>1138</v>
      </c>
      <c r="E1445" s="3">
        <v>1444</v>
      </c>
      <c r="F1445" s="3" t="s">
        <v>3809</v>
      </c>
      <c r="G1445" s="3" t="s">
        <v>1093</v>
      </c>
      <c r="H1445" s="3" t="str">
        <f>_xlfn.CONCAT("Data QA and 1-min running average applied on ",_xlfn.TEXTAFTER(F1445,"OL "), ", computed by BMT WinMon.")</f>
        <v>Data QA and 1-min running average applied on North_Draft, computed by BMT WinMon.</v>
      </c>
      <c r="J1445" s="3" t="s">
        <v>6649</v>
      </c>
    </row>
    <row r="1446" spans="1:10" x14ac:dyDescent="0.25">
      <c r="A1446" s="3" t="s">
        <v>6983</v>
      </c>
      <c r="B1446" s="3" t="s">
        <v>6989</v>
      </c>
      <c r="C1446" s="3" t="s">
        <v>6985</v>
      </c>
      <c r="D1446" s="3" t="s">
        <v>1138</v>
      </c>
      <c r="E1446" s="3">
        <v>1445</v>
      </c>
      <c r="F1446" s="3" t="s">
        <v>3810</v>
      </c>
      <c r="G1446" s="3" t="s">
        <v>1093</v>
      </c>
      <c r="H1446" s="3" t="str">
        <f t="shared" ref="H1446:H1448" si="25">_xlfn.CONCAT("Data QA and 1-min running average applied on ",_xlfn.TEXTAFTER(F1446,"OL "), ", computed by BMT WinMon.")</f>
        <v>Data QA and 1-min running average applied on East_Draft, computed by BMT WinMon.</v>
      </c>
    </row>
    <row r="1447" spans="1:10" x14ac:dyDescent="0.25">
      <c r="A1447" s="3" t="s">
        <v>6983</v>
      </c>
      <c r="B1447" s="3" t="s">
        <v>6989</v>
      </c>
      <c r="C1447" s="3" t="s">
        <v>6985</v>
      </c>
      <c r="D1447" s="3" t="s">
        <v>1138</v>
      </c>
      <c r="E1447" s="3">
        <v>1446</v>
      </c>
      <c r="F1447" s="3" t="s">
        <v>3811</v>
      </c>
      <c r="G1447" s="3" t="s">
        <v>1093</v>
      </c>
      <c r="H1447" s="3" t="str">
        <f t="shared" si="25"/>
        <v>Data QA and 1-min running average applied on South_Draft, computed by BMT WinMon.</v>
      </c>
    </row>
    <row r="1448" spans="1:10" x14ac:dyDescent="0.25">
      <c r="A1448" s="3" t="s">
        <v>6983</v>
      </c>
      <c r="B1448" s="3" t="s">
        <v>6989</v>
      </c>
      <c r="C1448" s="3" t="s">
        <v>6985</v>
      </c>
      <c r="D1448" s="3" t="s">
        <v>1138</v>
      </c>
      <c r="E1448" s="3">
        <v>1447</v>
      </c>
      <c r="F1448" s="3" t="s">
        <v>3812</v>
      </c>
      <c r="G1448" s="3" t="s">
        <v>1093</v>
      </c>
      <c r="H1448" s="3" t="str">
        <f t="shared" si="25"/>
        <v>Data QA and 1-min running average applied on West_Draft, computed by BMT WinMon.</v>
      </c>
    </row>
    <row r="1449" spans="1:10" x14ac:dyDescent="0.25">
      <c r="A1449" s="3" t="s">
        <v>6983</v>
      </c>
      <c r="B1449" s="3" t="s">
        <v>6989</v>
      </c>
      <c r="C1449" s="3" t="s">
        <v>6985</v>
      </c>
      <c r="D1449" s="3" t="s">
        <v>1138</v>
      </c>
      <c r="E1449" s="3">
        <v>1448</v>
      </c>
      <c r="F1449" s="3" t="s">
        <v>3813</v>
      </c>
      <c r="G1449" s="3" t="s">
        <v>1093</v>
      </c>
      <c r="H1449" s="3" t="str">
        <f>_xlfn.CONCAT("Data QA applied on ",_xlfn.TEXTAFTER(F1449,"OL "), ", computed by BMT WinMon.")</f>
        <v>Data QA applied on Combo_PQ_Northings, computed by BMT WinMon.</v>
      </c>
    </row>
    <row r="1450" spans="1:10" x14ac:dyDescent="0.25">
      <c r="A1450" s="3" t="s">
        <v>6983</v>
      </c>
      <c r="B1450" s="3" t="s">
        <v>6989</v>
      </c>
      <c r="C1450" s="3" t="s">
        <v>6985</v>
      </c>
      <c r="D1450" s="3" t="s">
        <v>1138</v>
      </c>
      <c r="E1450" s="3">
        <v>1449</v>
      </c>
      <c r="F1450" s="3" t="s">
        <v>3814</v>
      </c>
      <c r="G1450" s="3" t="s">
        <v>1093</v>
      </c>
      <c r="H1450" s="3" t="str">
        <f>_xlfn.CONCAT("Data QA applied on ",_xlfn.TEXTAFTER(F1450,"OL "), ", computed by BMT WinMon.")</f>
        <v>Data QA applied on Combo_PQ_Eastings, computed by BMT WinMon.</v>
      </c>
    </row>
    <row r="1451" spans="1:10" x14ac:dyDescent="0.25">
      <c r="A1451" s="3" t="s">
        <v>6983</v>
      </c>
      <c r="B1451" s="3" t="s">
        <v>6989</v>
      </c>
      <c r="C1451" s="3" t="s">
        <v>6985</v>
      </c>
      <c r="D1451" s="3" t="s">
        <v>1138</v>
      </c>
      <c r="E1451" s="3">
        <v>1450</v>
      </c>
      <c r="F1451" s="3" t="s">
        <v>3815</v>
      </c>
      <c r="G1451" s="3" t="s">
        <v>13</v>
      </c>
      <c r="H1451" s="3" t="str">
        <f>_xlfn.CONCAT("Data QA applied on ",_xlfn.TEXTAFTER(F1451,"OL "), ", computed by BMT WinMon.")</f>
        <v>Data QA applied on Surface_Current_Spd, computed by BMT WinMon.</v>
      </c>
    </row>
    <row r="1452" spans="1:10" x14ac:dyDescent="0.25">
      <c r="A1452" s="3" t="s">
        <v>6983</v>
      </c>
      <c r="B1452" s="3" t="s">
        <v>6989</v>
      </c>
      <c r="C1452" s="3" t="s">
        <v>6985</v>
      </c>
      <c r="D1452" s="3" t="s">
        <v>1138</v>
      </c>
      <c r="E1452" s="3">
        <v>1451</v>
      </c>
      <c r="F1452" s="3" t="s">
        <v>3816</v>
      </c>
      <c r="G1452" s="3" t="s">
        <v>9</v>
      </c>
      <c r="H1452" s="3" t="str">
        <f>_xlfn.CONCAT("Data QA applied on ",_xlfn.TEXTAFTER(F1452,"OL "), ", computed by BMT WinMon.")</f>
        <v>Data QA applied on Surface_Current_Dir, computed by BMT WinMon.</v>
      </c>
    </row>
    <row r="1453" spans="1:10" x14ac:dyDescent="0.25">
      <c r="A1453" s="3" t="s">
        <v>6983</v>
      </c>
      <c r="B1453" s="3" t="s">
        <v>6989</v>
      </c>
      <c r="C1453" s="3" t="s">
        <v>6985</v>
      </c>
      <c r="D1453" s="3" t="s">
        <v>1138</v>
      </c>
      <c r="E1453" s="3">
        <v>1452</v>
      </c>
      <c r="F1453" s="3" t="s">
        <v>3817</v>
      </c>
      <c r="G1453" s="3" t="s">
        <v>1096</v>
      </c>
      <c r="H1453" s="3" t="str">
        <f>_xlfn.CONCAT("Data QA applied on ",_xlfn.TEXTAFTER(F1453,"OL "), ", computed by BMT WinMon.")</f>
        <v>Data QA applied on MIS_Baro_Pressure, computed by BMT WinMon.</v>
      </c>
    </row>
    <row r="1454" spans="1:10" x14ac:dyDescent="0.25">
      <c r="A1454" s="3" t="s">
        <v>6983</v>
      </c>
      <c r="B1454" s="3" t="s">
        <v>6989</v>
      </c>
      <c r="C1454" s="3" t="s">
        <v>6985</v>
      </c>
      <c r="D1454" s="3" t="s">
        <v>1138</v>
      </c>
      <c r="E1454" s="3">
        <v>1453</v>
      </c>
      <c r="F1454" s="3" t="s">
        <v>3818</v>
      </c>
      <c r="G1454" s="3" t="s">
        <v>16</v>
      </c>
      <c r="H1454" s="3" t="s">
        <v>6674</v>
      </c>
    </row>
    <row r="1455" spans="1:10" x14ac:dyDescent="0.25">
      <c r="A1455" s="3" t="s">
        <v>6983</v>
      </c>
      <c r="B1455" s="3" t="s">
        <v>6989</v>
      </c>
      <c r="C1455" s="3" t="s">
        <v>6985</v>
      </c>
      <c r="D1455" s="3" t="s">
        <v>1138</v>
      </c>
      <c r="E1455" s="3">
        <v>1454</v>
      </c>
      <c r="F1455" s="3" t="s">
        <v>3819</v>
      </c>
      <c r="G1455" s="3" t="s">
        <v>16</v>
      </c>
      <c r="H1455" s="3" t="s">
        <v>6673</v>
      </c>
    </row>
    <row r="1456" spans="1:10" x14ac:dyDescent="0.25">
      <c r="A1456" s="3" t="s">
        <v>6983</v>
      </c>
      <c r="B1456" s="3" t="s">
        <v>6989</v>
      </c>
      <c r="C1456" s="3" t="s">
        <v>6985</v>
      </c>
      <c r="D1456" s="3" t="s">
        <v>1138</v>
      </c>
      <c r="E1456" s="3">
        <v>1455</v>
      </c>
      <c r="F1456" s="3" t="s">
        <v>3820</v>
      </c>
      <c r="G1456" s="3" t="s">
        <v>16</v>
      </c>
      <c r="H1456" s="3" t="s">
        <v>6672</v>
      </c>
    </row>
    <row r="1457" spans="1:10" x14ac:dyDescent="0.25">
      <c r="A1457" s="3" t="s">
        <v>6983</v>
      </c>
      <c r="B1457" s="3" t="s">
        <v>6989</v>
      </c>
      <c r="C1457" s="3" t="s">
        <v>6985</v>
      </c>
      <c r="D1457" s="3" t="s">
        <v>1138</v>
      </c>
      <c r="E1457" s="3">
        <v>1456</v>
      </c>
      <c r="F1457" s="3" t="s">
        <v>3821</v>
      </c>
      <c r="G1457" s="3" t="s">
        <v>16</v>
      </c>
      <c r="H1457" s="3" t="s">
        <v>6669</v>
      </c>
    </row>
    <row r="1458" spans="1:10" x14ac:dyDescent="0.25">
      <c r="A1458" s="3" t="s">
        <v>6983</v>
      </c>
      <c r="B1458" s="3" t="s">
        <v>6989</v>
      </c>
      <c r="C1458" s="3" t="s">
        <v>6985</v>
      </c>
      <c r="D1458" s="3" t="s">
        <v>1138</v>
      </c>
      <c r="E1458" s="3">
        <v>1457</v>
      </c>
      <c r="F1458" s="3" t="s">
        <v>3822</v>
      </c>
      <c r="G1458" s="3" t="s">
        <v>16</v>
      </c>
      <c r="H1458" s="3" t="s">
        <v>6670</v>
      </c>
    </row>
    <row r="1459" spans="1:10" x14ac:dyDescent="0.25">
      <c r="A1459" s="3" t="s">
        <v>6983</v>
      </c>
      <c r="B1459" s="3" t="s">
        <v>6989</v>
      </c>
      <c r="C1459" s="3" t="s">
        <v>6985</v>
      </c>
      <c r="D1459" s="3" t="s">
        <v>1138</v>
      </c>
      <c r="E1459" s="3">
        <v>1458</v>
      </c>
      <c r="F1459" s="3" t="s">
        <v>3823</v>
      </c>
      <c r="G1459" s="3" t="s">
        <v>16</v>
      </c>
      <c r="H1459" s="3" t="s">
        <v>6671</v>
      </c>
    </row>
    <row r="1460" spans="1:10" x14ac:dyDescent="0.25">
      <c r="A1460" s="3" t="s">
        <v>6983</v>
      </c>
      <c r="B1460" s="3" t="s">
        <v>6989</v>
      </c>
      <c r="C1460" s="3" t="s">
        <v>6985</v>
      </c>
      <c r="D1460" s="3" t="s">
        <v>1138</v>
      </c>
      <c r="E1460" s="3">
        <v>1459</v>
      </c>
      <c r="F1460" s="3" t="s">
        <v>3824</v>
      </c>
      <c r="G1460" s="3" t="s">
        <v>4</v>
      </c>
      <c r="H1460" s="3" t="s">
        <v>6658</v>
      </c>
      <c r="J1460" s="3" t="s">
        <v>6649</v>
      </c>
    </row>
    <row r="1461" spans="1:10" x14ac:dyDescent="0.25">
      <c r="A1461" s="3" t="s">
        <v>6983</v>
      </c>
      <c r="B1461" s="3" t="s">
        <v>6989</v>
      </c>
      <c r="C1461" s="3" t="s">
        <v>6985</v>
      </c>
      <c r="D1461" s="3" t="s">
        <v>1138</v>
      </c>
      <c r="E1461" s="3">
        <v>1460</v>
      </c>
      <c r="F1461" s="3" t="s">
        <v>3825</v>
      </c>
      <c r="G1461" s="3" t="s">
        <v>4</v>
      </c>
      <c r="H1461" s="3" t="s">
        <v>6659</v>
      </c>
    </row>
    <row r="1462" spans="1:10" x14ac:dyDescent="0.25">
      <c r="A1462" s="3" t="s">
        <v>6983</v>
      </c>
      <c r="B1462" s="3" t="s">
        <v>6989</v>
      </c>
      <c r="C1462" s="3" t="s">
        <v>6985</v>
      </c>
      <c r="D1462" s="3" t="s">
        <v>1138</v>
      </c>
      <c r="E1462" s="3">
        <v>1461</v>
      </c>
      <c r="F1462" s="3" t="s">
        <v>2011</v>
      </c>
      <c r="G1462" s="3" t="s">
        <v>1093</v>
      </c>
      <c r="H1462" s="3" t="s">
        <v>6660</v>
      </c>
    </row>
    <row r="1463" spans="1:10" x14ac:dyDescent="0.25">
      <c r="A1463" s="3" t="s">
        <v>6983</v>
      </c>
      <c r="B1463" s="3" t="s">
        <v>6989</v>
      </c>
      <c r="C1463" s="3" t="s">
        <v>6985</v>
      </c>
      <c r="D1463" s="3" t="s">
        <v>1138</v>
      </c>
      <c r="E1463" s="3">
        <v>1462</v>
      </c>
      <c r="F1463" s="3" t="s">
        <v>899</v>
      </c>
      <c r="G1463" s="3" t="s">
        <v>17</v>
      </c>
      <c r="H1463" s="3" t="s">
        <v>6661</v>
      </c>
    </row>
    <row r="1464" spans="1:10" x14ac:dyDescent="0.25">
      <c r="A1464" s="3" t="s">
        <v>6983</v>
      </c>
      <c r="B1464" s="3" t="s">
        <v>6989</v>
      </c>
      <c r="C1464" s="3" t="s">
        <v>6985</v>
      </c>
      <c r="D1464" s="3" t="s">
        <v>1138</v>
      </c>
      <c r="E1464" s="3">
        <v>1463</v>
      </c>
      <c r="F1464" s="3" t="s">
        <v>878</v>
      </c>
      <c r="G1464" s="3" t="s">
        <v>16</v>
      </c>
      <c r="H1464" s="4" t="s">
        <v>6954</v>
      </c>
    </row>
    <row r="1465" spans="1:10" x14ac:dyDescent="0.25">
      <c r="A1465" s="3" t="s">
        <v>6983</v>
      </c>
      <c r="B1465" s="3" t="s">
        <v>6989</v>
      </c>
      <c r="C1465" s="3" t="s">
        <v>6985</v>
      </c>
      <c r="D1465" s="3" t="s">
        <v>1138</v>
      </c>
      <c r="E1465" s="3">
        <v>1464</v>
      </c>
      <c r="F1465" s="3" t="s">
        <v>879</v>
      </c>
      <c r="G1465" s="3" t="s">
        <v>1110</v>
      </c>
      <c r="H1465" s="4" t="s">
        <v>6955</v>
      </c>
    </row>
    <row r="1466" spans="1:10" x14ac:dyDescent="0.25">
      <c r="A1466" s="3" t="s">
        <v>6983</v>
      </c>
      <c r="B1466" s="3" t="s">
        <v>6989</v>
      </c>
      <c r="C1466" s="3" t="s">
        <v>6985</v>
      </c>
      <c r="D1466" s="3" t="s">
        <v>1138</v>
      </c>
      <c r="E1466" s="3">
        <v>1465</v>
      </c>
      <c r="F1466" s="3" t="s">
        <v>880</v>
      </c>
      <c r="G1466" s="3" t="s">
        <v>1110</v>
      </c>
      <c r="H1466" s="4" t="s">
        <v>6956</v>
      </c>
    </row>
    <row r="1467" spans="1:10" x14ac:dyDescent="0.25">
      <c r="A1467" s="3" t="s">
        <v>6983</v>
      </c>
      <c r="B1467" s="3" t="s">
        <v>6989</v>
      </c>
      <c r="C1467" s="3" t="s">
        <v>6985</v>
      </c>
      <c r="D1467" s="3" t="s">
        <v>1138</v>
      </c>
      <c r="E1467" s="3">
        <v>1466</v>
      </c>
      <c r="F1467" s="3" t="s">
        <v>3826</v>
      </c>
      <c r="G1467" s="3" t="s">
        <v>1093</v>
      </c>
      <c r="H1467" s="3" t="s">
        <v>6662</v>
      </c>
      <c r="J1467" s="3" t="s">
        <v>6649</v>
      </c>
    </row>
    <row r="1468" spans="1:10" x14ac:dyDescent="0.25">
      <c r="A1468" s="3" t="s">
        <v>6983</v>
      </c>
      <c r="B1468" s="3" t="s">
        <v>6989</v>
      </c>
      <c r="C1468" s="3" t="s">
        <v>6985</v>
      </c>
      <c r="D1468" s="3" t="s">
        <v>1138</v>
      </c>
      <c r="E1468" s="3">
        <v>1467</v>
      </c>
      <c r="F1468" s="3" t="s">
        <v>3827</v>
      </c>
      <c r="G1468" s="3" t="s">
        <v>1093</v>
      </c>
      <c r="H1468" s="3" t="s">
        <v>6663</v>
      </c>
    </row>
    <row r="1469" spans="1:10" x14ac:dyDescent="0.25">
      <c r="A1469" s="3" t="s">
        <v>6983</v>
      </c>
      <c r="B1469" s="3" t="s">
        <v>6989</v>
      </c>
      <c r="C1469" s="3" t="s">
        <v>6985</v>
      </c>
      <c r="D1469" s="3" t="s">
        <v>1138</v>
      </c>
      <c r="E1469" s="3">
        <v>1468</v>
      </c>
      <c r="F1469" s="3" t="s">
        <v>761</v>
      </c>
      <c r="G1469" s="3" t="s">
        <v>1093</v>
      </c>
      <c r="H1469" s="4" t="s">
        <v>6664</v>
      </c>
    </row>
    <row r="1470" spans="1:10" x14ac:dyDescent="0.25">
      <c r="A1470" s="3" t="s">
        <v>6983</v>
      </c>
      <c r="B1470" s="3" t="s">
        <v>6989</v>
      </c>
      <c r="C1470" s="3" t="s">
        <v>6985</v>
      </c>
      <c r="D1470" s="3" t="s">
        <v>1138</v>
      </c>
      <c r="E1470" s="3">
        <v>1469</v>
      </c>
      <c r="F1470" s="3" t="s">
        <v>3828</v>
      </c>
      <c r="G1470" s="3" t="s">
        <v>1093</v>
      </c>
      <c r="H1470" s="3" t="s">
        <v>6665</v>
      </c>
    </row>
    <row r="1471" spans="1:10" x14ac:dyDescent="0.25">
      <c r="A1471" s="3" t="s">
        <v>6983</v>
      </c>
      <c r="B1471" s="3" t="s">
        <v>6989</v>
      </c>
      <c r="C1471" s="3" t="s">
        <v>6985</v>
      </c>
      <c r="D1471" s="3" t="s">
        <v>1138</v>
      </c>
      <c r="E1471" s="3">
        <v>1470</v>
      </c>
      <c r="F1471" s="3" t="s">
        <v>3829</v>
      </c>
      <c r="G1471" s="3" t="s">
        <v>1093</v>
      </c>
      <c r="H1471" s="3" t="s">
        <v>6666</v>
      </c>
    </row>
    <row r="1472" spans="1:10" x14ac:dyDescent="0.25">
      <c r="A1472" s="3" t="s">
        <v>6983</v>
      </c>
      <c r="B1472" s="3" t="s">
        <v>6989</v>
      </c>
      <c r="C1472" s="3" t="s">
        <v>6985</v>
      </c>
      <c r="D1472" s="3" t="s">
        <v>1138</v>
      </c>
      <c r="E1472" s="3">
        <v>1471</v>
      </c>
      <c r="F1472" s="3" t="s">
        <v>3830</v>
      </c>
      <c r="G1472" s="3" t="s">
        <v>1093</v>
      </c>
      <c r="H1472" s="3" t="s">
        <v>6667</v>
      </c>
    </row>
    <row r="1473" spans="1:10" x14ac:dyDescent="0.25">
      <c r="A1473" s="3" t="s">
        <v>6983</v>
      </c>
      <c r="B1473" s="3" t="s">
        <v>6989</v>
      </c>
      <c r="C1473" s="3" t="s">
        <v>6985</v>
      </c>
      <c r="D1473" s="3" t="s">
        <v>1138</v>
      </c>
      <c r="E1473" s="3">
        <v>1472</v>
      </c>
      <c r="F1473" s="3" t="s">
        <v>3831</v>
      </c>
      <c r="G1473" s="3" t="s">
        <v>1100</v>
      </c>
      <c r="H1473" s="3" t="str">
        <f>_xlfn.CONCAT("Output ",F1473, " from LMP, combining BAL Weight HI and BAL Weight LO, indicates measured weight.")</f>
        <v>Output BAL Weight PV from LMP, combining BAL Weight HI and BAL Weight LO, indicates measured weight.</v>
      </c>
      <c r="I1473" s="5"/>
      <c r="J1473" s="3" t="s">
        <v>6649</v>
      </c>
    </row>
    <row r="1474" spans="1:10" x14ac:dyDescent="0.25">
      <c r="A1474" s="3" t="s">
        <v>6983</v>
      </c>
      <c r="B1474" s="3" t="s">
        <v>6989</v>
      </c>
      <c r="C1474" s="3" t="s">
        <v>6985</v>
      </c>
      <c r="D1474" s="3" t="s">
        <v>1138</v>
      </c>
      <c r="E1474" s="3">
        <v>1473</v>
      </c>
      <c r="F1474" s="3" t="s">
        <v>3832</v>
      </c>
      <c r="G1474" s="3" t="s">
        <v>1100</v>
      </c>
      <c r="H1474" s="3" t="str">
        <f>_xlfn.CONCAT("Output ",F1474, " from LMP, combining VOID Weight HI and VOID Weight LO, indicates measured weight.")</f>
        <v>Output VOID Weight PV from LMP, combining VOID Weight HI and VOID Weight LO, indicates measured weight.</v>
      </c>
      <c r="I1474" s="5"/>
      <c r="J1474" s="13" t="s">
        <v>6668</v>
      </c>
    </row>
    <row r="1475" spans="1:10" x14ac:dyDescent="0.25">
      <c r="A1475" s="3" t="s">
        <v>6983</v>
      </c>
      <c r="B1475" s="3" t="s">
        <v>6989</v>
      </c>
      <c r="C1475" s="3" t="s">
        <v>6985</v>
      </c>
      <c r="D1475" s="3" t="s">
        <v>1138</v>
      </c>
      <c r="E1475" s="3">
        <v>1474</v>
      </c>
      <c r="F1475" s="3" t="s">
        <v>3833</v>
      </c>
      <c r="G1475" s="3" t="s">
        <v>1100</v>
      </c>
      <c r="H1475" s="3" t="str">
        <f>_xlfn.CONCAT("Output ",F1475, " from LMP, combining HULL FLUIDS Weight HI and HULL FLUIDS Weight LO, indicates measured weight.")</f>
        <v>Output HULL FLUIDS Weight PV from LMP, combining HULL FLUIDS Weight HI and HULL FLUIDS Weight LO, indicates measured weight.</v>
      </c>
      <c r="I1475" s="5"/>
      <c r="J1475" s="5"/>
    </row>
    <row r="1476" spans="1:10" x14ac:dyDescent="0.25">
      <c r="A1476" s="3" t="s">
        <v>6983</v>
      </c>
      <c r="B1476" s="3" t="s">
        <v>6989</v>
      </c>
      <c r="C1476" s="3" t="s">
        <v>6985</v>
      </c>
      <c r="D1476" s="3" t="s">
        <v>1138</v>
      </c>
      <c r="E1476" s="3">
        <v>1475</v>
      </c>
      <c r="F1476" s="3" t="s">
        <v>3834</v>
      </c>
      <c r="G1476" s="3" t="s">
        <v>1100</v>
      </c>
      <c r="H1476" s="3" t="str">
        <f>_xlfn.CONCAT("Output ",F1476, " from LMP, combining DRILL TANKS Weight HI and DRILL TANKS Weight LO, indicates measured weight.")</f>
        <v>Output DRILL TANKS Weight PV from LMP, combining DRILL TANKS Weight HI and DRILL TANKS Weight LO, indicates measured weight.</v>
      </c>
      <c r="I1476" s="5"/>
      <c r="J1476" s="5"/>
    </row>
    <row r="1477" spans="1:10" x14ac:dyDescent="0.25">
      <c r="A1477" s="3" t="s">
        <v>6983</v>
      </c>
      <c r="B1477" s="3" t="s">
        <v>6989</v>
      </c>
      <c r="C1477" s="3" t="s">
        <v>6985</v>
      </c>
      <c r="D1477" s="3" t="s">
        <v>1138</v>
      </c>
      <c r="E1477" s="3">
        <v>1476</v>
      </c>
      <c r="F1477" s="3" t="s">
        <v>3835</v>
      </c>
      <c r="G1477" s="3" t="s">
        <v>1100</v>
      </c>
      <c r="H1477" s="3" t="str">
        <f>_xlfn.CONCAT("Output ",F1477, " from LMP, combining LSMOD Weight HI and LSMOD Weight LO, indicates measured weight.")</f>
        <v>Output LSMOD Weight PV from LMP, combining LSMOD Weight HI and LSMOD Weight LO, indicates measured weight.</v>
      </c>
      <c r="I1477" s="5"/>
      <c r="J1477" s="5"/>
    </row>
    <row r="1478" spans="1:10" x14ac:dyDescent="0.25">
      <c r="A1478" s="3" t="s">
        <v>6983</v>
      </c>
      <c r="B1478" s="3" t="s">
        <v>6989</v>
      </c>
      <c r="C1478" s="3" t="s">
        <v>6985</v>
      </c>
      <c r="D1478" s="3" t="s">
        <v>1138</v>
      </c>
      <c r="E1478" s="3">
        <v>1477</v>
      </c>
      <c r="F1478" s="3" t="s">
        <v>3836</v>
      </c>
      <c r="G1478" s="3" t="s">
        <v>1100</v>
      </c>
      <c r="H1478" s="3" t="str">
        <f>_xlfn.CONCAT("Output ",F1478, " from LMP, combining DRILL LOAD Weight HI and DRILL LOAD Weight LO, indicates measured weight.")</f>
        <v>Output DRILL LOAD Weight PV from LMP, combining DRILL LOAD Weight HI and DRILL LOAD Weight LO, indicates measured weight.</v>
      </c>
      <c r="I1478" s="5"/>
      <c r="J1478" s="5"/>
    </row>
    <row r="1479" spans="1:10" x14ac:dyDescent="0.25">
      <c r="A1479" s="3" t="s">
        <v>6983</v>
      </c>
      <c r="B1479" s="3" t="s">
        <v>6989</v>
      </c>
      <c r="C1479" s="3" t="s">
        <v>6985</v>
      </c>
      <c r="D1479" s="3" t="s">
        <v>1138</v>
      </c>
      <c r="E1479" s="3">
        <v>1478</v>
      </c>
      <c r="F1479" s="3" t="s">
        <v>3837</v>
      </c>
      <c r="G1479" s="3" t="s">
        <v>1100</v>
      </c>
      <c r="H1479" s="3" t="str">
        <f>_xlfn.CONCAT("Output ",F1479, " from LMP, combining SCR Weight HI and SCR Weight LO, indicates measured weight.")</f>
        <v>Output SCR Weight PV from LMP, combining SCR Weight HI and SCR Weight LO, indicates measured weight.</v>
      </c>
      <c r="I1479" s="5"/>
      <c r="J1479" s="5"/>
    </row>
    <row r="1480" spans="1:10" x14ac:dyDescent="0.25">
      <c r="A1480" s="3" t="s">
        <v>6983</v>
      </c>
      <c r="B1480" s="3" t="s">
        <v>6989</v>
      </c>
      <c r="C1480" s="3" t="s">
        <v>6985</v>
      </c>
      <c r="D1480" s="3" t="s">
        <v>1138</v>
      </c>
      <c r="E1480" s="3">
        <v>1479</v>
      </c>
      <c r="F1480" s="3" t="s">
        <v>3838</v>
      </c>
      <c r="G1480" s="3" t="s">
        <v>1100</v>
      </c>
      <c r="H1480" s="3" t="str">
        <f>_xlfn.CONCAT("Output ",F1480, " from LMP, combining BIAS LINE Weight HI and BIAS LINE Weight LO, indicates measured weight.")</f>
        <v>Output BIAS LINE Weight PV from LMP, combining BIAS LINE Weight HI and BIAS LINE Weight LO, indicates measured weight.</v>
      </c>
      <c r="I1480" s="5"/>
      <c r="J1480" s="5"/>
    </row>
    <row r="1481" spans="1:10" x14ac:dyDescent="0.25">
      <c r="A1481" s="3" t="s">
        <v>6983</v>
      </c>
      <c r="B1481" s="3" t="s">
        <v>6989</v>
      </c>
      <c r="C1481" s="3" t="s">
        <v>6985</v>
      </c>
      <c r="D1481" s="3" t="s">
        <v>1138</v>
      </c>
      <c r="E1481" s="3">
        <v>1480</v>
      </c>
      <c r="F1481" s="3" t="s">
        <v>3839</v>
      </c>
      <c r="G1481" s="3" t="s">
        <v>1100</v>
      </c>
      <c r="H1481" s="3" t="str">
        <f>_xlfn.CONCAT("Output ",F1481, " from LMP, combining TENDON Weight HI and TENDON Weight LO, indicates measured weight.")</f>
        <v>Output TENDON Weight PV from LMP, combining TENDON Weight HI and TENDON Weight LO, indicates measured weight.</v>
      </c>
      <c r="I1481" s="5"/>
      <c r="J1481" s="5"/>
    </row>
    <row r="1482" spans="1:10" x14ac:dyDescent="0.25">
      <c r="A1482" s="3" t="s">
        <v>6983</v>
      </c>
      <c r="B1482" s="3" t="s">
        <v>6989</v>
      </c>
      <c r="C1482" s="3" t="s">
        <v>6985</v>
      </c>
      <c r="D1482" s="3" t="s">
        <v>1138</v>
      </c>
      <c r="E1482" s="3">
        <v>1481</v>
      </c>
      <c r="F1482" s="3" t="s">
        <v>3840</v>
      </c>
      <c r="G1482" s="3" t="s">
        <v>1100</v>
      </c>
      <c r="H1482" s="3" t="str">
        <f>_xlfn.CONCAT("Output ",F1482, " from LMP, combining TTR Weight HI and TTR Weight LO, indicates measured weight.")</f>
        <v>Output TTR Weight PV from LMP, combining TTR Weight HI and TTR Weight LO, indicates measured weight.</v>
      </c>
      <c r="I1482" s="5"/>
      <c r="J1482" s="5"/>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98887-CAE4-40CC-B762-89C2AE4443DD}">
  <dimension ref="A1:J1177"/>
  <sheetViews>
    <sheetView topLeftCell="B809" zoomScaleNormal="100" workbookViewId="0">
      <selection activeCell="F822" sqref="F822:F823"/>
    </sheetView>
  </sheetViews>
  <sheetFormatPr defaultRowHeight="15" x14ac:dyDescent="0.25"/>
  <cols>
    <col min="1" max="3" width="9.140625" style="3"/>
    <col min="4" max="4" width="18.42578125" style="3" customWidth="1"/>
    <col min="5" max="5" width="6" style="3" customWidth="1"/>
    <col min="6" max="6" width="23.85546875" style="3" customWidth="1"/>
    <col min="7" max="7" width="6.28515625" style="3" customWidth="1"/>
    <col min="8" max="8" width="73.85546875" style="3" customWidth="1"/>
    <col min="9" max="10" width="23.85546875" style="3" customWidth="1"/>
  </cols>
  <sheetData>
    <row r="1" spans="1:10" x14ac:dyDescent="0.25">
      <c r="A1" s="6" t="s">
        <v>6980</v>
      </c>
      <c r="B1" s="6" t="s">
        <v>6981</v>
      </c>
      <c r="C1" s="6" t="s">
        <v>6982</v>
      </c>
      <c r="D1" s="6" t="s">
        <v>0</v>
      </c>
      <c r="E1" s="6" t="s">
        <v>1</v>
      </c>
      <c r="F1" s="6" t="s">
        <v>2</v>
      </c>
      <c r="G1" s="6" t="s">
        <v>3</v>
      </c>
      <c r="H1" s="6" t="s">
        <v>22</v>
      </c>
      <c r="I1" s="6" t="s">
        <v>1139</v>
      </c>
      <c r="J1" s="6" t="s">
        <v>1269</v>
      </c>
    </row>
    <row r="2" spans="1:10" ht="15" customHeight="1" x14ac:dyDescent="0.25">
      <c r="A2" s="3" t="s">
        <v>6983</v>
      </c>
      <c r="B2" s="3" t="s">
        <v>6992</v>
      </c>
      <c r="C2" s="3" t="s">
        <v>6985</v>
      </c>
      <c r="D2" s="11" t="s">
        <v>6306</v>
      </c>
      <c r="E2" s="3">
        <v>1</v>
      </c>
      <c r="F2" s="3" t="s">
        <v>2465</v>
      </c>
      <c r="G2" s="3" t="s">
        <v>4</v>
      </c>
      <c r="H2" s="3" t="s">
        <v>6375</v>
      </c>
      <c r="I2" s="3" t="s">
        <v>1232</v>
      </c>
    </row>
    <row r="3" spans="1:10" x14ac:dyDescent="0.25">
      <c r="A3" s="3" t="s">
        <v>6983</v>
      </c>
      <c r="B3" s="3" t="s">
        <v>6992</v>
      </c>
      <c r="C3" s="3" t="s">
        <v>6985</v>
      </c>
      <c r="D3" s="3" t="s">
        <v>6306</v>
      </c>
      <c r="E3" s="3">
        <v>2</v>
      </c>
      <c r="F3" s="3" t="s">
        <v>2466</v>
      </c>
      <c r="G3" s="3" t="s">
        <v>4</v>
      </c>
      <c r="H3" s="3" t="s">
        <v>6376</v>
      </c>
      <c r="I3" s="3" t="s">
        <v>1232</v>
      </c>
    </row>
    <row r="4" spans="1:10" x14ac:dyDescent="0.25">
      <c r="A4" s="3" t="s">
        <v>6983</v>
      </c>
      <c r="B4" s="3" t="s">
        <v>6992</v>
      </c>
      <c r="C4" s="3" t="s">
        <v>6985</v>
      </c>
      <c r="D4" s="3" t="s">
        <v>6306</v>
      </c>
      <c r="E4" s="3">
        <v>3</v>
      </c>
      <c r="F4" s="3" t="s">
        <v>2467</v>
      </c>
      <c r="G4" s="3" t="s">
        <v>1093</v>
      </c>
      <c r="H4" s="4" t="s">
        <v>6374</v>
      </c>
      <c r="I4" s="3" t="s">
        <v>1232</v>
      </c>
    </row>
    <row r="5" spans="1:10" x14ac:dyDescent="0.25">
      <c r="A5" s="3" t="s">
        <v>6983</v>
      </c>
      <c r="B5" s="3" t="s">
        <v>6992</v>
      </c>
      <c r="C5" s="3" t="s">
        <v>6985</v>
      </c>
      <c r="D5" s="3" t="s">
        <v>6306</v>
      </c>
      <c r="E5" s="3">
        <v>4</v>
      </c>
      <c r="F5" s="3" t="s">
        <v>2468</v>
      </c>
      <c r="G5" s="3" t="s">
        <v>6</v>
      </c>
      <c r="H5" s="3" t="s">
        <v>23</v>
      </c>
      <c r="I5" s="3" t="s">
        <v>1232</v>
      </c>
    </row>
    <row r="6" spans="1:10" x14ac:dyDescent="0.25">
      <c r="A6" s="3" t="s">
        <v>6983</v>
      </c>
      <c r="B6" s="3" t="s">
        <v>6992</v>
      </c>
      <c r="C6" s="3" t="s">
        <v>6985</v>
      </c>
      <c r="D6" s="3" t="s">
        <v>6306</v>
      </c>
      <c r="E6" s="3">
        <v>5</v>
      </c>
      <c r="F6" s="3" t="s">
        <v>2469</v>
      </c>
      <c r="G6" s="3" t="s">
        <v>6</v>
      </c>
      <c r="H6" s="3" t="s">
        <v>24</v>
      </c>
      <c r="I6" s="3" t="s">
        <v>1232</v>
      </c>
    </row>
    <row r="7" spans="1:10" x14ac:dyDescent="0.25">
      <c r="A7" s="3" t="s">
        <v>6983</v>
      </c>
      <c r="B7" s="3" t="s">
        <v>6992</v>
      </c>
      <c r="C7" s="3" t="s">
        <v>6985</v>
      </c>
      <c r="D7" s="3" t="s">
        <v>6306</v>
      </c>
      <c r="E7" s="3">
        <v>6</v>
      </c>
      <c r="F7" s="3" t="s">
        <v>2470</v>
      </c>
      <c r="G7" s="3" t="s">
        <v>6</v>
      </c>
      <c r="H7" s="3" t="s">
        <v>25</v>
      </c>
      <c r="I7" s="3" t="s">
        <v>1232</v>
      </c>
    </row>
    <row r="8" spans="1:10" x14ac:dyDescent="0.25">
      <c r="A8" s="3" t="s">
        <v>6983</v>
      </c>
      <c r="B8" s="3" t="s">
        <v>6992</v>
      </c>
      <c r="C8" s="3" t="s">
        <v>6985</v>
      </c>
      <c r="D8" s="3" t="s">
        <v>6306</v>
      </c>
      <c r="E8" s="3">
        <v>7</v>
      </c>
      <c r="F8" s="3" t="s">
        <v>2471</v>
      </c>
      <c r="G8" s="3" t="s">
        <v>1090</v>
      </c>
      <c r="H8" s="3" t="s">
        <v>26</v>
      </c>
      <c r="I8" s="3" t="s">
        <v>1232</v>
      </c>
    </row>
    <row r="9" spans="1:10" x14ac:dyDescent="0.25">
      <c r="A9" s="3" t="s">
        <v>6983</v>
      </c>
      <c r="B9" s="3" t="s">
        <v>6992</v>
      </c>
      <c r="C9" s="3" t="s">
        <v>6985</v>
      </c>
      <c r="D9" s="3" t="s">
        <v>6306</v>
      </c>
      <c r="E9" s="3">
        <v>8</v>
      </c>
      <c r="F9" s="3" t="s">
        <v>2472</v>
      </c>
      <c r="G9" s="3" t="s">
        <v>1090</v>
      </c>
      <c r="H9" s="3" t="s">
        <v>27</v>
      </c>
      <c r="I9" s="3" t="s">
        <v>1232</v>
      </c>
    </row>
    <row r="10" spans="1:10" x14ac:dyDescent="0.25">
      <c r="A10" s="3" t="s">
        <v>6983</v>
      </c>
      <c r="B10" s="3" t="s">
        <v>6992</v>
      </c>
      <c r="C10" s="3" t="s">
        <v>6985</v>
      </c>
      <c r="D10" s="3" t="s">
        <v>6306</v>
      </c>
      <c r="E10" s="3">
        <v>9</v>
      </c>
      <c r="F10" s="3" t="s">
        <v>2473</v>
      </c>
      <c r="G10" s="3" t="s">
        <v>1090</v>
      </c>
      <c r="H10" s="3" t="s">
        <v>28</v>
      </c>
      <c r="I10" s="3" t="s">
        <v>1232</v>
      </c>
    </row>
    <row r="11" spans="1:10" x14ac:dyDescent="0.25">
      <c r="A11" s="3" t="s">
        <v>6983</v>
      </c>
      <c r="B11" s="3" t="s">
        <v>6992</v>
      </c>
      <c r="C11" s="3" t="s">
        <v>6985</v>
      </c>
      <c r="D11" s="3" t="s">
        <v>6306</v>
      </c>
      <c r="E11" s="3">
        <v>10</v>
      </c>
      <c r="F11" s="3" t="s">
        <v>2474</v>
      </c>
      <c r="G11" s="3" t="s">
        <v>4</v>
      </c>
      <c r="H11" s="3" t="s">
        <v>6377</v>
      </c>
      <c r="I11" s="3" t="s">
        <v>1232</v>
      </c>
    </row>
    <row r="12" spans="1:10" x14ac:dyDescent="0.25">
      <c r="A12" s="3" t="s">
        <v>6983</v>
      </c>
      <c r="B12" s="3" t="s">
        <v>6992</v>
      </c>
      <c r="C12" s="3" t="s">
        <v>6985</v>
      </c>
      <c r="D12" s="3" t="s">
        <v>6306</v>
      </c>
      <c r="E12" s="3">
        <v>11</v>
      </c>
      <c r="F12" s="3" t="s">
        <v>2475</v>
      </c>
      <c r="G12" s="3" t="s">
        <v>8</v>
      </c>
      <c r="H12" s="3" t="s">
        <v>6993</v>
      </c>
      <c r="I12" s="3" t="s">
        <v>1232</v>
      </c>
    </row>
    <row r="13" spans="1:10" ht="15" customHeight="1" x14ac:dyDescent="0.25">
      <c r="A13" s="3" t="s">
        <v>6983</v>
      </c>
      <c r="B13" s="3" t="s">
        <v>6992</v>
      </c>
      <c r="C13" s="3" t="s">
        <v>6985</v>
      </c>
      <c r="D13" s="3" t="s">
        <v>2105</v>
      </c>
      <c r="E13" s="3">
        <v>12</v>
      </c>
      <c r="F13" s="3" t="s">
        <v>75</v>
      </c>
      <c r="G13" s="3" t="s">
        <v>14</v>
      </c>
      <c r="H13" s="3" t="s">
        <v>6828</v>
      </c>
      <c r="I13" s="3" t="s">
        <v>1179</v>
      </c>
    </row>
    <row r="14" spans="1:10" x14ac:dyDescent="0.25">
      <c r="A14" s="3" t="s">
        <v>6983</v>
      </c>
      <c r="B14" s="3" t="s">
        <v>6992</v>
      </c>
      <c r="C14" s="3" t="s">
        <v>6985</v>
      </c>
      <c r="D14" s="3" t="s">
        <v>2105</v>
      </c>
      <c r="E14" s="3">
        <v>13</v>
      </c>
      <c r="F14" s="3" t="s">
        <v>76</v>
      </c>
      <c r="G14" s="3" t="s">
        <v>15</v>
      </c>
      <c r="H14" s="3" t="s">
        <v>6829</v>
      </c>
      <c r="I14" s="3" t="s">
        <v>1179</v>
      </c>
    </row>
    <row r="15" spans="1:10" x14ac:dyDescent="0.25">
      <c r="A15" s="3" t="s">
        <v>6983</v>
      </c>
      <c r="B15" s="3" t="s">
        <v>6992</v>
      </c>
      <c r="C15" s="3" t="s">
        <v>6985</v>
      </c>
      <c r="D15" s="3" t="s">
        <v>2105</v>
      </c>
      <c r="E15" s="3">
        <v>14</v>
      </c>
      <c r="F15" s="3" t="s">
        <v>77</v>
      </c>
      <c r="G15" s="3" t="s">
        <v>1091</v>
      </c>
      <c r="H15" s="3" t="s">
        <v>6830</v>
      </c>
      <c r="I15" s="3" t="s">
        <v>1179</v>
      </c>
    </row>
    <row r="16" spans="1:10" x14ac:dyDescent="0.25">
      <c r="A16" s="3" t="s">
        <v>6983</v>
      </c>
      <c r="B16" s="3" t="s">
        <v>6992</v>
      </c>
      <c r="C16" s="3" t="s">
        <v>6985</v>
      </c>
      <c r="D16" s="3" t="s">
        <v>2105</v>
      </c>
      <c r="E16" s="3">
        <v>15</v>
      </c>
      <c r="F16" s="3" t="s">
        <v>78</v>
      </c>
      <c r="G16" s="3" t="s">
        <v>14</v>
      </c>
      <c r="H16" s="3" t="s">
        <v>6833</v>
      </c>
      <c r="I16" s="3" t="s">
        <v>1179</v>
      </c>
    </row>
    <row r="17" spans="1:9" x14ac:dyDescent="0.25">
      <c r="A17" s="3" t="s">
        <v>6983</v>
      </c>
      <c r="B17" s="3" t="s">
        <v>6992</v>
      </c>
      <c r="C17" s="3" t="s">
        <v>6985</v>
      </c>
      <c r="D17" s="3" t="s">
        <v>2105</v>
      </c>
      <c r="E17" s="3">
        <v>16</v>
      </c>
      <c r="F17" s="3" t="s">
        <v>79</v>
      </c>
      <c r="G17" s="3" t="s">
        <v>15</v>
      </c>
      <c r="H17" s="3" t="s">
        <v>6831</v>
      </c>
      <c r="I17" s="3" t="s">
        <v>1179</v>
      </c>
    </row>
    <row r="18" spans="1:9" x14ac:dyDescent="0.25">
      <c r="A18" s="3" t="s">
        <v>6983</v>
      </c>
      <c r="B18" s="3" t="s">
        <v>6992</v>
      </c>
      <c r="C18" s="3" t="s">
        <v>6985</v>
      </c>
      <c r="D18" s="3" t="s">
        <v>2105</v>
      </c>
      <c r="E18" s="3">
        <v>17</v>
      </c>
      <c r="F18" s="3" t="s">
        <v>80</v>
      </c>
      <c r="G18" s="3" t="s">
        <v>1091</v>
      </c>
      <c r="H18" s="3" t="s">
        <v>6832</v>
      </c>
      <c r="I18" s="3" t="s">
        <v>1179</v>
      </c>
    </row>
    <row r="19" spans="1:9" x14ac:dyDescent="0.25">
      <c r="A19" s="3" t="s">
        <v>6983</v>
      </c>
      <c r="B19" s="3" t="s">
        <v>6992</v>
      </c>
      <c r="C19" s="3" t="s">
        <v>6985</v>
      </c>
      <c r="D19" s="3" t="s">
        <v>2105</v>
      </c>
      <c r="E19" s="3">
        <v>18</v>
      </c>
      <c r="F19" s="3" t="s">
        <v>81</v>
      </c>
      <c r="G19" s="3" t="s">
        <v>1093</v>
      </c>
      <c r="H19" s="3" t="s">
        <v>35</v>
      </c>
      <c r="I19" s="3" t="s">
        <v>1179</v>
      </c>
    </row>
    <row r="20" spans="1:9" x14ac:dyDescent="0.25">
      <c r="A20" s="3" t="s">
        <v>6983</v>
      </c>
      <c r="B20" s="3" t="s">
        <v>6992</v>
      </c>
      <c r="C20" s="3" t="s">
        <v>6985</v>
      </c>
      <c r="D20" s="3" t="s">
        <v>2105</v>
      </c>
      <c r="E20" s="3">
        <v>19</v>
      </c>
      <c r="F20" s="3" t="s">
        <v>82</v>
      </c>
      <c r="G20" s="3" t="s">
        <v>3841</v>
      </c>
      <c r="H20" s="3" t="s">
        <v>36</v>
      </c>
      <c r="I20" s="3" t="s">
        <v>1179</v>
      </c>
    </row>
    <row r="21" spans="1:9" x14ac:dyDescent="0.25">
      <c r="A21" s="3" t="s">
        <v>6983</v>
      </c>
      <c r="B21" s="3" t="s">
        <v>6992</v>
      </c>
      <c r="C21" s="3" t="s">
        <v>6985</v>
      </c>
      <c r="D21" s="3" t="s">
        <v>2105</v>
      </c>
      <c r="E21" s="3">
        <v>20</v>
      </c>
      <c r="F21" s="3" t="s">
        <v>83</v>
      </c>
      <c r="G21" s="3" t="s">
        <v>16</v>
      </c>
      <c r="H21" s="3" t="s">
        <v>1143</v>
      </c>
      <c r="I21" s="3" t="s">
        <v>1179</v>
      </c>
    </row>
    <row r="22" spans="1:9" x14ac:dyDescent="0.25">
      <c r="A22" s="3" t="s">
        <v>6983</v>
      </c>
      <c r="B22" s="3" t="s">
        <v>6992</v>
      </c>
      <c r="C22" s="3" t="s">
        <v>6985</v>
      </c>
      <c r="D22" s="3" t="s">
        <v>2105</v>
      </c>
      <c r="E22" s="3">
        <v>21</v>
      </c>
      <c r="F22" s="3" t="s">
        <v>3854</v>
      </c>
      <c r="G22" s="3" t="s">
        <v>16</v>
      </c>
      <c r="H22" s="3" t="s">
        <v>37</v>
      </c>
      <c r="I22" s="3" t="s">
        <v>1179</v>
      </c>
    </row>
    <row r="23" spans="1:9" ht="15" customHeight="1" x14ac:dyDescent="0.25">
      <c r="A23" s="3" t="s">
        <v>6983</v>
      </c>
      <c r="B23" s="3" t="s">
        <v>6992</v>
      </c>
      <c r="C23" s="3" t="s">
        <v>6985</v>
      </c>
      <c r="D23" s="3" t="s">
        <v>6307</v>
      </c>
      <c r="E23" s="3">
        <v>22</v>
      </c>
      <c r="F23" s="3" t="s">
        <v>2481</v>
      </c>
      <c r="G23" s="3" t="s">
        <v>14</v>
      </c>
      <c r="H23" s="3" t="s">
        <v>6828</v>
      </c>
      <c r="I23" s="3" t="s">
        <v>1179</v>
      </c>
    </row>
    <row r="24" spans="1:9" x14ac:dyDescent="0.25">
      <c r="A24" s="3" t="s">
        <v>6983</v>
      </c>
      <c r="B24" s="3" t="s">
        <v>6992</v>
      </c>
      <c r="C24" s="3" t="s">
        <v>6985</v>
      </c>
      <c r="D24" s="3" t="s">
        <v>6307</v>
      </c>
      <c r="E24" s="3">
        <v>23</v>
      </c>
      <c r="F24" s="3" t="s">
        <v>2482</v>
      </c>
      <c r="G24" s="3" t="s">
        <v>15</v>
      </c>
      <c r="H24" s="3" t="s">
        <v>6829</v>
      </c>
      <c r="I24" s="3" t="s">
        <v>1179</v>
      </c>
    </row>
    <row r="25" spans="1:9" x14ac:dyDescent="0.25">
      <c r="A25" s="3" t="s">
        <v>6983</v>
      </c>
      <c r="B25" s="3" t="s">
        <v>6992</v>
      </c>
      <c r="C25" s="3" t="s">
        <v>6985</v>
      </c>
      <c r="D25" s="3" t="s">
        <v>6307</v>
      </c>
      <c r="E25" s="3">
        <v>24</v>
      </c>
      <c r="F25" s="3" t="s">
        <v>2483</v>
      </c>
      <c r="G25" s="3" t="s">
        <v>1091</v>
      </c>
      <c r="H25" s="3" t="s">
        <v>6830</v>
      </c>
      <c r="I25" s="3" t="s">
        <v>1179</v>
      </c>
    </row>
    <row r="26" spans="1:9" x14ac:dyDescent="0.25">
      <c r="A26" s="3" t="s">
        <v>6983</v>
      </c>
      <c r="B26" s="3" t="s">
        <v>6992</v>
      </c>
      <c r="C26" s="3" t="s">
        <v>6985</v>
      </c>
      <c r="D26" s="3" t="s">
        <v>6307</v>
      </c>
      <c r="E26" s="3">
        <v>25</v>
      </c>
      <c r="F26" s="3" t="s">
        <v>2484</v>
      </c>
      <c r="G26" s="3" t="s">
        <v>14</v>
      </c>
      <c r="H26" s="3" t="s">
        <v>6833</v>
      </c>
      <c r="I26" s="3" t="s">
        <v>1179</v>
      </c>
    </row>
    <row r="27" spans="1:9" x14ac:dyDescent="0.25">
      <c r="A27" s="3" t="s">
        <v>6983</v>
      </c>
      <c r="B27" s="3" t="s">
        <v>6992</v>
      </c>
      <c r="C27" s="3" t="s">
        <v>6985</v>
      </c>
      <c r="D27" s="3" t="s">
        <v>6307</v>
      </c>
      <c r="E27" s="3">
        <v>26</v>
      </c>
      <c r="F27" s="3" t="s">
        <v>2485</v>
      </c>
      <c r="G27" s="3" t="s">
        <v>15</v>
      </c>
      <c r="H27" s="3" t="s">
        <v>6831</v>
      </c>
      <c r="I27" s="3" t="s">
        <v>1179</v>
      </c>
    </row>
    <row r="28" spans="1:9" x14ac:dyDescent="0.25">
      <c r="A28" s="3" t="s">
        <v>6983</v>
      </c>
      <c r="B28" s="3" t="s">
        <v>6992</v>
      </c>
      <c r="C28" s="3" t="s">
        <v>6985</v>
      </c>
      <c r="D28" s="3" t="s">
        <v>6307</v>
      </c>
      <c r="E28" s="3">
        <v>27</v>
      </c>
      <c r="F28" s="3" t="s">
        <v>2486</v>
      </c>
      <c r="G28" s="3" t="s">
        <v>1091</v>
      </c>
      <c r="H28" s="3" t="s">
        <v>6832</v>
      </c>
      <c r="I28" s="3" t="s">
        <v>1179</v>
      </c>
    </row>
    <row r="29" spans="1:9" x14ac:dyDescent="0.25">
      <c r="A29" s="3" t="s">
        <v>6983</v>
      </c>
      <c r="B29" s="3" t="s">
        <v>6992</v>
      </c>
      <c r="C29" s="3" t="s">
        <v>6985</v>
      </c>
      <c r="D29" s="3" t="s">
        <v>6307</v>
      </c>
      <c r="E29" s="3">
        <v>28</v>
      </c>
      <c r="F29" s="3" t="s">
        <v>2487</v>
      </c>
      <c r="G29" s="3" t="s">
        <v>1093</v>
      </c>
      <c r="H29" s="3" t="s">
        <v>35</v>
      </c>
      <c r="I29" s="3" t="s">
        <v>1179</v>
      </c>
    </row>
    <row r="30" spans="1:9" x14ac:dyDescent="0.25">
      <c r="A30" s="3" t="s">
        <v>6983</v>
      </c>
      <c r="B30" s="3" t="s">
        <v>6992</v>
      </c>
      <c r="C30" s="3" t="s">
        <v>6985</v>
      </c>
      <c r="D30" s="3" t="s">
        <v>6307</v>
      </c>
      <c r="E30" s="3">
        <v>29</v>
      </c>
      <c r="F30" s="3" t="s">
        <v>2488</v>
      </c>
      <c r="G30" s="3" t="s">
        <v>3841</v>
      </c>
      <c r="H30" s="3" t="s">
        <v>36</v>
      </c>
      <c r="I30" s="3" t="s">
        <v>1179</v>
      </c>
    </row>
    <row r="31" spans="1:9" x14ac:dyDescent="0.25">
      <c r="A31" s="3" t="s">
        <v>6983</v>
      </c>
      <c r="B31" s="3" t="s">
        <v>6992</v>
      </c>
      <c r="C31" s="3" t="s">
        <v>6985</v>
      </c>
      <c r="D31" s="3" t="s">
        <v>6307</v>
      </c>
      <c r="E31" s="3">
        <v>30</v>
      </c>
      <c r="F31" s="3" t="s">
        <v>2489</v>
      </c>
      <c r="G31" s="3" t="s">
        <v>16</v>
      </c>
      <c r="H31" s="3" t="s">
        <v>1143</v>
      </c>
      <c r="I31" s="3" t="s">
        <v>1179</v>
      </c>
    </row>
    <row r="32" spans="1:9" x14ac:dyDescent="0.25">
      <c r="A32" s="3" t="s">
        <v>6983</v>
      </c>
      <c r="B32" s="3" t="s">
        <v>6992</v>
      </c>
      <c r="C32" s="3" t="s">
        <v>6985</v>
      </c>
      <c r="D32" s="3" t="s">
        <v>6307</v>
      </c>
      <c r="E32" s="3">
        <v>31</v>
      </c>
      <c r="F32" s="3" t="s">
        <v>3855</v>
      </c>
      <c r="G32" s="3" t="s">
        <v>16</v>
      </c>
      <c r="H32" s="3" t="s">
        <v>37</v>
      </c>
      <c r="I32" s="3" t="s">
        <v>1179</v>
      </c>
    </row>
    <row r="33" spans="1:10" x14ac:dyDescent="0.25">
      <c r="A33" s="3" t="s">
        <v>6983</v>
      </c>
      <c r="B33" s="3" t="s">
        <v>6992</v>
      </c>
      <c r="C33" s="3" t="s">
        <v>6985</v>
      </c>
      <c r="D33" s="3" t="s">
        <v>6308</v>
      </c>
      <c r="E33" s="3">
        <v>32</v>
      </c>
      <c r="F33" s="3" t="s">
        <v>3856</v>
      </c>
      <c r="G33" s="3" t="s">
        <v>3842</v>
      </c>
      <c r="H33" s="3" t="s">
        <v>6863</v>
      </c>
      <c r="J33" s="3" t="s">
        <v>6373</v>
      </c>
    </row>
    <row r="34" spans="1:10" x14ac:dyDescent="0.25">
      <c r="A34" s="3" t="s">
        <v>6983</v>
      </c>
      <c r="B34" s="3" t="s">
        <v>6992</v>
      </c>
      <c r="C34" s="3" t="s">
        <v>6985</v>
      </c>
      <c r="D34" s="3" t="s">
        <v>6308</v>
      </c>
      <c r="E34" s="3">
        <v>33</v>
      </c>
      <c r="F34" s="3" t="s">
        <v>3857</v>
      </c>
      <c r="G34" s="3" t="s">
        <v>3842</v>
      </c>
      <c r="H34" s="3" t="s">
        <v>6864</v>
      </c>
    </row>
    <row r="35" spans="1:10" x14ac:dyDescent="0.25">
      <c r="A35" s="3" t="s">
        <v>6983</v>
      </c>
      <c r="B35" s="3" t="s">
        <v>6992</v>
      </c>
      <c r="C35" s="3" t="s">
        <v>6985</v>
      </c>
      <c r="D35" s="3" t="s">
        <v>6308</v>
      </c>
      <c r="E35" s="3">
        <v>34</v>
      </c>
      <c r="F35" s="3" t="s">
        <v>3858</v>
      </c>
      <c r="G35" s="3" t="s">
        <v>3842</v>
      </c>
      <c r="H35" s="3" t="s">
        <v>6865</v>
      </c>
    </row>
    <row r="36" spans="1:10" x14ac:dyDescent="0.25">
      <c r="A36" s="3" t="s">
        <v>6983</v>
      </c>
      <c r="B36" s="3" t="s">
        <v>6992</v>
      </c>
      <c r="C36" s="3" t="s">
        <v>6985</v>
      </c>
      <c r="D36" s="3" t="s">
        <v>6308</v>
      </c>
      <c r="E36" s="3">
        <v>35</v>
      </c>
      <c r="F36" s="3" t="s">
        <v>3859</v>
      </c>
      <c r="G36" s="3" t="s">
        <v>3842</v>
      </c>
      <c r="H36" s="3" t="s">
        <v>6866</v>
      </c>
    </row>
    <row r="37" spans="1:10" x14ac:dyDescent="0.25">
      <c r="A37" s="3" t="s">
        <v>6983</v>
      </c>
      <c r="B37" s="3" t="s">
        <v>6992</v>
      </c>
      <c r="C37" s="3" t="s">
        <v>6985</v>
      </c>
      <c r="D37" s="3" t="s">
        <v>6308</v>
      </c>
      <c r="E37" s="3">
        <v>36</v>
      </c>
      <c r="F37" s="3" t="s">
        <v>3860</v>
      </c>
      <c r="G37" s="3" t="s">
        <v>3842</v>
      </c>
      <c r="H37" s="3" t="s">
        <v>6867</v>
      </c>
    </row>
    <row r="38" spans="1:10" x14ac:dyDescent="0.25">
      <c r="A38" s="3" t="s">
        <v>6983</v>
      </c>
      <c r="B38" s="3" t="s">
        <v>6992</v>
      </c>
      <c r="C38" s="3" t="s">
        <v>6985</v>
      </c>
      <c r="D38" s="3" t="s">
        <v>6308</v>
      </c>
      <c r="E38" s="3">
        <v>37</v>
      </c>
      <c r="F38" s="3" t="s">
        <v>3861</v>
      </c>
      <c r="G38" s="3" t="s">
        <v>3842</v>
      </c>
      <c r="H38" s="3" t="s">
        <v>6868</v>
      </c>
    </row>
    <row r="39" spans="1:10" x14ac:dyDescent="0.25">
      <c r="A39" s="3" t="s">
        <v>6983</v>
      </c>
      <c r="B39" s="3" t="s">
        <v>6992</v>
      </c>
      <c r="C39" s="3" t="s">
        <v>6985</v>
      </c>
      <c r="D39" s="3" t="s">
        <v>6308</v>
      </c>
      <c r="E39" s="3">
        <v>38</v>
      </c>
      <c r="F39" s="3" t="s">
        <v>3862</v>
      </c>
      <c r="G39" s="3" t="s">
        <v>3842</v>
      </c>
      <c r="H39" s="3" t="s">
        <v>6869</v>
      </c>
    </row>
    <row r="40" spans="1:10" x14ac:dyDescent="0.25">
      <c r="A40" s="3" t="s">
        <v>6983</v>
      </c>
      <c r="B40" s="3" t="s">
        <v>6992</v>
      </c>
      <c r="C40" s="3" t="s">
        <v>6985</v>
      </c>
      <c r="D40" s="3" t="s">
        <v>6308</v>
      </c>
      <c r="E40" s="3">
        <v>39</v>
      </c>
      <c r="F40" s="3" t="s">
        <v>3863</v>
      </c>
      <c r="G40" s="3" t="s">
        <v>3842</v>
      </c>
      <c r="H40" s="3" t="s">
        <v>6870</v>
      </c>
    </row>
    <row r="41" spans="1:10" x14ac:dyDescent="0.25">
      <c r="A41" s="3" t="s">
        <v>6983</v>
      </c>
      <c r="B41" s="3" t="s">
        <v>6992</v>
      </c>
      <c r="C41" s="3" t="s">
        <v>6985</v>
      </c>
      <c r="D41" s="3" t="s">
        <v>6308</v>
      </c>
      <c r="E41" s="3">
        <v>40</v>
      </c>
      <c r="F41" s="3" t="s">
        <v>3864</v>
      </c>
      <c r="G41" s="3" t="s">
        <v>1093</v>
      </c>
      <c r="H41" s="3" t="s">
        <v>6857</v>
      </c>
    </row>
    <row r="42" spans="1:10" x14ac:dyDescent="0.25">
      <c r="A42" s="3" t="s">
        <v>6983</v>
      </c>
      <c r="B42" s="3" t="s">
        <v>6992</v>
      </c>
      <c r="C42" s="3" t="s">
        <v>6985</v>
      </c>
      <c r="D42" s="3" t="s">
        <v>6309</v>
      </c>
      <c r="E42" s="3">
        <v>41</v>
      </c>
      <c r="F42" s="3" t="s">
        <v>3865</v>
      </c>
      <c r="G42" s="3" t="s">
        <v>3842</v>
      </c>
      <c r="H42" s="3" t="s">
        <v>6903</v>
      </c>
    </row>
    <row r="43" spans="1:10" x14ac:dyDescent="0.25">
      <c r="A43" s="3" t="s">
        <v>6983</v>
      </c>
      <c r="B43" s="3" t="s">
        <v>6992</v>
      </c>
      <c r="C43" s="3" t="s">
        <v>6985</v>
      </c>
      <c r="D43" s="3" t="s">
        <v>6309</v>
      </c>
      <c r="E43" s="3">
        <v>42</v>
      </c>
      <c r="F43" s="3" t="s">
        <v>3866</v>
      </c>
      <c r="G43" s="3" t="s">
        <v>3842</v>
      </c>
      <c r="H43" s="3" t="s">
        <v>6904</v>
      </c>
    </row>
    <row r="44" spans="1:10" x14ac:dyDescent="0.25">
      <c r="A44" s="3" t="s">
        <v>6983</v>
      </c>
      <c r="B44" s="3" t="s">
        <v>6992</v>
      </c>
      <c r="C44" s="3" t="s">
        <v>6985</v>
      </c>
      <c r="D44" s="3" t="s">
        <v>6309</v>
      </c>
      <c r="E44" s="3">
        <v>43</v>
      </c>
      <c r="F44" s="3" t="s">
        <v>3867</v>
      </c>
      <c r="G44" s="3" t="s">
        <v>3842</v>
      </c>
      <c r="H44" s="3" t="s">
        <v>6905</v>
      </c>
    </row>
    <row r="45" spans="1:10" x14ac:dyDescent="0.25">
      <c r="A45" s="3" t="s">
        <v>6983</v>
      </c>
      <c r="B45" s="3" t="s">
        <v>6992</v>
      </c>
      <c r="C45" s="3" t="s">
        <v>6985</v>
      </c>
      <c r="D45" s="3" t="s">
        <v>6309</v>
      </c>
      <c r="E45" s="3">
        <v>44</v>
      </c>
      <c r="F45" s="3" t="s">
        <v>3868</v>
      </c>
      <c r="G45" s="3" t="s">
        <v>3842</v>
      </c>
      <c r="H45" s="3" t="s">
        <v>6906</v>
      </c>
    </row>
    <row r="46" spans="1:10" x14ac:dyDescent="0.25">
      <c r="A46" s="3" t="s">
        <v>6983</v>
      </c>
      <c r="B46" s="3" t="s">
        <v>6992</v>
      </c>
      <c r="C46" s="3" t="s">
        <v>6985</v>
      </c>
      <c r="D46" s="3" t="s">
        <v>6309</v>
      </c>
      <c r="E46" s="3">
        <v>45</v>
      </c>
      <c r="F46" s="3" t="s">
        <v>3869</v>
      </c>
      <c r="G46" s="3" t="s">
        <v>3842</v>
      </c>
      <c r="H46" s="3" t="s">
        <v>6907</v>
      </c>
    </row>
    <row r="47" spans="1:10" x14ac:dyDescent="0.25">
      <c r="A47" s="3" t="s">
        <v>6983</v>
      </c>
      <c r="B47" s="3" t="s">
        <v>6992</v>
      </c>
      <c r="C47" s="3" t="s">
        <v>6985</v>
      </c>
      <c r="D47" s="3" t="s">
        <v>6309</v>
      </c>
      <c r="E47" s="3">
        <v>46</v>
      </c>
      <c r="F47" s="3" t="s">
        <v>3870</v>
      </c>
      <c r="G47" s="3" t="s">
        <v>3842</v>
      </c>
      <c r="H47" s="3" t="s">
        <v>6908</v>
      </c>
    </row>
    <row r="48" spans="1:10" x14ac:dyDescent="0.25">
      <c r="A48" s="3" t="s">
        <v>6983</v>
      </c>
      <c r="B48" s="3" t="s">
        <v>6992</v>
      </c>
      <c r="C48" s="3" t="s">
        <v>6985</v>
      </c>
      <c r="D48" s="3" t="s">
        <v>6309</v>
      </c>
      <c r="E48" s="3">
        <v>47</v>
      </c>
      <c r="F48" s="3" t="s">
        <v>3871</v>
      </c>
      <c r="G48" s="3" t="s">
        <v>3842</v>
      </c>
      <c r="H48" s="3" t="s">
        <v>6909</v>
      </c>
    </row>
    <row r="49" spans="1:8" x14ac:dyDescent="0.25">
      <c r="A49" s="3" t="s">
        <v>6983</v>
      </c>
      <c r="B49" s="3" t="s">
        <v>6992</v>
      </c>
      <c r="C49" s="3" t="s">
        <v>6985</v>
      </c>
      <c r="D49" s="3" t="s">
        <v>6309</v>
      </c>
      <c r="E49" s="3">
        <v>48</v>
      </c>
      <c r="F49" s="3" t="s">
        <v>3872</v>
      </c>
      <c r="G49" s="3" t="s">
        <v>3842</v>
      </c>
      <c r="H49" s="3" t="s">
        <v>6910</v>
      </c>
    </row>
    <row r="50" spans="1:8" x14ac:dyDescent="0.25">
      <c r="A50" s="3" t="s">
        <v>6983</v>
      </c>
      <c r="B50" s="3" t="s">
        <v>6992</v>
      </c>
      <c r="C50" s="3" t="s">
        <v>6985</v>
      </c>
      <c r="D50" s="3" t="s">
        <v>6309</v>
      </c>
      <c r="E50" s="3">
        <v>49</v>
      </c>
      <c r="F50" s="3" t="s">
        <v>3873</v>
      </c>
      <c r="G50" s="3" t="s">
        <v>1093</v>
      </c>
      <c r="H50" s="3" t="s">
        <v>6862</v>
      </c>
    </row>
    <row r="51" spans="1:8" x14ac:dyDescent="0.25">
      <c r="A51" s="3" t="s">
        <v>6983</v>
      </c>
      <c r="B51" s="3" t="s">
        <v>6992</v>
      </c>
      <c r="C51" s="3" t="s">
        <v>6985</v>
      </c>
      <c r="D51" s="3" t="s">
        <v>6310</v>
      </c>
      <c r="E51" s="3">
        <v>50</v>
      </c>
      <c r="F51" s="3" t="s">
        <v>3874</v>
      </c>
      <c r="G51" s="3" t="s">
        <v>3842</v>
      </c>
      <c r="H51" s="3" t="s">
        <v>6895</v>
      </c>
    </row>
    <row r="52" spans="1:8" x14ac:dyDescent="0.25">
      <c r="A52" s="3" t="s">
        <v>6983</v>
      </c>
      <c r="B52" s="3" t="s">
        <v>6992</v>
      </c>
      <c r="C52" s="3" t="s">
        <v>6985</v>
      </c>
      <c r="D52" s="3" t="s">
        <v>6310</v>
      </c>
      <c r="E52" s="3">
        <v>51</v>
      </c>
      <c r="F52" s="3" t="s">
        <v>3875</v>
      </c>
      <c r="G52" s="3" t="s">
        <v>3842</v>
      </c>
      <c r="H52" s="3" t="s">
        <v>6896</v>
      </c>
    </row>
    <row r="53" spans="1:8" x14ac:dyDescent="0.25">
      <c r="A53" s="3" t="s">
        <v>6983</v>
      </c>
      <c r="B53" s="3" t="s">
        <v>6992</v>
      </c>
      <c r="C53" s="3" t="s">
        <v>6985</v>
      </c>
      <c r="D53" s="3" t="s">
        <v>6310</v>
      </c>
      <c r="E53" s="3">
        <v>52</v>
      </c>
      <c r="F53" s="3" t="s">
        <v>3876</v>
      </c>
      <c r="G53" s="3" t="s">
        <v>3842</v>
      </c>
      <c r="H53" s="3" t="s">
        <v>6897</v>
      </c>
    </row>
    <row r="54" spans="1:8" x14ac:dyDescent="0.25">
      <c r="A54" s="3" t="s">
        <v>6983</v>
      </c>
      <c r="B54" s="3" t="s">
        <v>6992</v>
      </c>
      <c r="C54" s="3" t="s">
        <v>6985</v>
      </c>
      <c r="D54" s="3" t="s">
        <v>6310</v>
      </c>
      <c r="E54" s="3">
        <v>53</v>
      </c>
      <c r="F54" s="3" t="s">
        <v>3877</v>
      </c>
      <c r="G54" s="3" t="s">
        <v>3842</v>
      </c>
      <c r="H54" s="3" t="s">
        <v>6898</v>
      </c>
    </row>
    <row r="55" spans="1:8" x14ac:dyDescent="0.25">
      <c r="A55" s="3" t="s">
        <v>6983</v>
      </c>
      <c r="B55" s="3" t="s">
        <v>6992</v>
      </c>
      <c r="C55" s="3" t="s">
        <v>6985</v>
      </c>
      <c r="D55" s="3" t="s">
        <v>6310</v>
      </c>
      <c r="E55" s="3">
        <v>54</v>
      </c>
      <c r="F55" s="3" t="s">
        <v>3878</v>
      </c>
      <c r="G55" s="3" t="s">
        <v>3842</v>
      </c>
      <c r="H55" s="3" t="s">
        <v>6899</v>
      </c>
    </row>
    <row r="56" spans="1:8" x14ac:dyDescent="0.25">
      <c r="A56" s="3" t="s">
        <v>6983</v>
      </c>
      <c r="B56" s="3" t="s">
        <v>6992</v>
      </c>
      <c r="C56" s="3" t="s">
        <v>6985</v>
      </c>
      <c r="D56" s="3" t="s">
        <v>6310</v>
      </c>
      <c r="E56" s="3">
        <v>55</v>
      </c>
      <c r="F56" s="3" t="s">
        <v>3879</v>
      </c>
      <c r="G56" s="3" t="s">
        <v>3842</v>
      </c>
      <c r="H56" s="3" t="s">
        <v>6900</v>
      </c>
    </row>
    <row r="57" spans="1:8" x14ac:dyDescent="0.25">
      <c r="A57" s="3" t="s">
        <v>6983</v>
      </c>
      <c r="B57" s="3" t="s">
        <v>6992</v>
      </c>
      <c r="C57" s="3" t="s">
        <v>6985</v>
      </c>
      <c r="D57" s="3" t="s">
        <v>6310</v>
      </c>
      <c r="E57" s="3">
        <v>56</v>
      </c>
      <c r="F57" s="3" t="s">
        <v>3880</v>
      </c>
      <c r="G57" s="3" t="s">
        <v>3842</v>
      </c>
      <c r="H57" s="3" t="s">
        <v>6901</v>
      </c>
    </row>
    <row r="58" spans="1:8" x14ac:dyDescent="0.25">
      <c r="A58" s="3" t="s">
        <v>6983</v>
      </c>
      <c r="B58" s="3" t="s">
        <v>6992</v>
      </c>
      <c r="C58" s="3" t="s">
        <v>6985</v>
      </c>
      <c r="D58" s="3" t="s">
        <v>6310</v>
      </c>
      <c r="E58" s="3">
        <v>57</v>
      </c>
      <c r="F58" s="3" t="s">
        <v>3881</v>
      </c>
      <c r="G58" s="3" t="s">
        <v>3842</v>
      </c>
      <c r="H58" s="3" t="s">
        <v>6902</v>
      </c>
    </row>
    <row r="59" spans="1:8" x14ac:dyDescent="0.25">
      <c r="A59" s="3" t="s">
        <v>6983</v>
      </c>
      <c r="B59" s="3" t="s">
        <v>6992</v>
      </c>
      <c r="C59" s="3" t="s">
        <v>6985</v>
      </c>
      <c r="D59" s="3" t="s">
        <v>6310</v>
      </c>
      <c r="E59" s="3">
        <v>58</v>
      </c>
      <c r="F59" s="3" t="s">
        <v>3882</v>
      </c>
      <c r="G59" s="3" t="s">
        <v>1093</v>
      </c>
      <c r="H59" s="3" t="s">
        <v>6861</v>
      </c>
    </row>
    <row r="60" spans="1:8" x14ac:dyDescent="0.25">
      <c r="A60" s="3" t="s">
        <v>6983</v>
      </c>
      <c r="B60" s="3" t="s">
        <v>6992</v>
      </c>
      <c r="C60" s="3" t="s">
        <v>6985</v>
      </c>
      <c r="D60" s="3" t="s">
        <v>6311</v>
      </c>
      <c r="E60" s="3">
        <v>59</v>
      </c>
      <c r="F60" s="3" t="s">
        <v>3883</v>
      </c>
      <c r="G60" s="3" t="s">
        <v>3842</v>
      </c>
      <c r="H60" s="3" t="s">
        <v>6887</v>
      </c>
    </row>
    <row r="61" spans="1:8" x14ac:dyDescent="0.25">
      <c r="A61" s="3" t="s">
        <v>6983</v>
      </c>
      <c r="B61" s="3" t="s">
        <v>6992</v>
      </c>
      <c r="C61" s="3" t="s">
        <v>6985</v>
      </c>
      <c r="D61" s="3" t="s">
        <v>6311</v>
      </c>
      <c r="E61" s="3">
        <v>60</v>
      </c>
      <c r="F61" s="3" t="s">
        <v>3884</v>
      </c>
      <c r="G61" s="3" t="s">
        <v>3842</v>
      </c>
      <c r="H61" s="3" t="s">
        <v>6888</v>
      </c>
    </row>
    <row r="62" spans="1:8" x14ac:dyDescent="0.25">
      <c r="A62" s="3" t="s">
        <v>6983</v>
      </c>
      <c r="B62" s="3" t="s">
        <v>6992</v>
      </c>
      <c r="C62" s="3" t="s">
        <v>6985</v>
      </c>
      <c r="D62" s="3" t="s">
        <v>6311</v>
      </c>
      <c r="E62" s="3">
        <v>61</v>
      </c>
      <c r="F62" s="3" t="s">
        <v>3885</v>
      </c>
      <c r="G62" s="3" t="s">
        <v>3842</v>
      </c>
      <c r="H62" s="3" t="s">
        <v>6889</v>
      </c>
    </row>
    <row r="63" spans="1:8" x14ac:dyDescent="0.25">
      <c r="A63" s="3" t="s">
        <v>6983</v>
      </c>
      <c r="B63" s="3" t="s">
        <v>6992</v>
      </c>
      <c r="C63" s="3" t="s">
        <v>6985</v>
      </c>
      <c r="D63" s="3" t="s">
        <v>6311</v>
      </c>
      <c r="E63" s="3">
        <v>62</v>
      </c>
      <c r="F63" s="3" t="s">
        <v>3886</v>
      </c>
      <c r="G63" s="3" t="s">
        <v>3842</v>
      </c>
      <c r="H63" s="3" t="s">
        <v>6890</v>
      </c>
    </row>
    <row r="64" spans="1:8" x14ac:dyDescent="0.25">
      <c r="A64" s="3" t="s">
        <v>6983</v>
      </c>
      <c r="B64" s="3" t="s">
        <v>6992</v>
      </c>
      <c r="C64" s="3" t="s">
        <v>6985</v>
      </c>
      <c r="D64" s="3" t="s">
        <v>6311</v>
      </c>
      <c r="E64" s="3">
        <v>63</v>
      </c>
      <c r="F64" s="3" t="s">
        <v>3887</v>
      </c>
      <c r="G64" s="3" t="s">
        <v>3842</v>
      </c>
      <c r="H64" s="3" t="s">
        <v>6891</v>
      </c>
    </row>
    <row r="65" spans="1:8" x14ac:dyDescent="0.25">
      <c r="A65" s="3" t="s">
        <v>6983</v>
      </c>
      <c r="B65" s="3" t="s">
        <v>6992</v>
      </c>
      <c r="C65" s="3" t="s">
        <v>6985</v>
      </c>
      <c r="D65" s="3" t="s">
        <v>6311</v>
      </c>
      <c r="E65" s="3">
        <v>64</v>
      </c>
      <c r="F65" s="3" t="s">
        <v>3888</v>
      </c>
      <c r="G65" s="3" t="s">
        <v>3842</v>
      </c>
      <c r="H65" s="3" t="s">
        <v>6892</v>
      </c>
    </row>
    <row r="66" spans="1:8" x14ac:dyDescent="0.25">
      <c r="A66" s="3" t="s">
        <v>6983</v>
      </c>
      <c r="B66" s="3" t="s">
        <v>6992</v>
      </c>
      <c r="C66" s="3" t="s">
        <v>6985</v>
      </c>
      <c r="D66" s="3" t="s">
        <v>6311</v>
      </c>
      <c r="E66" s="3">
        <v>65</v>
      </c>
      <c r="F66" s="3" t="s">
        <v>3889</v>
      </c>
      <c r="G66" s="3" t="s">
        <v>3842</v>
      </c>
      <c r="H66" s="3" t="s">
        <v>6893</v>
      </c>
    </row>
    <row r="67" spans="1:8" x14ac:dyDescent="0.25">
      <c r="A67" s="3" t="s">
        <v>6983</v>
      </c>
      <c r="B67" s="3" t="s">
        <v>6992</v>
      </c>
      <c r="C67" s="3" t="s">
        <v>6985</v>
      </c>
      <c r="D67" s="3" t="s">
        <v>6311</v>
      </c>
      <c r="E67" s="3">
        <v>66</v>
      </c>
      <c r="F67" s="3" t="s">
        <v>3890</v>
      </c>
      <c r="G67" s="3" t="s">
        <v>3842</v>
      </c>
      <c r="H67" s="3" t="s">
        <v>6894</v>
      </c>
    </row>
    <row r="68" spans="1:8" x14ac:dyDescent="0.25">
      <c r="A68" s="3" t="s">
        <v>6983</v>
      </c>
      <c r="B68" s="3" t="s">
        <v>6992</v>
      </c>
      <c r="C68" s="3" t="s">
        <v>6985</v>
      </c>
      <c r="D68" s="3" t="s">
        <v>6311</v>
      </c>
      <c r="E68" s="3">
        <v>67</v>
      </c>
      <c r="F68" s="3" t="s">
        <v>3891</v>
      </c>
      <c r="G68" s="3" t="s">
        <v>1093</v>
      </c>
      <c r="H68" s="3" t="s">
        <v>6860</v>
      </c>
    </row>
    <row r="69" spans="1:8" x14ac:dyDescent="0.25">
      <c r="A69" s="3" t="s">
        <v>6983</v>
      </c>
      <c r="B69" s="3" t="s">
        <v>6992</v>
      </c>
      <c r="C69" s="3" t="s">
        <v>6985</v>
      </c>
      <c r="D69" s="3" t="s">
        <v>6312</v>
      </c>
      <c r="E69" s="3">
        <v>68</v>
      </c>
      <c r="F69" s="3" t="s">
        <v>3892</v>
      </c>
      <c r="G69" s="3" t="s">
        <v>3842</v>
      </c>
      <c r="H69" s="3" t="s">
        <v>6879</v>
      </c>
    </row>
    <row r="70" spans="1:8" x14ac:dyDescent="0.25">
      <c r="A70" s="3" t="s">
        <v>6983</v>
      </c>
      <c r="B70" s="3" t="s">
        <v>6992</v>
      </c>
      <c r="C70" s="3" t="s">
        <v>6985</v>
      </c>
      <c r="D70" s="3" t="s">
        <v>6312</v>
      </c>
      <c r="E70" s="3">
        <v>69</v>
      </c>
      <c r="F70" s="3" t="s">
        <v>3893</v>
      </c>
      <c r="G70" s="3" t="s">
        <v>3842</v>
      </c>
      <c r="H70" s="3" t="s">
        <v>6880</v>
      </c>
    </row>
    <row r="71" spans="1:8" x14ac:dyDescent="0.25">
      <c r="A71" s="3" t="s">
        <v>6983</v>
      </c>
      <c r="B71" s="3" t="s">
        <v>6992</v>
      </c>
      <c r="C71" s="3" t="s">
        <v>6985</v>
      </c>
      <c r="D71" s="3" t="s">
        <v>6312</v>
      </c>
      <c r="E71" s="3">
        <v>70</v>
      </c>
      <c r="F71" s="3" t="s">
        <v>3894</v>
      </c>
      <c r="G71" s="3" t="s">
        <v>3842</v>
      </c>
      <c r="H71" s="3" t="s">
        <v>6881</v>
      </c>
    </row>
    <row r="72" spans="1:8" x14ac:dyDescent="0.25">
      <c r="A72" s="3" t="s">
        <v>6983</v>
      </c>
      <c r="B72" s="3" t="s">
        <v>6992</v>
      </c>
      <c r="C72" s="3" t="s">
        <v>6985</v>
      </c>
      <c r="D72" s="3" t="s">
        <v>6312</v>
      </c>
      <c r="E72" s="3">
        <v>71</v>
      </c>
      <c r="F72" s="3" t="s">
        <v>3895</v>
      </c>
      <c r="G72" s="3" t="s">
        <v>3842</v>
      </c>
      <c r="H72" s="3" t="s">
        <v>6882</v>
      </c>
    </row>
    <row r="73" spans="1:8" x14ac:dyDescent="0.25">
      <c r="A73" s="3" t="s">
        <v>6983</v>
      </c>
      <c r="B73" s="3" t="s">
        <v>6992</v>
      </c>
      <c r="C73" s="3" t="s">
        <v>6985</v>
      </c>
      <c r="D73" s="3" t="s">
        <v>6312</v>
      </c>
      <c r="E73" s="3">
        <v>72</v>
      </c>
      <c r="F73" s="3" t="s">
        <v>3896</v>
      </c>
      <c r="G73" s="3" t="s">
        <v>3842</v>
      </c>
      <c r="H73" s="3" t="s">
        <v>6883</v>
      </c>
    </row>
    <row r="74" spans="1:8" x14ac:dyDescent="0.25">
      <c r="A74" s="3" t="s">
        <v>6983</v>
      </c>
      <c r="B74" s="3" t="s">
        <v>6992</v>
      </c>
      <c r="C74" s="3" t="s">
        <v>6985</v>
      </c>
      <c r="D74" s="3" t="s">
        <v>6312</v>
      </c>
      <c r="E74" s="3">
        <v>73</v>
      </c>
      <c r="F74" s="3" t="s">
        <v>3897</v>
      </c>
      <c r="G74" s="3" t="s">
        <v>3842</v>
      </c>
      <c r="H74" s="3" t="s">
        <v>6884</v>
      </c>
    </row>
    <row r="75" spans="1:8" x14ac:dyDescent="0.25">
      <c r="A75" s="3" t="s">
        <v>6983</v>
      </c>
      <c r="B75" s="3" t="s">
        <v>6992</v>
      </c>
      <c r="C75" s="3" t="s">
        <v>6985</v>
      </c>
      <c r="D75" s="3" t="s">
        <v>6312</v>
      </c>
      <c r="E75" s="3">
        <v>74</v>
      </c>
      <c r="F75" s="3" t="s">
        <v>3898</v>
      </c>
      <c r="G75" s="3" t="s">
        <v>3842</v>
      </c>
      <c r="H75" s="3" t="s">
        <v>6885</v>
      </c>
    </row>
    <row r="76" spans="1:8" x14ac:dyDescent="0.25">
      <c r="A76" s="3" t="s">
        <v>6983</v>
      </c>
      <c r="B76" s="3" t="s">
        <v>6992</v>
      </c>
      <c r="C76" s="3" t="s">
        <v>6985</v>
      </c>
      <c r="D76" s="3" t="s">
        <v>6312</v>
      </c>
      <c r="E76" s="3">
        <v>75</v>
      </c>
      <c r="F76" s="3" t="s">
        <v>3899</v>
      </c>
      <c r="G76" s="3" t="s">
        <v>3842</v>
      </c>
      <c r="H76" s="3" t="s">
        <v>6886</v>
      </c>
    </row>
    <row r="77" spans="1:8" x14ac:dyDescent="0.25">
      <c r="A77" s="3" t="s">
        <v>6983</v>
      </c>
      <c r="B77" s="3" t="s">
        <v>6992</v>
      </c>
      <c r="C77" s="3" t="s">
        <v>6985</v>
      </c>
      <c r="D77" s="3" t="s">
        <v>6312</v>
      </c>
      <c r="E77" s="3">
        <v>76</v>
      </c>
      <c r="F77" s="3" t="s">
        <v>3900</v>
      </c>
      <c r="G77" s="3" t="s">
        <v>1093</v>
      </c>
      <c r="H77" s="3" t="s">
        <v>6859</v>
      </c>
    </row>
    <row r="78" spans="1:8" x14ac:dyDescent="0.25">
      <c r="A78" s="3" t="s">
        <v>6983</v>
      </c>
      <c r="B78" s="3" t="s">
        <v>6992</v>
      </c>
      <c r="C78" s="3" t="s">
        <v>6985</v>
      </c>
      <c r="D78" s="3" t="s">
        <v>6313</v>
      </c>
      <c r="E78" s="3">
        <v>77</v>
      </c>
      <c r="F78" s="3" t="s">
        <v>3901</v>
      </c>
      <c r="G78" s="3" t="s">
        <v>3842</v>
      </c>
      <c r="H78" s="3" t="s">
        <v>6871</v>
      </c>
    </row>
    <row r="79" spans="1:8" x14ac:dyDescent="0.25">
      <c r="A79" s="3" t="s">
        <v>6983</v>
      </c>
      <c r="B79" s="3" t="s">
        <v>6992</v>
      </c>
      <c r="C79" s="3" t="s">
        <v>6985</v>
      </c>
      <c r="D79" s="3" t="s">
        <v>6313</v>
      </c>
      <c r="E79" s="3">
        <v>78</v>
      </c>
      <c r="F79" s="3" t="s">
        <v>3902</v>
      </c>
      <c r="G79" s="3" t="s">
        <v>3842</v>
      </c>
      <c r="H79" s="3" t="s">
        <v>6872</v>
      </c>
    </row>
    <row r="80" spans="1:8" x14ac:dyDescent="0.25">
      <c r="A80" s="3" t="s">
        <v>6983</v>
      </c>
      <c r="B80" s="3" t="s">
        <v>6992</v>
      </c>
      <c r="C80" s="3" t="s">
        <v>6985</v>
      </c>
      <c r="D80" s="3" t="s">
        <v>6313</v>
      </c>
      <c r="E80" s="3">
        <v>79</v>
      </c>
      <c r="F80" s="3" t="s">
        <v>3903</v>
      </c>
      <c r="G80" s="3" t="s">
        <v>3842</v>
      </c>
      <c r="H80" s="3" t="s">
        <v>6873</v>
      </c>
    </row>
    <row r="81" spans="1:8" x14ac:dyDescent="0.25">
      <c r="A81" s="3" t="s">
        <v>6983</v>
      </c>
      <c r="B81" s="3" t="s">
        <v>6992</v>
      </c>
      <c r="C81" s="3" t="s">
        <v>6985</v>
      </c>
      <c r="D81" s="3" t="s">
        <v>6313</v>
      </c>
      <c r="E81" s="3">
        <v>80</v>
      </c>
      <c r="F81" s="3" t="s">
        <v>3904</v>
      </c>
      <c r="G81" s="3" t="s">
        <v>3842</v>
      </c>
      <c r="H81" s="3" t="s">
        <v>6874</v>
      </c>
    </row>
    <row r="82" spans="1:8" x14ac:dyDescent="0.25">
      <c r="A82" s="3" t="s">
        <v>6983</v>
      </c>
      <c r="B82" s="3" t="s">
        <v>6992</v>
      </c>
      <c r="C82" s="3" t="s">
        <v>6985</v>
      </c>
      <c r="D82" s="3" t="s">
        <v>6313</v>
      </c>
      <c r="E82" s="3">
        <v>81</v>
      </c>
      <c r="F82" s="3" t="s">
        <v>3905</v>
      </c>
      <c r="G82" s="3" t="s">
        <v>3842</v>
      </c>
      <c r="H82" s="3" t="s">
        <v>6875</v>
      </c>
    </row>
    <row r="83" spans="1:8" x14ac:dyDescent="0.25">
      <c r="A83" s="3" t="s">
        <v>6983</v>
      </c>
      <c r="B83" s="3" t="s">
        <v>6992</v>
      </c>
      <c r="C83" s="3" t="s">
        <v>6985</v>
      </c>
      <c r="D83" s="3" t="s">
        <v>6313</v>
      </c>
      <c r="E83" s="3">
        <v>82</v>
      </c>
      <c r="F83" s="3" t="s">
        <v>3906</v>
      </c>
      <c r="G83" s="3" t="s">
        <v>3842</v>
      </c>
      <c r="H83" s="3" t="s">
        <v>6876</v>
      </c>
    </row>
    <row r="84" spans="1:8" x14ac:dyDescent="0.25">
      <c r="A84" s="3" t="s">
        <v>6983</v>
      </c>
      <c r="B84" s="3" t="s">
        <v>6992</v>
      </c>
      <c r="C84" s="3" t="s">
        <v>6985</v>
      </c>
      <c r="D84" s="3" t="s">
        <v>6313</v>
      </c>
      <c r="E84" s="3">
        <v>83</v>
      </c>
      <c r="F84" s="3" t="s">
        <v>3907</v>
      </c>
      <c r="G84" s="3" t="s">
        <v>3842</v>
      </c>
      <c r="H84" s="3" t="s">
        <v>6877</v>
      </c>
    </row>
    <row r="85" spans="1:8" x14ac:dyDescent="0.25">
      <c r="A85" s="3" t="s">
        <v>6983</v>
      </c>
      <c r="B85" s="3" t="s">
        <v>6992</v>
      </c>
      <c r="C85" s="3" t="s">
        <v>6985</v>
      </c>
      <c r="D85" s="3" t="s">
        <v>6313</v>
      </c>
      <c r="E85" s="3">
        <v>84</v>
      </c>
      <c r="F85" s="3" t="s">
        <v>3908</v>
      </c>
      <c r="G85" s="3" t="s">
        <v>3842</v>
      </c>
      <c r="H85" s="3" t="s">
        <v>6878</v>
      </c>
    </row>
    <row r="86" spans="1:8" x14ac:dyDescent="0.25">
      <c r="A86" s="3" t="s">
        <v>6983</v>
      </c>
      <c r="B86" s="3" t="s">
        <v>6992</v>
      </c>
      <c r="C86" s="3" t="s">
        <v>6985</v>
      </c>
      <c r="D86" s="3" t="s">
        <v>6313</v>
      </c>
      <c r="E86" s="3">
        <v>85</v>
      </c>
      <c r="F86" s="3" t="s">
        <v>3909</v>
      </c>
      <c r="G86" s="3" t="s">
        <v>1093</v>
      </c>
      <c r="H86" s="3" t="s">
        <v>6858</v>
      </c>
    </row>
    <row r="87" spans="1:8" x14ac:dyDescent="0.25">
      <c r="A87" s="3" t="s">
        <v>6983</v>
      </c>
      <c r="B87" s="3" t="s">
        <v>6992</v>
      </c>
      <c r="C87" s="3" t="s">
        <v>6985</v>
      </c>
      <c r="D87" s="3" t="s">
        <v>2107</v>
      </c>
      <c r="E87" s="3">
        <v>86</v>
      </c>
      <c r="F87" s="4" t="s">
        <v>1498</v>
      </c>
      <c r="G87" s="3" t="s">
        <v>1093</v>
      </c>
      <c r="H87" s="3" t="s">
        <v>6948</v>
      </c>
    </row>
    <row r="88" spans="1:8" x14ac:dyDescent="0.25">
      <c r="A88" s="3" t="s">
        <v>6983</v>
      </c>
      <c r="B88" s="3" t="s">
        <v>6992</v>
      </c>
      <c r="C88" s="3" t="s">
        <v>6985</v>
      </c>
      <c r="D88" s="3" t="s">
        <v>2107</v>
      </c>
      <c r="E88" s="3">
        <v>87</v>
      </c>
      <c r="F88" s="4" t="s">
        <v>1499</v>
      </c>
      <c r="G88" s="3" t="s">
        <v>8</v>
      </c>
      <c r="H88" s="3" t="s">
        <v>6953</v>
      </c>
    </row>
    <row r="89" spans="1:8" x14ac:dyDescent="0.25">
      <c r="A89" s="3" t="s">
        <v>6983</v>
      </c>
      <c r="B89" s="3" t="s">
        <v>6992</v>
      </c>
      <c r="C89" s="3" t="s">
        <v>6985</v>
      </c>
      <c r="D89" s="3" t="s">
        <v>2107</v>
      </c>
      <c r="E89" s="3">
        <v>88</v>
      </c>
      <c r="F89" s="3" t="s">
        <v>1500</v>
      </c>
      <c r="G89" s="3" t="s">
        <v>1093</v>
      </c>
      <c r="H89" s="3" t="s">
        <v>6949</v>
      </c>
    </row>
    <row r="90" spans="1:8" x14ac:dyDescent="0.25">
      <c r="A90" s="3" t="s">
        <v>6983</v>
      </c>
      <c r="B90" s="3" t="s">
        <v>6992</v>
      </c>
      <c r="C90" s="3" t="s">
        <v>6985</v>
      </c>
      <c r="D90" s="3" t="s">
        <v>2107</v>
      </c>
      <c r="E90" s="3">
        <v>89</v>
      </c>
      <c r="F90" s="3" t="s">
        <v>1501</v>
      </c>
      <c r="G90" s="3" t="s">
        <v>8</v>
      </c>
      <c r="H90" s="3" t="s">
        <v>6952</v>
      </c>
    </row>
    <row r="91" spans="1:8" x14ac:dyDescent="0.25">
      <c r="A91" s="3" t="s">
        <v>6983</v>
      </c>
      <c r="B91" s="3" t="s">
        <v>6992</v>
      </c>
      <c r="C91" s="3" t="s">
        <v>6985</v>
      </c>
      <c r="D91" s="3" t="s">
        <v>2107</v>
      </c>
      <c r="E91" s="3">
        <v>90</v>
      </c>
      <c r="F91" s="3" t="s">
        <v>1502</v>
      </c>
      <c r="G91" s="3" t="s">
        <v>1093</v>
      </c>
      <c r="H91" s="3" t="s">
        <v>6950</v>
      </c>
    </row>
    <row r="92" spans="1:8" x14ac:dyDescent="0.25">
      <c r="A92" s="3" t="s">
        <v>6983</v>
      </c>
      <c r="B92" s="3" t="s">
        <v>6992</v>
      </c>
      <c r="C92" s="3" t="s">
        <v>6985</v>
      </c>
      <c r="D92" s="3" t="s">
        <v>2107</v>
      </c>
      <c r="E92" s="3">
        <v>91</v>
      </c>
      <c r="F92" s="3" t="s">
        <v>1503</v>
      </c>
      <c r="G92" s="3" t="s">
        <v>8</v>
      </c>
      <c r="H92" s="3" t="s">
        <v>6951</v>
      </c>
    </row>
    <row r="93" spans="1:8" x14ac:dyDescent="0.25">
      <c r="A93" s="3" t="s">
        <v>6983</v>
      </c>
      <c r="B93" s="3" t="s">
        <v>6992</v>
      </c>
      <c r="C93" s="3" t="s">
        <v>6985</v>
      </c>
      <c r="D93" s="3" t="s">
        <v>2107</v>
      </c>
      <c r="E93" s="3">
        <v>92</v>
      </c>
      <c r="F93" s="3" t="s">
        <v>1504</v>
      </c>
      <c r="G93" s="3" t="s">
        <v>2099</v>
      </c>
      <c r="H93" s="3" t="s">
        <v>1233</v>
      </c>
    </row>
    <row r="94" spans="1:8" x14ac:dyDescent="0.25">
      <c r="A94" s="3" t="s">
        <v>6983</v>
      </c>
      <c r="B94" s="3" t="s">
        <v>6992</v>
      </c>
      <c r="C94" s="3" t="s">
        <v>6985</v>
      </c>
      <c r="D94" s="3" t="s">
        <v>2107</v>
      </c>
      <c r="E94" s="3">
        <v>93</v>
      </c>
      <c r="F94" s="3" t="s">
        <v>1505</v>
      </c>
      <c r="G94" s="3" t="s">
        <v>1094</v>
      </c>
      <c r="H94" s="3" t="s">
        <v>1242</v>
      </c>
    </row>
    <row r="95" spans="1:8" x14ac:dyDescent="0.25">
      <c r="A95" s="3" t="s">
        <v>6983</v>
      </c>
      <c r="B95" s="3" t="s">
        <v>6992</v>
      </c>
      <c r="C95" s="3" t="s">
        <v>6985</v>
      </c>
      <c r="D95" s="3" t="s">
        <v>2107</v>
      </c>
      <c r="E95" s="3">
        <v>94</v>
      </c>
      <c r="F95" s="3" t="s">
        <v>1506</v>
      </c>
      <c r="G95" s="3" t="s">
        <v>1095</v>
      </c>
      <c r="H95" s="3" t="s">
        <v>32</v>
      </c>
    </row>
    <row r="96" spans="1:8" x14ac:dyDescent="0.25">
      <c r="A96" s="3" t="s">
        <v>6983</v>
      </c>
      <c r="B96" s="3" t="s">
        <v>6992</v>
      </c>
      <c r="C96" s="3" t="s">
        <v>6985</v>
      </c>
      <c r="D96" s="3" t="s">
        <v>2107</v>
      </c>
      <c r="E96" s="3">
        <v>95</v>
      </c>
      <c r="F96" s="3" t="s">
        <v>1507</v>
      </c>
      <c r="G96" s="3" t="s">
        <v>1095</v>
      </c>
      <c r="H96" s="3" t="s">
        <v>1144</v>
      </c>
    </row>
    <row r="97" spans="1:9" x14ac:dyDescent="0.25">
      <c r="A97" s="3" t="s">
        <v>6983</v>
      </c>
      <c r="B97" s="3" t="s">
        <v>6992</v>
      </c>
      <c r="C97" s="3" t="s">
        <v>6985</v>
      </c>
      <c r="D97" s="3" t="s">
        <v>2107</v>
      </c>
      <c r="E97" s="3">
        <v>96</v>
      </c>
      <c r="F97" s="3" t="s">
        <v>1508</v>
      </c>
      <c r="G97" s="3" t="s">
        <v>9</v>
      </c>
      <c r="H97" s="3" t="s">
        <v>7023</v>
      </c>
    </row>
    <row r="98" spans="1:9" x14ac:dyDescent="0.25">
      <c r="A98" s="3" t="s">
        <v>6983</v>
      </c>
      <c r="B98" s="3" t="s">
        <v>6992</v>
      </c>
      <c r="C98" s="3" t="s">
        <v>6985</v>
      </c>
      <c r="D98" s="3" t="s">
        <v>2107</v>
      </c>
      <c r="E98" s="3">
        <v>97</v>
      </c>
      <c r="F98" s="3" t="s">
        <v>1509</v>
      </c>
      <c r="G98" s="3" t="s">
        <v>13</v>
      </c>
      <c r="H98" s="3" t="s">
        <v>2128</v>
      </c>
    </row>
    <row r="99" spans="1:9" x14ac:dyDescent="0.25">
      <c r="A99" s="3" t="s">
        <v>6983</v>
      </c>
      <c r="B99" s="3" t="s">
        <v>6992</v>
      </c>
      <c r="C99" s="3" t="s">
        <v>6985</v>
      </c>
      <c r="D99" s="3" t="s">
        <v>2107</v>
      </c>
      <c r="E99" s="3">
        <v>98</v>
      </c>
      <c r="F99" s="3" t="s">
        <v>1510</v>
      </c>
      <c r="G99" s="3" t="s">
        <v>2100</v>
      </c>
      <c r="H99" s="3" t="s">
        <v>6689</v>
      </c>
    </row>
    <row r="100" spans="1:9" x14ac:dyDescent="0.25">
      <c r="A100" s="3" t="s">
        <v>6983</v>
      </c>
      <c r="B100" s="3" t="s">
        <v>6992</v>
      </c>
      <c r="C100" s="3" t="s">
        <v>6985</v>
      </c>
      <c r="D100" s="3" t="s">
        <v>2107</v>
      </c>
      <c r="E100" s="3">
        <v>99</v>
      </c>
      <c r="F100" s="3" t="s">
        <v>1511</v>
      </c>
      <c r="G100" s="3" t="s">
        <v>1093</v>
      </c>
      <c r="H100" s="3" t="s">
        <v>1241</v>
      </c>
    </row>
    <row r="101" spans="1:9" x14ac:dyDescent="0.25">
      <c r="A101" s="3" t="s">
        <v>6983</v>
      </c>
      <c r="B101" s="3" t="s">
        <v>6992</v>
      </c>
      <c r="C101" s="3" t="s">
        <v>6985</v>
      </c>
      <c r="D101" s="3" t="s">
        <v>2107</v>
      </c>
      <c r="E101" s="3">
        <v>100</v>
      </c>
      <c r="F101" s="3" t="s">
        <v>1512</v>
      </c>
      <c r="G101" s="3" t="s">
        <v>2100</v>
      </c>
      <c r="H101" s="3" t="s">
        <v>1244</v>
      </c>
    </row>
    <row r="102" spans="1:9" x14ac:dyDescent="0.25">
      <c r="A102" s="3" t="s">
        <v>6983</v>
      </c>
      <c r="B102" s="3" t="s">
        <v>6992</v>
      </c>
      <c r="C102" s="3" t="s">
        <v>6985</v>
      </c>
      <c r="D102" s="3" t="s">
        <v>2107</v>
      </c>
      <c r="E102" s="3">
        <v>101</v>
      </c>
      <c r="F102" s="3" t="s">
        <v>1513</v>
      </c>
      <c r="G102" s="3" t="s">
        <v>8</v>
      </c>
      <c r="H102" s="3" t="s">
        <v>1243</v>
      </c>
    </row>
    <row r="103" spans="1:9" x14ac:dyDescent="0.25">
      <c r="A103" s="3" t="s">
        <v>6983</v>
      </c>
      <c r="B103" s="3" t="s">
        <v>6992</v>
      </c>
      <c r="C103" s="3" t="s">
        <v>6985</v>
      </c>
      <c r="D103" s="3" t="s">
        <v>2107</v>
      </c>
      <c r="E103" s="3">
        <v>102</v>
      </c>
      <c r="F103" s="3" t="s">
        <v>1514</v>
      </c>
      <c r="G103" s="3" t="s">
        <v>8</v>
      </c>
      <c r="H103" s="3" t="s">
        <v>1243</v>
      </c>
    </row>
    <row r="104" spans="1:9" x14ac:dyDescent="0.25">
      <c r="A104" s="3" t="s">
        <v>6983</v>
      </c>
      <c r="B104" s="3" t="s">
        <v>6992</v>
      </c>
      <c r="C104" s="3" t="s">
        <v>6985</v>
      </c>
      <c r="D104" s="3" t="s">
        <v>2107</v>
      </c>
      <c r="E104" s="3">
        <v>103</v>
      </c>
      <c r="F104" s="3" t="s">
        <v>1515</v>
      </c>
      <c r="G104" s="3" t="s">
        <v>8</v>
      </c>
      <c r="H104" s="3" t="s">
        <v>1243</v>
      </c>
    </row>
    <row r="105" spans="1:9" x14ac:dyDescent="0.25">
      <c r="A105" s="3" t="s">
        <v>6983</v>
      </c>
      <c r="B105" s="3" t="s">
        <v>6992</v>
      </c>
      <c r="C105" s="3" t="s">
        <v>6985</v>
      </c>
      <c r="D105" s="3" t="s">
        <v>2107</v>
      </c>
      <c r="E105" s="3">
        <v>104</v>
      </c>
      <c r="F105" s="3" t="s">
        <v>1516</v>
      </c>
      <c r="G105" s="3" t="s">
        <v>1097</v>
      </c>
      <c r="H105" s="3" t="s">
        <v>33</v>
      </c>
    </row>
    <row r="106" spans="1:9" x14ac:dyDescent="0.25">
      <c r="A106" s="3" t="s">
        <v>6983</v>
      </c>
      <c r="B106" s="3" t="s">
        <v>6992</v>
      </c>
      <c r="C106" s="3" t="s">
        <v>6985</v>
      </c>
      <c r="D106" s="3" t="s">
        <v>2107</v>
      </c>
      <c r="E106" s="3">
        <v>105</v>
      </c>
      <c r="F106" s="3" t="s">
        <v>1517</v>
      </c>
      <c r="G106" s="3" t="s">
        <v>13</v>
      </c>
      <c r="H106" s="3" t="s">
        <v>1246</v>
      </c>
    </row>
    <row r="107" spans="1:9" x14ac:dyDescent="0.25">
      <c r="A107" s="3" t="s">
        <v>6983</v>
      </c>
      <c r="B107" s="3" t="s">
        <v>6992</v>
      </c>
      <c r="C107" s="3" t="s">
        <v>6985</v>
      </c>
      <c r="D107" s="3" t="s">
        <v>6314</v>
      </c>
      <c r="E107" s="3">
        <v>106</v>
      </c>
      <c r="F107" s="3" t="s">
        <v>608</v>
      </c>
      <c r="G107" s="3" t="s">
        <v>1093</v>
      </c>
      <c r="H107" s="3" t="s">
        <v>40</v>
      </c>
    </row>
    <row r="108" spans="1:9" x14ac:dyDescent="0.25">
      <c r="A108" s="3" t="s">
        <v>6983</v>
      </c>
      <c r="B108" s="3" t="s">
        <v>6992</v>
      </c>
      <c r="C108" s="3" t="s">
        <v>6985</v>
      </c>
      <c r="D108" s="3" t="s">
        <v>6314</v>
      </c>
      <c r="E108" s="3">
        <v>107</v>
      </c>
      <c r="F108" s="3" t="s">
        <v>610</v>
      </c>
      <c r="G108" s="3" t="s">
        <v>18</v>
      </c>
      <c r="H108" s="4" t="s">
        <v>6614</v>
      </c>
      <c r="I108" s="4"/>
    </row>
    <row r="109" spans="1:9" x14ac:dyDescent="0.25">
      <c r="A109" s="3" t="s">
        <v>6983</v>
      </c>
      <c r="B109" s="3" t="s">
        <v>6992</v>
      </c>
      <c r="C109" s="3" t="s">
        <v>6985</v>
      </c>
      <c r="D109" s="3" t="s">
        <v>6314</v>
      </c>
      <c r="E109" s="3">
        <v>108</v>
      </c>
      <c r="F109" s="3" t="s">
        <v>3910</v>
      </c>
      <c r="G109" s="3" t="s">
        <v>4</v>
      </c>
      <c r="H109" s="3" t="s">
        <v>7031</v>
      </c>
      <c r="I109" s="4"/>
    </row>
    <row r="110" spans="1:9" x14ac:dyDescent="0.25">
      <c r="A110" s="3" t="s">
        <v>6983</v>
      </c>
      <c r="B110" s="3" t="s">
        <v>6992</v>
      </c>
      <c r="C110" s="3" t="s">
        <v>6985</v>
      </c>
      <c r="D110" s="3" t="s">
        <v>6314</v>
      </c>
      <c r="E110" s="3">
        <v>109</v>
      </c>
      <c r="F110" s="3" t="s">
        <v>3911</v>
      </c>
      <c r="G110" s="3" t="s">
        <v>18</v>
      </c>
      <c r="H110" s="3" t="s">
        <v>42</v>
      </c>
    </row>
    <row r="111" spans="1:9" x14ac:dyDescent="0.25">
      <c r="A111" s="3" t="s">
        <v>6983</v>
      </c>
      <c r="B111" s="3" t="s">
        <v>6992</v>
      </c>
      <c r="C111" s="3" t="s">
        <v>6985</v>
      </c>
      <c r="D111" s="3" t="s">
        <v>6314</v>
      </c>
      <c r="E111" s="3">
        <v>110</v>
      </c>
      <c r="F111" s="3" t="s">
        <v>3912</v>
      </c>
      <c r="G111" s="3" t="s">
        <v>1093</v>
      </c>
      <c r="H111" s="3" t="s">
        <v>6370</v>
      </c>
    </row>
    <row r="112" spans="1:9" x14ac:dyDescent="0.25">
      <c r="A112" s="3" t="s">
        <v>6983</v>
      </c>
      <c r="B112" s="3" t="s">
        <v>6992</v>
      </c>
      <c r="C112" s="3" t="s">
        <v>6985</v>
      </c>
      <c r="D112" s="3" t="s">
        <v>6314</v>
      </c>
      <c r="E112" s="3">
        <v>111</v>
      </c>
      <c r="F112" s="3" t="s">
        <v>3913</v>
      </c>
      <c r="G112" s="3" t="s">
        <v>4</v>
      </c>
      <c r="H112" s="3" t="s">
        <v>7032</v>
      </c>
    </row>
    <row r="113" spans="1:8" x14ac:dyDescent="0.25">
      <c r="A113" s="3" t="s">
        <v>6983</v>
      </c>
      <c r="B113" s="3" t="s">
        <v>6992</v>
      </c>
      <c r="C113" s="3" t="s">
        <v>6985</v>
      </c>
      <c r="D113" s="3" t="s">
        <v>6314</v>
      </c>
      <c r="E113" s="3">
        <v>112</v>
      </c>
      <c r="F113" s="3" t="s">
        <v>3914</v>
      </c>
      <c r="G113" s="3" t="s">
        <v>18</v>
      </c>
      <c r="H113" s="3" t="s">
        <v>6371</v>
      </c>
    </row>
    <row r="114" spans="1:8" x14ac:dyDescent="0.25">
      <c r="A114" s="3" t="s">
        <v>6983</v>
      </c>
      <c r="B114" s="3" t="s">
        <v>6992</v>
      </c>
      <c r="C114" s="3" t="s">
        <v>6985</v>
      </c>
      <c r="D114" s="3" t="s">
        <v>6314</v>
      </c>
      <c r="E114" s="3">
        <v>113</v>
      </c>
      <c r="F114" s="3" t="s">
        <v>3915</v>
      </c>
      <c r="G114" s="3" t="s">
        <v>1093</v>
      </c>
      <c r="H114" s="3" t="s">
        <v>6372</v>
      </c>
    </row>
    <row r="115" spans="1:8" x14ac:dyDescent="0.25">
      <c r="A115" s="3" t="s">
        <v>6983</v>
      </c>
      <c r="B115" s="3" t="s">
        <v>6992</v>
      </c>
      <c r="C115" s="3" t="s">
        <v>6985</v>
      </c>
      <c r="D115" s="3" t="s">
        <v>6314</v>
      </c>
      <c r="E115" s="3">
        <v>114</v>
      </c>
      <c r="F115" s="3" t="s">
        <v>3916</v>
      </c>
      <c r="G115" s="3" t="s">
        <v>4</v>
      </c>
      <c r="H115" s="3" t="s">
        <v>7010</v>
      </c>
    </row>
    <row r="116" spans="1:8" x14ac:dyDescent="0.25">
      <c r="A116" s="3" t="s">
        <v>6983</v>
      </c>
      <c r="B116" s="3" t="s">
        <v>6992</v>
      </c>
      <c r="C116" s="3" t="s">
        <v>6985</v>
      </c>
      <c r="D116" s="3" t="s">
        <v>6314</v>
      </c>
      <c r="E116" s="3">
        <v>115</v>
      </c>
      <c r="F116" s="3" t="s">
        <v>3917</v>
      </c>
      <c r="G116" s="3" t="s">
        <v>18</v>
      </c>
      <c r="H116" s="3" t="s">
        <v>6368</v>
      </c>
    </row>
    <row r="117" spans="1:8" x14ac:dyDescent="0.25">
      <c r="A117" s="3" t="s">
        <v>6983</v>
      </c>
      <c r="B117" s="3" t="s">
        <v>6992</v>
      </c>
      <c r="C117" s="3" t="s">
        <v>6985</v>
      </c>
      <c r="D117" s="3" t="s">
        <v>6314</v>
      </c>
      <c r="E117" s="3">
        <v>116</v>
      </c>
      <c r="F117" s="3" t="s">
        <v>3918</v>
      </c>
      <c r="G117" s="3" t="s">
        <v>1093</v>
      </c>
      <c r="H117" s="3" t="s">
        <v>6369</v>
      </c>
    </row>
    <row r="118" spans="1:8" x14ac:dyDescent="0.25">
      <c r="A118" s="3" t="s">
        <v>6983</v>
      </c>
      <c r="B118" s="3" t="s">
        <v>6992</v>
      </c>
      <c r="C118" s="3" t="s">
        <v>6985</v>
      </c>
      <c r="D118" s="3" t="s">
        <v>6314</v>
      </c>
      <c r="E118" s="3">
        <v>117</v>
      </c>
      <c r="F118" s="3" t="s">
        <v>3919</v>
      </c>
      <c r="G118" s="3" t="s">
        <v>4</v>
      </c>
      <c r="H118" s="3" t="s">
        <v>7011</v>
      </c>
    </row>
    <row r="119" spans="1:8" x14ac:dyDescent="0.25">
      <c r="A119" s="3" t="s">
        <v>6983</v>
      </c>
      <c r="B119" s="3" t="s">
        <v>6992</v>
      </c>
      <c r="C119" s="3" t="s">
        <v>6985</v>
      </c>
      <c r="D119" s="3" t="s">
        <v>6314</v>
      </c>
      <c r="E119" s="3">
        <v>118</v>
      </c>
      <c r="F119" s="3" t="s">
        <v>3920</v>
      </c>
      <c r="G119" s="3" t="s">
        <v>3843</v>
      </c>
      <c r="H119" s="3" t="s">
        <v>1140</v>
      </c>
    </row>
    <row r="120" spans="1:8" x14ac:dyDescent="0.25">
      <c r="A120" s="3" t="s">
        <v>6983</v>
      </c>
      <c r="B120" s="3" t="s">
        <v>6992</v>
      </c>
      <c r="C120" s="3" t="s">
        <v>6985</v>
      </c>
      <c r="D120" s="3" t="s">
        <v>6315</v>
      </c>
      <c r="E120" s="3">
        <v>119</v>
      </c>
      <c r="F120" s="3" t="s">
        <v>3921</v>
      </c>
      <c r="G120" s="3" t="s">
        <v>1093</v>
      </c>
      <c r="H120" s="3" t="str">
        <f>_xlfn.CONCAT("Output ",F120, ", from Topside tanks' levels, from Yokogawa.")</f>
        <v>Output Methanol1 Tank Level, from Topside tanks' levels, from Yokogawa.</v>
      </c>
    </row>
    <row r="121" spans="1:8" x14ac:dyDescent="0.25">
      <c r="A121" s="3" t="s">
        <v>6983</v>
      </c>
      <c r="B121" s="3" t="s">
        <v>6992</v>
      </c>
      <c r="C121" s="3" t="s">
        <v>6985</v>
      </c>
      <c r="D121" s="3" t="s">
        <v>6315</v>
      </c>
      <c r="E121" s="3">
        <v>120</v>
      </c>
      <c r="F121" s="3" t="s">
        <v>3922</v>
      </c>
      <c r="G121" s="3" t="s">
        <v>1093</v>
      </c>
      <c r="H121" s="3" t="str">
        <f t="shared" ref="H121:H184" si="0">_xlfn.CONCAT("Output ",F121, ", from Topside tanks' levels, from Yokogawa.")</f>
        <v>Output Methanol2 Tank Level, from Topside tanks' levels, from Yokogawa.</v>
      </c>
    </row>
    <row r="122" spans="1:8" x14ac:dyDescent="0.25">
      <c r="A122" s="3" t="s">
        <v>6983</v>
      </c>
      <c r="B122" s="3" t="s">
        <v>6992</v>
      </c>
      <c r="C122" s="3" t="s">
        <v>6985</v>
      </c>
      <c r="D122" s="3" t="s">
        <v>6315</v>
      </c>
      <c r="E122" s="3">
        <v>121</v>
      </c>
      <c r="F122" s="3" t="s">
        <v>3923</v>
      </c>
      <c r="G122" s="3" t="s">
        <v>1093</v>
      </c>
      <c r="H122" s="3" t="str">
        <f t="shared" si="0"/>
        <v>Output LDHI Tank Level, from Topside tanks' levels, from Yokogawa.</v>
      </c>
    </row>
    <row r="123" spans="1:8" x14ac:dyDescent="0.25">
      <c r="A123" s="3" t="s">
        <v>6983</v>
      </c>
      <c r="B123" s="3" t="s">
        <v>6992</v>
      </c>
      <c r="C123" s="3" t="s">
        <v>6985</v>
      </c>
      <c r="D123" s="3" t="s">
        <v>6315</v>
      </c>
      <c r="E123" s="3">
        <v>122</v>
      </c>
      <c r="F123" s="3" t="s">
        <v>3924</v>
      </c>
      <c r="G123" s="3" t="s">
        <v>1093</v>
      </c>
      <c r="H123" s="3" t="str">
        <f t="shared" si="0"/>
        <v>Output Drill Water Tank Level, from Topside tanks' levels, from Yokogawa.</v>
      </c>
    </row>
    <row r="124" spans="1:8" x14ac:dyDescent="0.25">
      <c r="A124" s="3" t="s">
        <v>6983</v>
      </c>
      <c r="B124" s="3" t="s">
        <v>6992</v>
      </c>
      <c r="C124" s="3" t="s">
        <v>6985</v>
      </c>
      <c r="D124" s="3" t="s">
        <v>6315</v>
      </c>
      <c r="E124" s="3">
        <v>123</v>
      </c>
      <c r="F124" s="3" t="s">
        <v>3925</v>
      </c>
      <c r="G124" s="3" t="s">
        <v>1093</v>
      </c>
      <c r="H124" s="3" t="str">
        <f t="shared" si="0"/>
        <v>Output Diesel Oil Tank Level, from Topside tanks' levels, from Yokogawa.</v>
      </c>
    </row>
    <row r="125" spans="1:8" x14ac:dyDescent="0.25">
      <c r="A125" s="3" t="s">
        <v>6983</v>
      </c>
      <c r="B125" s="3" t="s">
        <v>6992</v>
      </c>
      <c r="C125" s="3" t="s">
        <v>6985</v>
      </c>
      <c r="D125" s="3" t="s">
        <v>6315</v>
      </c>
      <c r="E125" s="3">
        <v>124</v>
      </c>
      <c r="F125" s="3" t="s">
        <v>3926</v>
      </c>
      <c r="G125" s="3" t="s">
        <v>1093</v>
      </c>
      <c r="H125" s="3" t="str">
        <f t="shared" si="0"/>
        <v>Output Hull Dead Oil1 Tank Level, from Topside tanks' levels, from Yokogawa.</v>
      </c>
    </row>
    <row r="126" spans="1:8" x14ac:dyDescent="0.25">
      <c r="A126" s="3" t="s">
        <v>6983</v>
      </c>
      <c r="B126" s="3" t="s">
        <v>6992</v>
      </c>
      <c r="C126" s="3" t="s">
        <v>6985</v>
      </c>
      <c r="D126" s="3" t="s">
        <v>6315</v>
      </c>
      <c r="E126" s="3">
        <v>125</v>
      </c>
      <c r="F126" s="3" t="s">
        <v>3927</v>
      </c>
      <c r="G126" s="3" t="s">
        <v>1093</v>
      </c>
      <c r="H126" s="3" t="str">
        <f t="shared" si="0"/>
        <v>Output Hull Dead Oil2 Tank Level, from Topside tanks' levels, from Yokogawa.</v>
      </c>
    </row>
    <row r="127" spans="1:8" x14ac:dyDescent="0.25">
      <c r="A127" s="3" t="s">
        <v>6983</v>
      </c>
      <c r="B127" s="3" t="s">
        <v>6992</v>
      </c>
      <c r="C127" s="3" t="s">
        <v>6985</v>
      </c>
      <c r="D127" s="3" t="s">
        <v>6315</v>
      </c>
      <c r="E127" s="3">
        <v>126</v>
      </c>
      <c r="F127" s="3" t="s">
        <v>3928</v>
      </c>
      <c r="G127" s="3" t="s">
        <v>1093</v>
      </c>
      <c r="H127" s="3" t="str">
        <f t="shared" si="0"/>
        <v>Output Dry Oil Tank Level, from Topside tanks' levels, from Yokogawa.</v>
      </c>
    </row>
    <row r="128" spans="1:8" x14ac:dyDescent="0.25">
      <c r="A128" s="3" t="s">
        <v>6983</v>
      </c>
      <c r="B128" s="3" t="s">
        <v>6992</v>
      </c>
      <c r="C128" s="3" t="s">
        <v>6985</v>
      </c>
      <c r="D128" s="3" t="s">
        <v>6315</v>
      </c>
      <c r="E128" s="3">
        <v>127</v>
      </c>
      <c r="F128" s="3" t="s">
        <v>2821</v>
      </c>
      <c r="G128" s="3" t="s">
        <v>16</v>
      </c>
      <c r="H128" s="3" t="str">
        <f t="shared" si="0"/>
        <v>Output DCS Watchdog Counter, from Topside tanks' levels, from Yokogawa.</v>
      </c>
    </row>
    <row r="129" spans="1:8" x14ac:dyDescent="0.25">
      <c r="A129" s="3" t="s">
        <v>6983</v>
      </c>
      <c r="B129" s="3" t="s">
        <v>6992</v>
      </c>
      <c r="C129" s="3" t="s">
        <v>6985</v>
      </c>
      <c r="D129" s="3" t="s">
        <v>6315</v>
      </c>
      <c r="E129" s="3">
        <v>128</v>
      </c>
      <c r="F129" s="3" t="s">
        <v>3929</v>
      </c>
      <c r="G129" s="3" t="s">
        <v>1097</v>
      </c>
      <c r="H129" s="3" t="str">
        <f t="shared" si="0"/>
        <v>Output 2060 Prt Water Tank A, from Topside tanks' levels, from Yokogawa.</v>
      </c>
    </row>
    <row r="130" spans="1:8" x14ac:dyDescent="0.25">
      <c r="A130" s="3" t="s">
        <v>6983</v>
      </c>
      <c r="B130" s="3" t="s">
        <v>6992</v>
      </c>
      <c r="C130" s="3" t="s">
        <v>6985</v>
      </c>
      <c r="D130" s="3" t="s">
        <v>6315</v>
      </c>
      <c r="E130" s="3">
        <v>129</v>
      </c>
      <c r="F130" s="3" t="s">
        <v>3930</v>
      </c>
      <c r="G130" s="3" t="s">
        <v>1097</v>
      </c>
      <c r="H130" s="3" t="str">
        <f t="shared" si="0"/>
        <v>Output 2060 Prt Water Tank B, from Topside tanks' levels, from Yokogawa.</v>
      </c>
    </row>
    <row r="131" spans="1:8" x14ac:dyDescent="0.25">
      <c r="A131" s="3" t="s">
        <v>6983</v>
      </c>
      <c r="B131" s="3" t="s">
        <v>6992</v>
      </c>
      <c r="C131" s="3" t="s">
        <v>6985</v>
      </c>
      <c r="D131" s="3" t="s">
        <v>6315</v>
      </c>
      <c r="E131" s="3">
        <v>130</v>
      </c>
      <c r="F131" s="3" t="s">
        <v>3931</v>
      </c>
      <c r="G131" s="3" t="s">
        <v>1093</v>
      </c>
      <c r="H131" s="3" t="str">
        <f t="shared" si="0"/>
        <v>Output 2080 Diesel Tank, from Topside tanks' levels, from Yokogawa.</v>
      </c>
    </row>
    <row r="132" spans="1:8" x14ac:dyDescent="0.25">
      <c r="A132" s="3" t="s">
        <v>6983</v>
      </c>
      <c r="B132" s="3" t="s">
        <v>6992</v>
      </c>
      <c r="C132" s="3" t="s">
        <v>6985</v>
      </c>
      <c r="D132" s="3" t="s">
        <v>6315</v>
      </c>
      <c r="E132" s="3">
        <v>131</v>
      </c>
      <c r="F132" s="3" t="s">
        <v>3932</v>
      </c>
      <c r="G132" s="3" t="s">
        <v>1093</v>
      </c>
      <c r="H132" s="3" t="str">
        <f t="shared" si="0"/>
        <v>Output 8750 Topside HPU, from Topside tanks' levels, from Yokogawa.</v>
      </c>
    </row>
    <row r="133" spans="1:8" x14ac:dyDescent="0.25">
      <c r="A133" s="3" t="s">
        <v>6983</v>
      </c>
      <c r="B133" s="3" t="s">
        <v>6992</v>
      </c>
      <c r="C133" s="3" t="s">
        <v>6985</v>
      </c>
      <c r="D133" s="3" t="s">
        <v>6315</v>
      </c>
      <c r="E133" s="3">
        <v>132</v>
      </c>
      <c r="F133" s="3" t="s">
        <v>3933</v>
      </c>
      <c r="G133" s="3" t="s">
        <v>1097</v>
      </c>
      <c r="H133" s="3" t="str">
        <f t="shared" si="0"/>
        <v>Output 2170 HPU Supply, from Topside tanks' levels, from Yokogawa.</v>
      </c>
    </row>
    <row r="134" spans="1:8" x14ac:dyDescent="0.25">
      <c r="A134" s="3" t="s">
        <v>6983</v>
      </c>
      <c r="B134" s="3" t="s">
        <v>6992</v>
      </c>
      <c r="C134" s="3" t="s">
        <v>6985</v>
      </c>
      <c r="D134" s="3" t="s">
        <v>6315</v>
      </c>
      <c r="E134" s="3">
        <v>133</v>
      </c>
      <c r="F134" s="3" t="s">
        <v>3934</v>
      </c>
      <c r="G134" s="3" t="s">
        <v>1097</v>
      </c>
      <c r="H134" s="3" t="str">
        <f t="shared" si="0"/>
        <v>Output 2170 HPU Return, from Topside tanks' levels, from Yokogawa.</v>
      </c>
    </row>
    <row r="135" spans="1:8" x14ac:dyDescent="0.25">
      <c r="A135" s="3" t="s">
        <v>6983</v>
      </c>
      <c r="B135" s="3" t="s">
        <v>6992</v>
      </c>
      <c r="C135" s="3" t="s">
        <v>6985</v>
      </c>
      <c r="D135" s="3" t="s">
        <v>6315</v>
      </c>
      <c r="E135" s="3">
        <v>134</v>
      </c>
      <c r="F135" s="3" t="s">
        <v>3935</v>
      </c>
      <c r="G135" s="3" t="s">
        <v>1097</v>
      </c>
      <c r="H135" s="3" t="str">
        <f t="shared" si="0"/>
        <v>Output 2300 Asphaltene Inh, from Topside tanks' levels, from Yokogawa.</v>
      </c>
    </row>
    <row r="136" spans="1:8" x14ac:dyDescent="0.25">
      <c r="A136" s="3" t="s">
        <v>6983</v>
      </c>
      <c r="B136" s="3" t="s">
        <v>6992</v>
      </c>
      <c r="C136" s="3" t="s">
        <v>6985</v>
      </c>
      <c r="D136" s="3" t="s">
        <v>6315</v>
      </c>
      <c r="E136" s="3">
        <v>135</v>
      </c>
      <c r="F136" s="3" t="s">
        <v>3936</v>
      </c>
      <c r="G136" s="3" t="s">
        <v>1097</v>
      </c>
      <c r="H136" s="3" t="str">
        <f t="shared" si="0"/>
        <v>Output 2310 Corrosion Inhi, from Topside tanks' levels, from Yokogawa.</v>
      </c>
    </row>
    <row r="137" spans="1:8" x14ac:dyDescent="0.25">
      <c r="A137" s="3" t="s">
        <v>6983</v>
      </c>
      <c r="B137" s="3" t="s">
        <v>6992</v>
      </c>
      <c r="C137" s="3" t="s">
        <v>6985</v>
      </c>
      <c r="D137" s="3" t="s">
        <v>6315</v>
      </c>
      <c r="E137" s="3">
        <v>136</v>
      </c>
      <c r="F137" s="3" t="s">
        <v>3937</v>
      </c>
      <c r="G137" s="3" t="s">
        <v>1097</v>
      </c>
      <c r="H137" s="3" t="str">
        <f t="shared" si="0"/>
        <v>Output 2320 Demulsifier, from Topside tanks' levels, from Yokogawa.</v>
      </c>
    </row>
    <row r="138" spans="1:8" x14ac:dyDescent="0.25">
      <c r="A138" s="3" t="s">
        <v>6983</v>
      </c>
      <c r="B138" s="3" t="s">
        <v>6992</v>
      </c>
      <c r="C138" s="3" t="s">
        <v>6985</v>
      </c>
      <c r="D138" s="3" t="s">
        <v>6315</v>
      </c>
      <c r="E138" s="3">
        <v>137</v>
      </c>
      <c r="F138" s="3" t="s">
        <v>3938</v>
      </c>
      <c r="G138" s="3" t="s">
        <v>1097</v>
      </c>
      <c r="H138" s="3" t="str">
        <f t="shared" si="0"/>
        <v>Output 2330 Defoamer, from Topside tanks' levels, from Yokogawa.</v>
      </c>
    </row>
    <row r="139" spans="1:8" x14ac:dyDescent="0.25">
      <c r="A139" s="3" t="s">
        <v>6983</v>
      </c>
      <c r="B139" s="3" t="s">
        <v>6992</v>
      </c>
      <c r="C139" s="3" t="s">
        <v>6985</v>
      </c>
      <c r="D139" s="3" t="s">
        <v>6315</v>
      </c>
      <c r="E139" s="3">
        <v>138</v>
      </c>
      <c r="F139" s="3" t="s">
        <v>3939</v>
      </c>
      <c r="G139" s="3" t="s">
        <v>1097</v>
      </c>
      <c r="H139" s="3" t="str">
        <f t="shared" si="0"/>
        <v>Output 2340 LDHI, from Topside tanks' levels, from Yokogawa.</v>
      </c>
    </row>
    <row r="140" spans="1:8" x14ac:dyDescent="0.25">
      <c r="A140" s="3" t="s">
        <v>6983</v>
      </c>
      <c r="B140" s="3" t="s">
        <v>6992</v>
      </c>
      <c r="C140" s="3" t="s">
        <v>6985</v>
      </c>
      <c r="D140" s="3" t="s">
        <v>6315</v>
      </c>
      <c r="E140" s="3">
        <v>139</v>
      </c>
      <c r="F140" s="3" t="s">
        <v>3940</v>
      </c>
      <c r="G140" s="3" t="s">
        <v>1097</v>
      </c>
      <c r="H140" s="3" t="str">
        <f t="shared" si="0"/>
        <v>Output 2350 Methanol, from Topside tanks' levels, from Yokogawa.</v>
      </c>
    </row>
    <row r="141" spans="1:8" x14ac:dyDescent="0.25">
      <c r="A141" s="3" t="s">
        <v>6983</v>
      </c>
      <c r="B141" s="3" t="s">
        <v>6992</v>
      </c>
      <c r="C141" s="3" t="s">
        <v>6985</v>
      </c>
      <c r="D141" s="3" t="s">
        <v>6315</v>
      </c>
      <c r="E141" s="3">
        <v>140</v>
      </c>
      <c r="F141" s="3" t="s">
        <v>3941</v>
      </c>
      <c r="G141" s="3" t="s">
        <v>1097</v>
      </c>
      <c r="H141" s="3" t="str">
        <f t="shared" si="0"/>
        <v>Output 2360 Paraffin Inhi, from Topside tanks' levels, from Yokogawa.</v>
      </c>
    </row>
    <row r="142" spans="1:8" x14ac:dyDescent="0.25">
      <c r="A142" s="3" t="s">
        <v>6983</v>
      </c>
      <c r="B142" s="3" t="s">
        <v>6992</v>
      </c>
      <c r="C142" s="3" t="s">
        <v>6985</v>
      </c>
      <c r="D142" s="3" t="s">
        <v>6315</v>
      </c>
      <c r="E142" s="3">
        <v>141</v>
      </c>
      <c r="F142" s="3" t="s">
        <v>3942</v>
      </c>
      <c r="G142" s="3" t="s">
        <v>1097</v>
      </c>
      <c r="H142" s="3" t="str">
        <f t="shared" si="0"/>
        <v>Output 2370 Scale Inhibito, from Topside tanks' levels, from Yokogawa.</v>
      </c>
    </row>
    <row r="143" spans="1:8" x14ac:dyDescent="0.25">
      <c r="A143" s="3" t="s">
        <v>6983</v>
      </c>
      <c r="B143" s="3" t="s">
        <v>6992</v>
      </c>
      <c r="C143" s="3" t="s">
        <v>6985</v>
      </c>
      <c r="D143" s="3" t="s">
        <v>6315</v>
      </c>
      <c r="E143" s="3">
        <v>142</v>
      </c>
      <c r="F143" s="3" t="s">
        <v>3943</v>
      </c>
      <c r="G143" s="3" t="s">
        <v>1097</v>
      </c>
      <c r="H143" s="3" t="str">
        <f t="shared" si="0"/>
        <v>Output 2380 Antifoam, from Topside tanks' levels, from Yokogawa.</v>
      </c>
    </row>
    <row r="144" spans="1:8" x14ac:dyDescent="0.25">
      <c r="A144" s="3" t="s">
        <v>6983</v>
      </c>
      <c r="B144" s="3" t="s">
        <v>6992</v>
      </c>
      <c r="C144" s="3" t="s">
        <v>6985</v>
      </c>
      <c r="D144" s="3" t="s">
        <v>6315</v>
      </c>
      <c r="E144" s="3">
        <v>143</v>
      </c>
      <c r="F144" s="3" t="s">
        <v>3944</v>
      </c>
      <c r="G144" s="3" t="s">
        <v>1097</v>
      </c>
      <c r="H144" s="3" t="str">
        <f t="shared" si="0"/>
        <v>Output 2390 Acid Dmlsifier, from Topside tanks' levels, from Yokogawa.</v>
      </c>
    </row>
    <row r="145" spans="1:8" x14ac:dyDescent="0.25">
      <c r="A145" s="3" t="s">
        <v>6983</v>
      </c>
      <c r="B145" s="3" t="s">
        <v>6992</v>
      </c>
      <c r="C145" s="3" t="s">
        <v>6985</v>
      </c>
      <c r="D145" s="3" t="s">
        <v>6315</v>
      </c>
      <c r="E145" s="3">
        <v>144</v>
      </c>
      <c r="F145" s="3" t="s">
        <v>3945</v>
      </c>
      <c r="G145" s="3" t="s">
        <v>1097</v>
      </c>
      <c r="H145" s="3" t="str">
        <f t="shared" si="0"/>
        <v>Output 2400 Water Clarifie, from Topside tanks' levels, from Yokogawa.</v>
      </c>
    </row>
    <row r="146" spans="1:8" x14ac:dyDescent="0.25">
      <c r="A146" s="3" t="s">
        <v>6983</v>
      </c>
      <c r="B146" s="3" t="s">
        <v>6992</v>
      </c>
      <c r="C146" s="3" t="s">
        <v>6985</v>
      </c>
      <c r="D146" s="3" t="s">
        <v>6315</v>
      </c>
      <c r="E146" s="3">
        <v>145</v>
      </c>
      <c r="F146" s="3" t="s">
        <v>3946</v>
      </c>
      <c r="G146" s="3" t="s">
        <v>1097</v>
      </c>
      <c r="H146" s="3" t="str">
        <f t="shared" si="0"/>
        <v>Output 2410 Flotatn Aid, from Topside tanks' levels, from Yokogawa.</v>
      </c>
    </row>
    <row r="147" spans="1:8" x14ac:dyDescent="0.25">
      <c r="A147" s="3" t="s">
        <v>6983</v>
      </c>
      <c r="B147" s="3" t="s">
        <v>6992</v>
      </c>
      <c r="C147" s="3" t="s">
        <v>6985</v>
      </c>
      <c r="D147" s="3" t="s">
        <v>6315</v>
      </c>
      <c r="E147" s="3">
        <v>146</v>
      </c>
      <c r="F147" s="3" t="s">
        <v>3947</v>
      </c>
      <c r="G147" s="3" t="s">
        <v>1097</v>
      </c>
      <c r="H147" s="3" t="str">
        <f t="shared" si="0"/>
        <v>Output 2420 Tri-Ethl Glyco, from Topside tanks' levels, from Yokogawa.</v>
      </c>
    </row>
    <row r="148" spans="1:8" x14ac:dyDescent="0.25">
      <c r="A148" s="3" t="s">
        <v>6983</v>
      </c>
      <c r="B148" s="3" t="s">
        <v>6992</v>
      </c>
      <c r="C148" s="3" t="s">
        <v>6985</v>
      </c>
      <c r="D148" s="3" t="s">
        <v>6315</v>
      </c>
      <c r="E148" s="3">
        <v>147</v>
      </c>
      <c r="F148" s="3" t="s">
        <v>3948</v>
      </c>
      <c r="G148" s="3" t="s">
        <v>1097</v>
      </c>
      <c r="H148" s="3" t="str">
        <f t="shared" si="0"/>
        <v>Output 2430 H2S Scavenger, from Topside tanks' levels, from Yokogawa.</v>
      </c>
    </row>
    <row r="149" spans="1:8" x14ac:dyDescent="0.25">
      <c r="A149" s="3" t="s">
        <v>6983</v>
      </c>
      <c r="B149" s="3" t="s">
        <v>6992</v>
      </c>
      <c r="C149" s="3" t="s">
        <v>6985</v>
      </c>
      <c r="D149" s="3" t="s">
        <v>6315</v>
      </c>
      <c r="E149" s="3">
        <v>148</v>
      </c>
      <c r="F149" s="3" t="s">
        <v>3949</v>
      </c>
      <c r="G149" s="3" t="s">
        <v>1097</v>
      </c>
      <c r="H149" s="3" t="str">
        <f t="shared" si="0"/>
        <v>Output 2440 Nitrate, from Topside tanks' levels, from Yokogawa.</v>
      </c>
    </row>
    <row r="150" spans="1:8" x14ac:dyDescent="0.25">
      <c r="A150" s="3" t="s">
        <v>6983</v>
      </c>
      <c r="B150" s="3" t="s">
        <v>6992</v>
      </c>
      <c r="C150" s="3" t="s">
        <v>6985</v>
      </c>
      <c r="D150" s="3" t="s">
        <v>6315</v>
      </c>
      <c r="E150" s="3">
        <v>149</v>
      </c>
      <c r="F150" s="3" t="s">
        <v>3950</v>
      </c>
      <c r="G150" s="3" t="s">
        <v>1097</v>
      </c>
      <c r="H150" s="3" t="str">
        <f t="shared" si="0"/>
        <v>Output 2450 Biocide, from Topside tanks' levels, from Yokogawa.</v>
      </c>
    </row>
    <row r="151" spans="1:8" x14ac:dyDescent="0.25">
      <c r="A151" s="3" t="s">
        <v>6983</v>
      </c>
      <c r="B151" s="3" t="s">
        <v>6992</v>
      </c>
      <c r="C151" s="3" t="s">
        <v>6985</v>
      </c>
      <c r="D151" s="3" t="s">
        <v>6315</v>
      </c>
      <c r="E151" s="3">
        <v>150</v>
      </c>
      <c r="F151" s="3" t="s">
        <v>3951</v>
      </c>
      <c r="G151" s="3" t="s">
        <v>1097</v>
      </c>
      <c r="H151" s="3" t="str">
        <f t="shared" si="0"/>
        <v>Output 2460 Scale Inhibito, from Topside tanks' levels, from Yokogawa.</v>
      </c>
    </row>
    <row r="152" spans="1:8" x14ac:dyDescent="0.25">
      <c r="A152" s="3" t="s">
        <v>6983</v>
      </c>
      <c r="B152" s="3" t="s">
        <v>6992</v>
      </c>
      <c r="C152" s="3" t="s">
        <v>6985</v>
      </c>
      <c r="D152" s="3" t="s">
        <v>6315</v>
      </c>
      <c r="E152" s="3">
        <v>151</v>
      </c>
      <c r="F152" s="3" t="s">
        <v>3952</v>
      </c>
      <c r="G152" s="3" t="s">
        <v>1097</v>
      </c>
      <c r="H152" s="3" t="str">
        <f t="shared" si="0"/>
        <v>Output 2470 O2 Scavenger, from Topside tanks' levels, from Yokogawa.</v>
      </c>
    </row>
    <row r="153" spans="1:8" x14ac:dyDescent="0.25">
      <c r="A153" s="3" t="s">
        <v>6983</v>
      </c>
      <c r="B153" s="3" t="s">
        <v>6992</v>
      </c>
      <c r="C153" s="3" t="s">
        <v>6985</v>
      </c>
      <c r="D153" s="3" t="s">
        <v>6315</v>
      </c>
      <c r="E153" s="3">
        <v>152</v>
      </c>
      <c r="F153" s="3" t="s">
        <v>3953</v>
      </c>
      <c r="G153" s="3" t="s">
        <v>1097</v>
      </c>
      <c r="H153" s="3" t="str">
        <f t="shared" si="0"/>
        <v>Output 2480 Gas P/L Corr, from Topside tanks' levels, from Yokogawa.</v>
      </c>
    </row>
    <row r="154" spans="1:8" x14ac:dyDescent="0.25">
      <c r="A154" s="3" t="s">
        <v>6983</v>
      </c>
      <c r="B154" s="3" t="s">
        <v>6992</v>
      </c>
      <c r="C154" s="3" t="s">
        <v>6985</v>
      </c>
      <c r="D154" s="3" t="s">
        <v>6315</v>
      </c>
      <c r="E154" s="3">
        <v>153</v>
      </c>
      <c r="F154" s="3" t="s">
        <v>3954</v>
      </c>
      <c r="G154" s="3" t="s">
        <v>1097</v>
      </c>
      <c r="H154" s="3" t="str">
        <f t="shared" si="0"/>
        <v>Output 2490 Oil P/L Corr, from Topside tanks' levels, from Yokogawa.</v>
      </c>
    </row>
    <row r="155" spans="1:8" x14ac:dyDescent="0.25">
      <c r="A155" s="3" t="s">
        <v>6983</v>
      </c>
      <c r="B155" s="3" t="s">
        <v>6992</v>
      </c>
      <c r="C155" s="3" t="s">
        <v>6985</v>
      </c>
      <c r="D155" s="3" t="s">
        <v>6315</v>
      </c>
      <c r="E155" s="3">
        <v>154</v>
      </c>
      <c r="F155" s="3" t="s">
        <v>3955</v>
      </c>
      <c r="G155" s="3" t="s">
        <v>1097</v>
      </c>
      <c r="H155" s="3" t="str">
        <f t="shared" si="0"/>
        <v>Output 2500 Pour Point Dep, from Topside tanks' levels, from Yokogawa.</v>
      </c>
    </row>
    <row r="156" spans="1:8" x14ac:dyDescent="0.25">
      <c r="A156" s="3" t="s">
        <v>6983</v>
      </c>
      <c r="B156" s="3" t="s">
        <v>6992</v>
      </c>
      <c r="C156" s="3" t="s">
        <v>6985</v>
      </c>
      <c r="D156" s="3" t="s">
        <v>6315</v>
      </c>
      <c r="E156" s="3">
        <v>155</v>
      </c>
      <c r="F156" s="3" t="s">
        <v>3956</v>
      </c>
      <c r="G156" s="3" t="s">
        <v>1093</v>
      </c>
      <c r="H156" s="3" t="str">
        <f t="shared" si="0"/>
        <v>Output DRY OIL TANK, from Topside tanks' levels, from Yokogawa.</v>
      </c>
    </row>
    <row r="157" spans="1:8" x14ac:dyDescent="0.25">
      <c r="A157" s="3" t="s">
        <v>6983</v>
      </c>
      <c r="B157" s="3" t="s">
        <v>6992</v>
      </c>
      <c r="C157" s="3" t="s">
        <v>6985</v>
      </c>
      <c r="D157" s="3" t="s">
        <v>6315</v>
      </c>
      <c r="E157" s="3">
        <v>156</v>
      </c>
      <c r="F157" s="3" t="s">
        <v>3957</v>
      </c>
      <c r="G157" s="3" t="s">
        <v>1093</v>
      </c>
      <c r="H157" s="3" t="str">
        <f t="shared" si="0"/>
        <v>Output Potable Water Tank A, from Topside tanks' levels, from Yokogawa.</v>
      </c>
    </row>
    <row r="158" spans="1:8" x14ac:dyDescent="0.25">
      <c r="A158" s="3" t="s">
        <v>6983</v>
      </c>
      <c r="B158" s="3" t="s">
        <v>6992</v>
      </c>
      <c r="C158" s="3" t="s">
        <v>6985</v>
      </c>
      <c r="D158" s="3" t="s">
        <v>6315</v>
      </c>
      <c r="E158" s="3">
        <v>157</v>
      </c>
      <c r="F158" s="3" t="s">
        <v>3958</v>
      </c>
      <c r="G158" s="3" t="s">
        <v>1093</v>
      </c>
      <c r="H158" s="3" t="str">
        <f t="shared" si="0"/>
        <v>Output Potable Water Tank B, from Topside tanks' levels, from Yokogawa.</v>
      </c>
    </row>
    <row r="159" spans="1:8" x14ac:dyDescent="0.25">
      <c r="A159" s="3" t="s">
        <v>6983</v>
      </c>
      <c r="B159" s="3" t="s">
        <v>6992</v>
      </c>
      <c r="C159" s="3" t="s">
        <v>6985</v>
      </c>
      <c r="D159" s="3" t="s">
        <v>6315</v>
      </c>
      <c r="E159" s="3">
        <v>158</v>
      </c>
      <c r="F159" s="3" t="s">
        <v>3959</v>
      </c>
      <c r="G159" s="3" t="s">
        <v>1097</v>
      </c>
      <c r="H159" s="3" t="str">
        <f t="shared" si="0"/>
        <v>Output MBD-1060, from Topside tanks' levels, from Yokogawa.</v>
      </c>
    </row>
    <row r="160" spans="1:8" x14ac:dyDescent="0.25">
      <c r="A160" s="3" t="s">
        <v>6983</v>
      </c>
      <c r="B160" s="3" t="s">
        <v>6992</v>
      </c>
      <c r="C160" s="3" t="s">
        <v>6985</v>
      </c>
      <c r="D160" s="3" t="s">
        <v>6315</v>
      </c>
      <c r="E160" s="3">
        <v>159</v>
      </c>
      <c r="F160" s="3" t="s">
        <v>3960</v>
      </c>
      <c r="G160" s="3" t="s">
        <v>1097</v>
      </c>
      <c r="H160" s="3" t="str">
        <f t="shared" si="0"/>
        <v>Output MBD-1610A, from Topside tanks' levels, from Yokogawa.</v>
      </c>
    </row>
    <row r="161" spans="1:8" x14ac:dyDescent="0.25">
      <c r="A161" s="3" t="s">
        <v>6983</v>
      </c>
      <c r="B161" s="3" t="s">
        <v>6992</v>
      </c>
      <c r="C161" s="3" t="s">
        <v>6985</v>
      </c>
      <c r="D161" s="3" t="s">
        <v>6315</v>
      </c>
      <c r="E161" s="3">
        <v>160</v>
      </c>
      <c r="F161" s="3" t="s">
        <v>3961</v>
      </c>
      <c r="G161" s="3" t="s">
        <v>1097</v>
      </c>
      <c r="H161" s="3" t="str">
        <f t="shared" si="0"/>
        <v>Output MBD-1610B, from Topside tanks' levels, from Yokogawa.</v>
      </c>
    </row>
    <row r="162" spans="1:8" x14ac:dyDescent="0.25">
      <c r="A162" s="3" t="s">
        <v>6983</v>
      </c>
      <c r="B162" s="3" t="s">
        <v>6992</v>
      </c>
      <c r="C162" s="3" t="s">
        <v>6985</v>
      </c>
      <c r="D162" s="3" t="s">
        <v>6315</v>
      </c>
      <c r="E162" s="3">
        <v>161</v>
      </c>
      <c r="F162" s="3" t="s">
        <v>3962</v>
      </c>
      <c r="G162" s="3" t="s">
        <v>1097</v>
      </c>
      <c r="H162" s="3" t="str">
        <f t="shared" si="0"/>
        <v>Output MBD-1610C, from Topside tanks' levels, from Yokogawa.</v>
      </c>
    </row>
    <row r="163" spans="1:8" x14ac:dyDescent="0.25">
      <c r="A163" s="3" t="s">
        <v>6983</v>
      </c>
      <c r="B163" s="3" t="s">
        <v>6992</v>
      </c>
      <c r="C163" s="3" t="s">
        <v>6985</v>
      </c>
      <c r="D163" s="3" t="s">
        <v>6315</v>
      </c>
      <c r="E163" s="3">
        <v>162</v>
      </c>
      <c r="F163" s="3" t="s">
        <v>3963</v>
      </c>
      <c r="G163" s="3" t="s">
        <v>1097</v>
      </c>
      <c r="H163" s="3" t="str">
        <f t="shared" si="0"/>
        <v>Output MBD-1610D, from Topside tanks' levels, from Yokogawa.</v>
      </c>
    </row>
    <row r="164" spans="1:8" x14ac:dyDescent="0.25">
      <c r="A164" s="3" t="s">
        <v>6983</v>
      </c>
      <c r="B164" s="3" t="s">
        <v>6992</v>
      </c>
      <c r="C164" s="3" t="s">
        <v>6985</v>
      </c>
      <c r="D164" s="3" t="s">
        <v>6315</v>
      </c>
      <c r="E164" s="3">
        <v>163</v>
      </c>
      <c r="F164" s="3" t="s">
        <v>3964</v>
      </c>
      <c r="G164" s="3" t="s">
        <v>1097</v>
      </c>
      <c r="H164" s="3" t="str">
        <f t="shared" si="0"/>
        <v>Output MBD-1610E, from Topside tanks' levels, from Yokogawa.</v>
      </c>
    </row>
    <row r="165" spans="1:8" x14ac:dyDescent="0.25">
      <c r="A165" s="3" t="s">
        <v>6983</v>
      </c>
      <c r="B165" s="3" t="s">
        <v>6992</v>
      </c>
      <c r="C165" s="3" t="s">
        <v>6985</v>
      </c>
      <c r="D165" s="3" t="s">
        <v>6315</v>
      </c>
      <c r="E165" s="3">
        <v>164</v>
      </c>
      <c r="F165" s="3" t="s">
        <v>3965</v>
      </c>
      <c r="G165" s="3" t="s">
        <v>1097</v>
      </c>
      <c r="H165" s="3" t="str">
        <f t="shared" si="0"/>
        <v>Output BBC1220, from Topside tanks' levels, from Yokogawa.</v>
      </c>
    </row>
    <row r="166" spans="1:8" x14ac:dyDescent="0.25">
      <c r="A166" s="3" t="s">
        <v>6983</v>
      </c>
      <c r="B166" s="3" t="s">
        <v>6992</v>
      </c>
      <c r="C166" s="3" t="s">
        <v>6985</v>
      </c>
      <c r="D166" s="3" t="s">
        <v>6315</v>
      </c>
      <c r="E166" s="3">
        <v>165</v>
      </c>
      <c r="F166" s="3" t="s">
        <v>3966</v>
      </c>
      <c r="G166" s="3" t="s">
        <v>1097</v>
      </c>
      <c r="H166" s="3" t="str">
        <f t="shared" si="0"/>
        <v>Output ABJ-2030, from Topside tanks' levels, from Yokogawa.</v>
      </c>
    </row>
    <row r="167" spans="1:8" x14ac:dyDescent="0.25">
      <c r="A167" s="3" t="s">
        <v>6983</v>
      </c>
      <c r="B167" s="3" t="s">
        <v>6992</v>
      </c>
      <c r="C167" s="3" t="s">
        <v>6985</v>
      </c>
      <c r="D167" s="3" t="s">
        <v>6315</v>
      </c>
      <c r="E167" s="3">
        <v>166</v>
      </c>
      <c r="F167" s="3" t="s">
        <v>3967</v>
      </c>
      <c r="G167" s="3" t="s">
        <v>1097</v>
      </c>
      <c r="H167" s="3" t="str">
        <f t="shared" si="0"/>
        <v>Output MBD-124003, from Topside tanks' levels, from Yokogawa.</v>
      </c>
    </row>
    <row r="168" spans="1:8" x14ac:dyDescent="0.25">
      <c r="A168" s="3" t="s">
        <v>6983</v>
      </c>
      <c r="B168" s="3" t="s">
        <v>6992</v>
      </c>
      <c r="C168" s="3" t="s">
        <v>6985</v>
      </c>
      <c r="D168" s="3" t="s">
        <v>6315</v>
      </c>
      <c r="E168" s="3">
        <v>167</v>
      </c>
      <c r="F168" s="3" t="s">
        <v>3968</v>
      </c>
      <c r="G168" s="3" t="s">
        <v>1097</v>
      </c>
      <c r="H168" s="3" t="str">
        <f t="shared" si="0"/>
        <v>Output MBD-124005, from Topside tanks' levels, from Yokogawa.</v>
      </c>
    </row>
    <row r="169" spans="1:8" x14ac:dyDescent="0.25">
      <c r="A169" s="3" t="s">
        <v>6983</v>
      </c>
      <c r="B169" s="3" t="s">
        <v>6992</v>
      </c>
      <c r="C169" s="3" t="s">
        <v>6985</v>
      </c>
      <c r="D169" s="3" t="s">
        <v>6315</v>
      </c>
      <c r="E169" s="3">
        <v>168</v>
      </c>
      <c r="F169" s="3" t="s">
        <v>3969</v>
      </c>
      <c r="G169" s="3" t="s">
        <v>1097</v>
      </c>
      <c r="H169" s="3" t="str">
        <f t="shared" si="0"/>
        <v>Output MBJ-1330, from Topside tanks' levels, from Yokogawa.</v>
      </c>
    </row>
    <row r="170" spans="1:8" x14ac:dyDescent="0.25">
      <c r="A170" s="3" t="s">
        <v>6983</v>
      </c>
      <c r="B170" s="3" t="s">
        <v>6992</v>
      </c>
      <c r="C170" s="3" t="s">
        <v>6985</v>
      </c>
      <c r="D170" s="3" t="s">
        <v>6315</v>
      </c>
      <c r="E170" s="3">
        <v>169</v>
      </c>
      <c r="F170" s="3" t="s">
        <v>3970</v>
      </c>
      <c r="G170" s="3" t="s">
        <v>1097</v>
      </c>
      <c r="H170" s="3" t="str">
        <f t="shared" si="0"/>
        <v>Output MBD-1520A, from Topside tanks' levels, from Yokogawa.</v>
      </c>
    </row>
    <row r="171" spans="1:8" x14ac:dyDescent="0.25">
      <c r="A171" s="3" t="s">
        <v>6983</v>
      </c>
      <c r="B171" s="3" t="s">
        <v>6992</v>
      </c>
      <c r="C171" s="3" t="s">
        <v>6985</v>
      </c>
      <c r="D171" s="3" t="s">
        <v>6315</v>
      </c>
      <c r="E171" s="3">
        <v>170</v>
      </c>
      <c r="F171" s="3" t="s">
        <v>3971</v>
      </c>
      <c r="G171" s="3" t="s">
        <v>1097</v>
      </c>
      <c r="H171" s="3" t="str">
        <f t="shared" si="0"/>
        <v>Output MBD-1520B, from Topside tanks' levels, from Yokogawa.</v>
      </c>
    </row>
    <row r="172" spans="1:8" x14ac:dyDescent="0.25">
      <c r="A172" s="3" t="s">
        <v>6983</v>
      </c>
      <c r="B172" s="3" t="s">
        <v>6992</v>
      </c>
      <c r="C172" s="3" t="s">
        <v>6985</v>
      </c>
      <c r="D172" s="3" t="s">
        <v>6315</v>
      </c>
      <c r="E172" s="3">
        <v>171</v>
      </c>
      <c r="F172" s="3" t="s">
        <v>3972</v>
      </c>
      <c r="G172" s="3" t="s">
        <v>1097</v>
      </c>
      <c r="H172" s="3" t="str">
        <f t="shared" si="0"/>
        <v>Output MBD-1520C, from Topside tanks' levels, from Yokogawa.</v>
      </c>
    </row>
    <row r="173" spans="1:8" x14ac:dyDescent="0.25">
      <c r="A173" s="3" t="s">
        <v>6983</v>
      </c>
      <c r="B173" s="3" t="s">
        <v>6992</v>
      </c>
      <c r="C173" s="3" t="s">
        <v>6985</v>
      </c>
      <c r="D173" s="3" t="s">
        <v>6315</v>
      </c>
      <c r="E173" s="3">
        <v>172</v>
      </c>
      <c r="F173" s="3" t="s">
        <v>3973</v>
      </c>
      <c r="G173" s="3" t="s">
        <v>1097</v>
      </c>
      <c r="H173" s="3" t="str">
        <f t="shared" si="0"/>
        <v>Output MBD-1520D, from Topside tanks' levels, from Yokogawa.</v>
      </c>
    </row>
    <row r="174" spans="1:8" x14ac:dyDescent="0.25">
      <c r="A174" s="3" t="s">
        <v>6983</v>
      </c>
      <c r="B174" s="3" t="s">
        <v>6992</v>
      </c>
      <c r="C174" s="3" t="s">
        <v>6985</v>
      </c>
      <c r="D174" s="3" t="s">
        <v>6315</v>
      </c>
      <c r="E174" s="3">
        <v>173</v>
      </c>
      <c r="F174" s="3" t="s">
        <v>3974</v>
      </c>
      <c r="G174" s="3" t="s">
        <v>1097</v>
      </c>
      <c r="H174" s="3" t="str">
        <f t="shared" si="0"/>
        <v>Output MBD-1520E, from Topside tanks' levels, from Yokogawa.</v>
      </c>
    </row>
    <row r="175" spans="1:8" x14ac:dyDescent="0.25">
      <c r="A175" s="3" t="s">
        <v>6983</v>
      </c>
      <c r="B175" s="3" t="s">
        <v>6992</v>
      </c>
      <c r="C175" s="3" t="s">
        <v>6985</v>
      </c>
      <c r="D175" s="3" t="s">
        <v>6315</v>
      </c>
      <c r="E175" s="3">
        <v>174</v>
      </c>
      <c r="F175" s="3" t="s">
        <v>3975</v>
      </c>
      <c r="G175" s="3" t="s">
        <v>1097</v>
      </c>
      <c r="H175" s="3" t="str">
        <f t="shared" si="0"/>
        <v>Output MBF-1190A, from Topside tanks' levels, from Yokogawa.</v>
      </c>
    </row>
    <row r="176" spans="1:8" x14ac:dyDescent="0.25">
      <c r="A176" s="3" t="s">
        <v>6983</v>
      </c>
      <c r="B176" s="3" t="s">
        <v>6992</v>
      </c>
      <c r="C176" s="3" t="s">
        <v>6985</v>
      </c>
      <c r="D176" s="3" t="s">
        <v>6315</v>
      </c>
      <c r="E176" s="3">
        <v>175</v>
      </c>
      <c r="F176" s="3" t="s">
        <v>3976</v>
      </c>
      <c r="G176" s="3" t="s">
        <v>1097</v>
      </c>
      <c r="H176" s="3" t="str">
        <f t="shared" si="0"/>
        <v>Output MBF-1190B, from Topside tanks' levels, from Yokogawa.</v>
      </c>
    </row>
    <row r="177" spans="1:8" x14ac:dyDescent="0.25">
      <c r="A177" s="3" t="s">
        <v>6983</v>
      </c>
      <c r="B177" s="3" t="s">
        <v>6992</v>
      </c>
      <c r="C177" s="3" t="s">
        <v>6985</v>
      </c>
      <c r="D177" s="3" t="s">
        <v>6315</v>
      </c>
      <c r="E177" s="3">
        <v>176</v>
      </c>
      <c r="F177" s="3" t="s">
        <v>3977</v>
      </c>
      <c r="G177" s="3" t="s">
        <v>1097</v>
      </c>
      <c r="H177" s="3" t="str">
        <f t="shared" si="0"/>
        <v>Output MBF-1200A, from Topside tanks' levels, from Yokogawa.</v>
      </c>
    </row>
    <row r="178" spans="1:8" x14ac:dyDescent="0.25">
      <c r="A178" s="3" t="s">
        <v>6983</v>
      </c>
      <c r="B178" s="3" t="s">
        <v>6992</v>
      </c>
      <c r="C178" s="3" t="s">
        <v>6985</v>
      </c>
      <c r="D178" s="3" t="s">
        <v>6315</v>
      </c>
      <c r="E178" s="3">
        <v>177</v>
      </c>
      <c r="F178" s="3" t="s">
        <v>3978</v>
      </c>
      <c r="G178" s="3" t="s">
        <v>1097</v>
      </c>
      <c r="H178" s="3" t="str">
        <f t="shared" si="0"/>
        <v>Output MBF-1200B, from Topside tanks' levels, from Yokogawa.</v>
      </c>
    </row>
    <row r="179" spans="1:8" x14ac:dyDescent="0.25">
      <c r="A179" s="3" t="s">
        <v>6983</v>
      </c>
      <c r="B179" s="3" t="s">
        <v>6992</v>
      </c>
      <c r="C179" s="3" t="s">
        <v>6985</v>
      </c>
      <c r="D179" s="3" t="s">
        <v>6315</v>
      </c>
      <c r="E179" s="3">
        <v>178</v>
      </c>
      <c r="F179" s="3" t="s">
        <v>3979</v>
      </c>
      <c r="G179" s="3" t="s">
        <v>1097</v>
      </c>
      <c r="H179" s="3" t="str">
        <f t="shared" si="0"/>
        <v>Output MBM-151001, from Topside tanks' levels, from Yokogawa.</v>
      </c>
    </row>
    <row r="180" spans="1:8" x14ac:dyDescent="0.25">
      <c r="A180" s="3" t="s">
        <v>6983</v>
      </c>
      <c r="B180" s="3" t="s">
        <v>6992</v>
      </c>
      <c r="C180" s="3" t="s">
        <v>6985</v>
      </c>
      <c r="D180" s="3" t="s">
        <v>6315</v>
      </c>
      <c r="E180" s="3">
        <v>179</v>
      </c>
      <c r="F180" s="3" t="s">
        <v>3980</v>
      </c>
      <c r="G180" s="3" t="s">
        <v>1097</v>
      </c>
      <c r="H180" s="3" t="str">
        <f t="shared" si="0"/>
        <v>Output MBM-151006, from Topside tanks' levels, from Yokogawa.</v>
      </c>
    </row>
    <row r="181" spans="1:8" x14ac:dyDescent="0.25">
      <c r="A181" s="3" t="s">
        <v>6983</v>
      </c>
      <c r="B181" s="3" t="s">
        <v>6992</v>
      </c>
      <c r="C181" s="3" t="s">
        <v>6985</v>
      </c>
      <c r="D181" s="3" t="s">
        <v>6315</v>
      </c>
      <c r="E181" s="3">
        <v>180</v>
      </c>
      <c r="F181" s="3" t="s">
        <v>3981</v>
      </c>
      <c r="G181" s="3" t="s">
        <v>1097</v>
      </c>
      <c r="H181" s="3" t="str">
        <f t="shared" si="0"/>
        <v>Output MBD-105013, from Topside tanks' levels, from Yokogawa.</v>
      </c>
    </row>
    <row r="182" spans="1:8" x14ac:dyDescent="0.25">
      <c r="A182" s="3" t="s">
        <v>6983</v>
      </c>
      <c r="B182" s="3" t="s">
        <v>6992</v>
      </c>
      <c r="C182" s="3" t="s">
        <v>6985</v>
      </c>
      <c r="D182" s="3" t="s">
        <v>6315</v>
      </c>
      <c r="E182" s="3">
        <v>181</v>
      </c>
      <c r="F182" s="3" t="s">
        <v>3982</v>
      </c>
      <c r="G182" s="3" t="s">
        <v>1097</v>
      </c>
      <c r="H182" s="3" t="str">
        <f t="shared" si="0"/>
        <v>Output MBD-105018, from Topside tanks' levels, from Yokogawa.</v>
      </c>
    </row>
    <row r="183" spans="1:8" x14ac:dyDescent="0.25">
      <c r="A183" s="3" t="s">
        <v>6983</v>
      </c>
      <c r="B183" s="3" t="s">
        <v>6992</v>
      </c>
      <c r="C183" s="3" t="s">
        <v>6985</v>
      </c>
      <c r="D183" s="3" t="s">
        <v>6315</v>
      </c>
      <c r="E183" s="3">
        <v>182</v>
      </c>
      <c r="F183" s="3" t="s">
        <v>3983</v>
      </c>
      <c r="G183" s="3" t="s">
        <v>1097</v>
      </c>
      <c r="H183" s="3" t="str">
        <f t="shared" si="0"/>
        <v>Output MAK-1110A04, from Topside tanks' levels, from Yokogawa.</v>
      </c>
    </row>
    <row r="184" spans="1:8" x14ac:dyDescent="0.25">
      <c r="A184" s="3" t="s">
        <v>6983</v>
      </c>
      <c r="B184" s="3" t="s">
        <v>6992</v>
      </c>
      <c r="C184" s="3" t="s">
        <v>6985</v>
      </c>
      <c r="D184" s="3" t="s">
        <v>6315</v>
      </c>
      <c r="E184" s="3">
        <v>183</v>
      </c>
      <c r="F184" s="3" t="s">
        <v>3984</v>
      </c>
      <c r="G184" s="3" t="s">
        <v>1097</v>
      </c>
      <c r="H184" s="3" t="str">
        <f t="shared" si="0"/>
        <v>Output MAK-1110A06, from Topside tanks' levels, from Yokogawa.</v>
      </c>
    </row>
    <row r="185" spans="1:8" x14ac:dyDescent="0.25">
      <c r="A185" s="3" t="s">
        <v>6983</v>
      </c>
      <c r="B185" s="3" t="s">
        <v>6992</v>
      </c>
      <c r="C185" s="3" t="s">
        <v>6985</v>
      </c>
      <c r="D185" s="3" t="s">
        <v>6315</v>
      </c>
      <c r="E185" s="3">
        <v>184</v>
      </c>
      <c r="F185" s="3" t="s">
        <v>3985</v>
      </c>
      <c r="G185" s="3" t="s">
        <v>1097</v>
      </c>
      <c r="H185" s="3" t="str">
        <f t="shared" ref="H185:H192" si="1">_xlfn.CONCAT("Output ",F185, ", from Topside tanks' levels, from Yokogawa.")</f>
        <v>Output MAK-1110B04, from Topside tanks' levels, from Yokogawa.</v>
      </c>
    </row>
    <row r="186" spans="1:8" x14ac:dyDescent="0.25">
      <c r="A186" s="3" t="s">
        <v>6983</v>
      </c>
      <c r="B186" s="3" t="s">
        <v>6992</v>
      </c>
      <c r="C186" s="3" t="s">
        <v>6985</v>
      </c>
      <c r="D186" s="3" t="s">
        <v>6315</v>
      </c>
      <c r="E186" s="3">
        <v>185</v>
      </c>
      <c r="F186" s="3" t="s">
        <v>3986</v>
      </c>
      <c r="G186" s="3" t="s">
        <v>1097</v>
      </c>
      <c r="H186" s="3" t="str">
        <f t="shared" si="1"/>
        <v>Output MAK-1110B06, from Topside tanks' levels, from Yokogawa.</v>
      </c>
    </row>
    <row r="187" spans="1:8" x14ac:dyDescent="0.25">
      <c r="A187" s="3" t="s">
        <v>6983</v>
      </c>
      <c r="B187" s="3" t="s">
        <v>6992</v>
      </c>
      <c r="C187" s="3" t="s">
        <v>6985</v>
      </c>
      <c r="D187" s="3" t="s">
        <v>6315</v>
      </c>
      <c r="E187" s="3">
        <v>186</v>
      </c>
      <c r="F187" s="3" t="s">
        <v>3987</v>
      </c>
      <c r="G187" s="3" t="s">
        <v>1097</v>
      </c>
      <c r="H187" s="3" t="str">
        <f t="shared" si="1"/>
        <v>Output MBF-1090, from Topside tanks' levels, from Yokogawa.</v>
      </c>
    </row>
    <row r="188" spans="1:8" x14ac:dyDescent="0.25">
      <c r="A188" s="3" t="s">
        <v>6983</v>
      </c>
      <c r="B188" s="3" t="s">
        <v>6992</v>
      </c>
      <c r="C188" s="3" t="s">
        <v>6985</v>
      </c>
      <c r="D188" s="3" t="s">
        <v>6315</v>
      </c>
      <c r="E188" s="3">
        <v>187</v>
      </c>
      <c r="F188" s="3" t="s">
        <v>3988</v>
      </c>
      <c r="G188" s="3" t="s">
        <v>1097</v>
      </c>
      <c r="H188" s="3" t="str">
        <f t="shared" si="1"/>
        <v>Output MBM-154001, from Topside tanks' levels, from Yokogawa.</v>
      </c>
    </row>
    <row r="189" spans="1:8" x14ac:dyDescent="0.25">
      <c r="A189" s="3" t="s">
        <v>6983</v>
      </c>
      <c r="B189" s="3" t="s">
        <v>6992</v>
      </c>
      <c r="C189" s="3" t="s">
        <v>6985</v>
      </c>
      <c r="D189" s="3" t="s">
        <v>6315</v>
      </c>
      <c r="E189" s="3">
        <v>188</v>
      </c>
      <c r="F189" s="3" t="s">
        <v>3989</v>
      </c>
      <c r="G189" s="3" t="s">
        <v>1097</v>
      </c>
      <c r="H189" s="3" t="str">
        <f t="shared" si="1"/>
        <v>Output MBM-154003, from Topside tanks' levels, from Yokogawa.</v>
      </c>
    </row>
    <row r="190" spans="1:8" x14ac:dyDescent="0.25">
      <c r="A190" s="3" t="s">
        <v>6983</v>
      </c>
      <c r="B190" s="3" t="s">
        <v>6992</v>
      </c>
      <c r="C190" s="3" t="s">
        <v>6985</v>
      </c>
      <c r="D190" s="3" t="s">
        <v>6315</v>
      </c>
      <c r="E190" s="3">
        <v>189</v>
      </c>
      <c r="F190" s="3" t="s">
        <v>3990</v>
      </c>
      <c r="G190" s="3" t="s">
        <v>1097</v>
      </c>
      <c r="H190" s="3" t="str">
        <f t="shared" si="1"/>
        <v>Output MBF-1080, from Topside tanks' levels, from Yokogawa.</v>
      </c>
    </row>
    <row r="191" spans="1:8" x14ac:dyDescent="0.25">
      <c r="A191" s="3" t="s">
        <v>6983</v>
      </c>
      <c r="B191" s="3" t="s">
        <v>6992</v>
      </c>
      <c r="C191" s="3" t="s">
        <v>6985</v>
      </c>
      <c r="D191" s="3" t="s">
        <v>6315</v>
      </c>
      <c r="E191" s="3">
        <v>190</v>
      </c>
      <c r="F191" s="3" t="s">
        <v>3991</v>
      </c>
      <c r="G191" s="3" t="s">
        <v>1097</v>
      </c>
      <c r="H191" s="3" t="str">
        <f t="shared" si="1"/>
        <v>Output MBD-1630-25, from Topside tanks' levels, from Yokogawa.</v>
      </c>
    </row>
    <row r="192" spans="1:8" x14ac:dyDescent="0.25">
      <c r="A192" s="3" t="s">
        <v>6983</v>
      </c>
      <c r="B192" s="3" t="s">
        <v>6992</v>
      </c>
      <c r="C192" s="3" t="s">
        <v>6985</v>
      </c>
      <c r="D192" s="3" t="s">
        <v>6315</v>
      </c>
      <c r="E192" s="3">
        <v>191</v>
      </c>
      <c r="F192" s="3" t="s">
        <v>3992</v>
      </c>
      <c r="G192" s="3" t="s">
        <v>1097</v>
      </c>
      <c r="H192" s="3" t="str">
        <f t="shared" si="1"/>
        <v>Output MBD-1630-35, from Topside tanks' levels, from Yokogawa.</v>
      </c>
    </row>
    <row r="193" spans="1:10" x14ac:dyDescent="0.25">
      <c r="A193" s="3" t="s">
        <v>6983</v>
      </c>
      <c r="B193" s="3" t="s">
        <v>6992</v>
      </c>
      <c r="C193" s="3" t="s">
        <v>6985</v>
      </c>
      <c r="D193" s="3" t="s">
        <v>6316</v>
      </c>
      <c r="E193" s="3">
        <v>192</v>
      </c>
      <c r="F193" s="3" t="s">
        <v>3993</v>
      </c>
      <c r="G193" s="3" t="s">
        <v>1100</v>
      </c>
      <c r="H193" s="4" t="str">
        <f>_xlfn.CONCAT("Output ",F193, ", from Mooring channels from Mooring PLC, ZenMAS, output to LMP.")</f>
        <v>Output Static Tension ML1, from Mooring channels from Mooring PLC, ZenMAS, output to LMP.</v>
      </c>
      <c r="J193" s="3" t="s">
        <v>6365</v>
      </c>
    </row>
    <row r="194" spans="1:10" x14ac:dyDescent="0.25">
      <c r="A194" s="3" t="s">
        <v>6983</v>
      </c>
      <c r="B194" s="3" t="s">
        <v>6992</v>
      </c>
      <c r="C194" s="3" t="s">
        <v>6985</v>
      </c>
      <c r="D194" s="3" t="s">
        <v>6316</v>
      </c>
      <c r="E194" s="3">
        <v>193</v>
      </c>
      <c r="F194" s="3" t="s">
        <v>3994</v>
      </c>
      <c r="G194" s="3" t="s">
        <v>1100</v>
      </c>
      <c r="H194" s="4" t="str">
        <f t="shared" ref="H194:H219" si="2">_xlfn.CONCAT("Output ",F194, ", from Mooring channels from Mooring PLC, ZenMAS, output to LMP.")</f>
        <v>Output Static Tension ML2, from Mooring channels from Mooring PLC, ZenMAS, output to LMP.</v>
      </c>
    </row>
    <row r="195" spans="1:10" x14ac:dyDescent="0.25">
      <c r="A195" s="3" t="s">
        <v>6983</v>
      </c>
      <c r="B195" s="3" t="s">
        <v>6992</v>
      </c>
      <c r="C195" s="3" t="s">
        <v>6985</v>
      </c>
      <c r="D195" s="3" t="s">
        <v>6316</v>
      </c>
      <c r="E195" s="3">
        <v>194</v>
      </c>
      <c r="F195" s="3" t="s">
        <v>3995</v>
      </c>
      <c r="G195" s="3" t="s">
        <v>1100</v>
      </c>
      <c r="H195" s="4" t="str">
        <f t="shared" si="2"/>
        <v>Output Static Tension ML3, from Mooring channels from Mooring PLC, ZenMAS, output to LMP.</v>
      </c>
    </row>
    <row r="196" spans="1:10" x14ac:dyDescent="0.25">
      <c r="A196" s="3" t="s">
        <v>6983</v>
      </c>
      <c r="B196" s="3" t="s">
        <v>6992</v>
      </c>
      <c r="C196" s="3" t="s">
        <v>6985</v>
      </c>
      <c r="D196" s="3" t="s">
        <v>6316</v>
      </c>
      <c r="E196" s="3">
        <v>195</v>
      </c>
      <c r="F196" s="3" t="s">
        <v>3996</v>
      </c>
      <c r="G196" s="3" t="s">
        <v>1100</v>
      </c>
      <c r="H196" s="4" t="str">
        <f t="shared" si="2"/>
        <v>Output Static Tension ML4, from Mooring channels from Mooring PLC, ZenMAS, output to LMP.</v>
      </c>
    </row>
    <row r="197" spans="1:10" x14ac:dyDescent="0.25">
      <c r="A197" s="3" t="s">
        <v>6983</v>
      </c>
      <c r="B197" s="3" t="s">
        <v>6992</v>
      </c>
      <c r="C197" s="3" t="s">
        <v>6985</v>
      </c>
      <c r="D197" s="3" t="s">
        <v>6316</v>
      </c>
      <c r="E197" s="3">
        <v>196</v>
      </c>
      <c r="F197" s="3" t="s">
        <v>3997</v>
      </c>
      <c r="G197" s="3" t="s">
        <v>1100</v>
      </c>
      <c r="H197" s="4" t="str">
        <f t="shared" si="2"/>
        <v>Output Static Tension ML5, from Mooring channels from Mooring PLC, ZenMAS, output to LMP.</v>
      </c>
    </row>
    <row r="198" spans="1:10" x14ac:dyDescent="0.25">
      <c r="A198" s="3" t="s">
        <v>6983</v>
      </c>
      <c r="B198" s="3" t="s">
        <v>6992</v>
      </c>
      <c r="C198" s="3" t="s">
        <v>6985</v>
      </c>
      <c r="D198" s="3" t="s">
        <v>6316</v>
      </c>
      <c r="E198" s="3">
        <v>197</v>
      </c>
      <c r="F198" s="3" t="s">
        <v>3998</v>
      </c>
      <c r="G198" s="3" t="s">
        <v>1100</v>
      </c>
      <c r="H198" s="4" t="str">
        <f t="shared" si="2"/>
        <v>Output Static Tension ML6, from Mooring channels from Mooring PLC, ZenMAS, output to LMP.</v>
      </c>
    </row>
    <row r="199" spans="1:10" x14ac:dyDescent="0.25">
      <c r="A199" s="3" t="s">
        <v>6983</v>
      </c>
      <c r="B199" s="3" t="s">
        <v>6992</v>
      </c>
      <c r="C199" s="3" t="s">
        <v>6985</v>
      </c>
      <c r="D199" s="3" t="s">
        <v>6316</v>
      </c>
      <c r="E199" s="3">
        <v>198</v>
      </c>
      <c r="F199" s="3" t="s">
        <v>3999</v>
      </c>
      <c r="G199" s="3" t="s">
        <v>1100</v>
      </c>
      <c r="H199" s="4" t="str">
        <f t="shared" si="2"/>
        <v>Output Static Tension ML7, from Mooring channels from Mooring PLC, ZenMAS, output to LMP.</v>
      </c>
    </row>
    <row r="200" spans="1:10" x14ac:dyDescent="0.25">
      <c r="A200" s="3" t="s">
        <v>6983</v>
      </c>
      <c r="B200" s="3" t="s">
        <v>6992</v>
      </c>
      <c r="C200" s="3" t="s">
        <v>6985</v>
      </c>
      <c r="D200" s="3" t="s">
        <v>6316</v>
      </c>
      <c r="E200" s="3">
        <v>199</v>
      </c>
      <c r="F200" s="3" t="s">
        <v>4000</v>
      </c>
      <c r="G200" s="3" t="s">
        <v>1100</v>
      </c>
      <c r="H200" s="4" t="str">
        <f t="shared" si="2"/>
        <v>Output Static Tension ML8, from Mooring channels from Mooring PLC, ZenMAS, output to LMP.</v>
      </c>
    </row>
    <row r="201" spans="1:10" x14ac:dyDescent="0.25">
      <c r="A201" s="3" t="s">
        <v>6983</v>
      </c>
      <c r="B201" s="3" t="s">
        <v>6992</v>
      </c>
      <c r="C201" s="3" t="s">
        <v>6985</v>
      </c>
      <c r="D201" s="3" t="s">
        <v>6316</v>
      </c>
      <c r="E201" s="3">
        <v>200</v>
      </c>
      <c r="F201" s="3" t="s">
        <v>4001</v>
      </c>
      <c r="G201" s="3" t="s">
        <v>1100</v>
      </c>
      <c r="H201" s="4" t="str">
        <f t="shared" si="2"/>
        <v>Output Static Tension ML9, from Mooring channels from Mooring PLC, ZenMAS, output to LMP.</v>
      </c>
    </row>
    <row r="202" spans="1:10" x14ac:dyDescent="0.25">
      <c r="A202" s="3" t="s">
        <v>6983</v>
      </c>
      <c r="B202" s="3" t="s">
        <v>6992</v>
      </c>
      <c r="C202" s="3" t="s">
        <v>6985</v>
      </c>
      <c r="D202" s="3" t="s">
        <v>6316</v>
      </c>
      <c r="E202" s="3">
        <v>201</v>
      </c>
      <c r="F202" s="3" t="s">
        <v>4002</v>
      </c>
      <c r="G202" s="3" t="s">
        <v>1100</v>
      </c>
      <c r="H202" s="4" t="str">
        <f t="shared" si="2"/>
        <v>Output Dynamic Tension ML1, from Mooring channels from Mooring PLC, ZenMAS, output to LMP.</v>
      </c>
    </row>
    <row r="203" spans="1:10" x14ac:dyDescent="0.25">
      <c r="A203" s="3" t="s">
        <v>6983</v>
      </c>
      <c r="B203" s="3" t="s">
        <v>6992</v>
      </c>
      <c r="C203" s="3" t="s">
        <v>6985</v>
      </c>
      <c r="D203" s="3" t="s">
        <v>6316</v>
      </c>
      <c r="E203" s="3">
        <v>202</v>
      </c>
      <c r="F203" s="3" t="s">
        <v>4003</v>
      </c>
      <c r="G203" s="3" t="s">
        <v>1100</v>
      </c>
      <c r="H203" s="4" t="str">
        <f t="shared" si="2"/>
        <v>Output Dynamic Tension ML2, from Mooring channels from Mooring PLC, ZenMAS, output to LMP.</v>
      </c>
    </row>
    <row r="204" spans="1:10" x14ac:dyDescent="0.25">
      <c r="A204" s="3" t="s">
        <v>6983</v>
      </c>
      <c r="B204" s="3" t="s">
        <v>6992</v>
      </c>
      <c r="C204" s="3" t="s">
        <v>6985</v>
      </c>
      <c r="D204" s="3" t="s">
        <v>6316</v>
      </c>
      <c r="E204" s="3">
        <v>203</v>
      </c>
      <c r="F204" s="3" t="s">
        <v>4004</v>
      </c>
      <c r="G204" s="3" t="s">
        <v>1100</v>
      </c>
      <c r="H204" s="4" t="str">
        <f t="shared" si="2"/>
        <v>Output Dynamic Tension ML3, from Mooring channels from Mooring PLC, ZenMAS, output to LMP.</v>
      </c>
    </row>
    <row r="205" spans="1:10" x14ac:dyDescent="0.25">
      <c r="A205" s="3" t="s">
        <v>6983</v>
      </c>
      <c r="B205" s="3" t="s">
        <v>6992</v>
      </c>
      <c r="C205" s="3" t="s">
        <v>6985</v>
      </c>
      <c r="D205" s="3" t="s">
        <v>6316</v>
      </c>
      <c r="E205" s="3">
        <v>204</v>
      </c>
      <c r="F205" s="3" t="s">
        <v>4005</v>
      </c>
      <c r="G205" s="3" t="s">
        <v>1100</v>
      </c>
      <c r="H205" s="4" t="str">
        <f t="shared" si="2"/>
        <v>Output Dynamic Tension ML4, from Mooring channels from Mooring PLC, ZenMAS, output to LMP.</v>
      </c>
    </row>
    <row r="206" spans="1:10" x14ac:dyDescent="0.25">
      <c r="A206" s="3" t="s">
        <v>6983</v>
      </c>
      <c r="B206" s="3" t="s">
        <v>6992</v>
      </c>
      <c r="C206" s="3" t="s">
        <v>6985</v>
      </c>
      <c r="D206" s="3" t="s">
        <v>6316</v>
      </c>
      <c r="E206" s="3">
        <v>205</v>
      </c>
      <c r="F206" s="3" t="s">
        <v>4006</v>
      </c>
      <c r="G206" s="3" t="s">
        <v>1100</v>
      </c>
      <c r="H206" s="4" t="str">
        <f t="shared" si="2"/>
        <v>Output Dynamic Tension ML5, from Mooring channels from Mooring PLC, ZenMAS, output to LMP.</v>
      </c>
    </row>
    <row r="207" spans="1:10" x14ac:dyDescent="0.25">
      <c r="A207" s="3" t="s">
        <v>6983</v>
      </c>
      <c r="B207" s="3" t="s">
        <v>6992</v>
      </c>
      <c r="C207" s="3" t="s">
        <v>6985</v>
      </c>
      <c r="D207" s="3" t="s">
        <v>6316</v>
      </c>
      <c r="E207" s="3">
        <v>206</v>
      </c>
      <c r="F207" s="3" t="s">
        <v>4007</v>
      </c>
      <c r="G207" s="3" t="s">
        <v>1100</v>
      </c>
      <c r="H207" s="4" t="str">
        <f t="shared" si="2"/>
        <v>Output Dynamic Tension ML6, from Mooring channels from Mooring PLC, ZenMAS, output to LMP.</v>
      </c>
    </row>
    <row r="208" spans="1:10" x14ac:dyDescent="0.25">
      <c r="A208" s="3" t="s">
        <v>6983</v>
      </c>
      <c r="B208" s="3" t="s">
        <v>6992</v>
      </c>
      <c r="C208" s="3" t="s">
        <v>6985</v>
      </c>
      <c r="D208" s="3" t="s">
        <v>6316</v>
      </c>
      <c r="E208" s="3">
        <v>207</v>
      </c>
      <c r="F208" s="3" t="s">
        <v>4008</v>
      </c>
      <c r="G208" s="3" t="s">
        <v>1100</v>
      </c>
      <c r="H208" s="4" t="str">
        <f t="shared" si="2"/>
        <v>Output Dynamic Tension ML7, from Mooring channels from Mooring PLC, ZenMAS, output to LMP.</v>
      </c>
    </row>
    <row r="209" spans="1:8" x14ac:dyDescent="0.25">
      <c r="A209" s="3" t="s">
        <v>6983</v>
      </c>
      <c r="B209" s="3" t="s">
        <v>6992</v>
      </c>
      <c r="C209" s="3" t="s">
        <v>6985</v>
      </c>
      <c r="D209" s="3" t="s">
        <v>6316</v>
      </c>
      <c r="E209" s="3">
        <v>208</v>
      </c>
      <c r="F209" s="3" t="s">
        <v>4009</v>
      </c>
      <c r="G209" s="3" t="s">
        <v>1100</v>
      </c>
      <c r="H209" s="4" t="str">
        <f t="shared" si="2"/>
        <v>Output Dynamic Tension ML8, from Mooring channels from Mooring PLC, ZenMAS, output to LMP.</v>
      </c>
    </row>
    <row r="210" spans="1:8" x14ac:dyDescent="0.25">
      <c r="A210" s="3" t="s">
        <v>6983</v>
      </c>
      <c r="B210" s="3" t="s">
        <v>6992</v>
      </c>
      <c r="C210" s="3" t="s">
        <v>6985</v>
      </c>
      <c r="D210" s="3" t="s">
        <v>6316</v>
      </c>
      <c r="E210" s="3">
        <v>209</v>
      </c>
      <c r="F210" s="3" t="s">
        <v>4010</v>
      </c>
      <c r="G210" s="3" t="s">
        <v>1100</v>
      </c>
      <c r="H210" s="4" t="str">
        <f t="shared" si="2"/>
        <v>Output Dynamic Tension ML9, from Mooring channels from Mooring PLC, ZenMAS, output to LMP.</v>
      </c>
    </row>
    <row r="211" spans="1:8" x14ac:dyDescent="0.25">
      <c r="A211" s="3" t="s">
        <v>6983</v>
      </c>
      <c r="B211" s="3" t="s">
        <v>6992</v>
      </c>
      <c r="C211" s="3" t="s">
        <v>6985</v>
      </c>
      <c r="D211" s="3" t="s">
        <v>6316</v>
      </c>
      <c r="E211" s="3">
        <v>210</v>
      </c>
      <c r="F211" s="3" t="s">
        <v>4011</v>
      </c>
      <c r="G211" s="3" t="s">
        <v>1093</v>
      </c>
      <c r="H211" s="4" t="str">
        <f t="shared" si="2"/>
        <v>Output Chain Footage ML1, from Mooring channels from Mooring PLC, ZenMAS, output to LMP.</v>
      </c>
    </row>
    <row r="212" spans="1:8" x14ac:dyDescent="0.25">
      <c r="A212" s="3" t="s">
        <v>6983</v>
      </c>
      <c r="B212" s="3" t="s">
        <v>6992</v>
      </c>
      <c r="C212" s="3" t="s">
        <v>6985</v>
      </c>
      <c r="D212" s="3" t="s">
        <v>6316</v>
      </c>
      <c r="E212" s="3">
        <v>211</v>
      </c>
      <c r="F212" s="3" t="s">
        <v>4012</v>
      </c>
      <c r="G212" s="3" t="s">
        <v>1093</v>
      </c>
      <c r="H212" s="4" t="str">
        <f t="shared" si="2"/>
        <v>Output Chain Footage ML2, from Mooring channels from Mooring PLC, ZenMAS, output to LMP.</v>
      </c>
    </row>
    <row r="213" spans="1:8" x14ac:dyDescent="0.25">
      <c r="A213" s="3" t="s">
        <v>6983</v>
      </c>
      <c r="B213" s="3" t="s">
        <v>6992</v>
      </c>
      <c r="C213" s="3" t="s">
        <v>6985</v>
      </c>
      <c r="D213" s="3" t="s">
        <v>6316</v>
      </c>
      <c r="E213" s="3">
        <v>212</v>
      </c>
      <c r="F213" s="3" t="s">
        <v>4013</v>
      </c>
      <c r="G213" s="3" t="s">
        <v>1093</v>
      </c>
      <c r="H213" s="4" t="str">
        <f t="shared" si="2"/>
        <v>Output Chain Footage ML3, from Mooring channels from Mooring PLC, ZenMAS, output to LMP.</v>
      </c>
    </row>
    <row r="214" spans="1:8" x14ac:dyDescent="0.25">
      <c r="A214" s="3" t="s">
        <v>6983</v>
      </c>
      <c r="B214" s="3" t="s">
        <v>6992</v>
      </c>
      <c r="C214" s="3" t="s">
        <v>6985</v>
      </c>
      <c r="D214" s="3" t="s">
        <v>6316</v>
      </c>
      <c r="E214" s="3">
        <v>213</v>
      </c>
      <c r="F214" s="3" t="s">
        <v>4014</v>
      </c>
      <c r="G214" s="3" t="s">
        <v>1093</v>
      </c>
      <c r="H214" s="4" t="str">
        <f t="shared" si="2"/>
        <v>Output Chain Footage ML4, from Mooring channels from Mooring PLC, ZenMAS, output to LMP.</v>
      </c>
    </row>
    <row r="215" spans="1:8" x14ac:dyDescent="0.25">
      <c r="A215" s="3" t="s">
        <v>6983</v>
      </c>
      <c r="B215" s="3" t="s">
        <v>6992</v>
      </c>
      <c r="C215" s="3" t="s">
        <v>6985</v>
      </c>
      <c r="D215" s="3" t="s">
        <v>6316</v>
      </c>
      <c r="E215" s="3">
        <v>214</v>
      </c>
      <c r="F215" s="3" t="s">
        <v>4015</v>
      </c>
      <c r="G215" s="3" t="s">
        <v>1093</v>
      </c>
      <c r="H215" s="4" t="str">
        <f t="shared" si="2"/>
        <v>Output Chain Footage ML5, from Mooring channels from Mooring PLC, ZenMAS, output to LMP.</v>
      </c>
    </row>
    <row r="216" spans="1:8" x14ac:dyDescent="0.25">
      <c r="A216" s="3" t="s">
        <v>6983</v>
      </c>
      <c r="B216" s="3" t="s">
        <v>6992</v>
      </c>
      <c r="C216" s="3" t="s">
        <v>6985</v>
      </c>
      <c r="D216" s="3" t="s">
        <v>6316</v>
      </c>
      <c r="E216" s="3">
        <v>215</v>
      </c>
      <c r="F216" s="3" t="s">
        <v>4016</v>
      </c>
      <c r="G216" s="3" t="s">
        <v>1093</v>
      </c>
      <c r="H216" s="4" t="str">
        <f t="shared" si="2"/>
        <v>Output Chain Footage ML6, from Mooring channels from Mooring PLC, ZenMAS, output to LMP.</v>
      </c>
    </row>
    <row r="217" spans="1:8" x14ac:dyDescent="0.25">
      <c r="A217" s="3" t="s">
        <v>6983</v>
      </c>
      <c r="B217" s="3" t="s">
        <v>6992</v>
      </c>
      <c r="C217" s="3" t="s">
        <v>6985</v>
      </c>
      <c r="D217" s="3" t="s">
        <v>6316</v>
      </c>
      <c r="E217" s="3">
        <v>216</v>
      </c>
      <c r="F217" s="3" t="s">
        <v>4017</v>
      </c>
      <c r="G217" s="3" t="s">
        <v>1093</v>
      </c>
      <c r="H217" s="4" t="str">
        <f t="shared" si="2"/>
        <v>Output Chain Footage ML7, from Mooring channels from Mooring PLC, ZenMAS, output to LMP.</v>
      </c>
    </row>
    <row r="218" spans="1:8" x14ac:dyDescent="0.25">
      <c r="A218" s="3" t="s">
        <v>6983</v>
      </c>
      <c r="B218" s="3" t="s">
        <v>6992</v>
      </c>
      <c r="C218" s="3" t="s">
        <v>6985</v>
      </c>
      <c r="D218" s="3" t="s">
        <v>6316</v>
      </c>
      <c r="E218" s="3">
        <v>217</v>
      </c>
      <c r="F218" s="3" t="s">
        <v>4018</v>
      </c>
      <c r="G218" s="3" t="s">
        <v>1093</v>
      </c>
      <c r="H218" s="4" t="str">
        <f t="shared" si="2"/>
        <v>Output Chain Footage ML8, from Mooring channels from Mooring PLC, ZenMAS, output to LMP.</v>
      </c>
    </row>
    <row r="219" spans="1:8" x14ac:dyDescent="0.25">
      <c r="A219" s="3" t="s">
        <v>6983</v>
      </c>
      <c r="B219" s="3" t="s">
        <v>6992</v>
      </c>
      <c r="C219" s="3" t="s">
        <v>6985</v>
      </c>
      <c r="D219" s="3" t="s">
        <v>6316</v>
      </c>
      <c r="E219" s="3">
        <v>218</v>
      </c>
      <c r="F219" s="3" t="s">
        <v>4019</v>
      </c>
      <c r="G219" s="3" t="s">
        <v>1093</v>
      </c>
      <c r="H219" s="4" t="str">
        <f t="shared" si="2"/>
        <v>Output Chain Footage ML9, from Mooring channels from Mooring PLC, ZenMAS, output to LMP.</v>
      </c>
    </row>
    <row r="220" spans="1:8" x14ac:dyDescent="0.25">
      <c r="A220" s="3" t="s">
        <v>6983</v>
      </c>
      <c r="B220" s="3" t="s">
        <v>6992</v>
      </c>
      <c r="C220" s="3" t="s">
        <v>6985</v>
      </c>
      <c r="D220" s="3" t="s">
        <v>6316</v>
      </c>
      <c r="E220" s="3">
        <v>219</v>
      </c>
      <c r="F220" s="3" t="s">
        <v>4020</v>
      </c>
      <c r="G220" s="3" t="s">
        <v>20</v>
      </c>
      <c r="H220" s="3" t="str">
        <f t="shared" ref="H220:H257" si="3">_xlfn.CONCAT("Output ",F220, ", from Mooring channels from Mooring PLC, ZenMAS.")</f>
        <v>Output Dynamic Over Tension ML1, from Mooring channels from Mooring PLC, ZenMAS.</v>
      </c>
    </row>
    <row r="221" spans="1:8" x14ac:dyDescent="0.25">
      <c r="A221" s="3" t="s">
        <v>6983</v>
      </c>
      <c r="B221" s="3" t="s">
        <v>6992</v>
      </c>
      <c r="C221" s="3" t="s">
        <v>6985</v>
      </c>
      <c r="D221" s="3" t="s">
        <v>6316</v>
      </c>
      <c r="E221" s="3">
        <v>220</v>
      </c>
      <c r="F221" s="3" t="s">
        <v>4021</v>
      </c>
      <c r="G221" s="3" t="s">
        <v>20</v>
      </c>
      <c r="H221" s="3" t="str">
        <f t="shared" si="3"/>
        <v>Output Dynamic Under Tension ML1, from Mooring channels from Mooring PLC, ZenMAS.</v>
      </c>
    </row>
    <row r="222" spans="1:8" x14ac:dyDescent="0.25">
      <c r="A222" s="3" t="s">
        <v>6983</v>
      </c>
      <c r="B222" s="3" t="s">
        <v>6992</v>
      </c>
      <c r="C222" s="3" t="s">
        <v>6985</v>
      </c>
      <c r="D222" s="3" t="s">
        <v>6316</v>
      </c>
      <c r="E222" s="3">
        <v>221</v>
      </c>
      <c r="F222" s="3" t="s">
        <v>4022</v>
      </c>
      <c r="G222" s="3" t="s">
        <v>20</v>
      </c>
      <c r="H222" s="3" t="str">
        <f t="shared" si="3"/>
        <v>Output loadcell error ML1, from Mooring channels from Mooring PLC, ZenMAS.</v>
      </c>
    </row>
    <row r="223" spans="1:8" x14ac:dyDescent="0.25">
      <c r="A223" s="3" t="s">
        <v>6983</v>
      </c>
      <c r="B223" s="3" t="s">
        <v>6992</v>
      </c>
      <c r="C223" s="3" t="s">
        <v>6985</v>
      </c>
      <c r="D223" s="3" t="s">
        <v>6316</v>
      </c>
      <c r="E223" s="3">
        <v>222</v>
      </c>
      <c r="F223" s="3" t="s">
        <v>4023</v>
      </c>
      <c r="G223" s="3" t="s">
        <v>20</v>
      </c>
      <c r="H223" s="3" t="str">
        <f t="shared" si="3"/>
        <v>Output Ratchet sensor error ML1, from Mooring channels from Mooring PLC, ZenMAS.</v>
      </c>
    </row>
    <row r="224" spans="1:8" x14ac:dyDescent="0.25">
      <c r="A224" s="3" t="s">
        <v>6983</v>
      </c>
      <c r="B224" s="3" t="s">
        <v>6992</v>
      </c>
      <c r="C224" s="3" t="s">
        <v>6985</v>
      </c>
      <c r="D224" s="3" t="s">
        <v>6316</v>
      </c>
      <c r="E224" s="3">
        <v>223</v>
      </c>
      <c r="F224" s="3" t="s">
        <v>4024</v>
      </c>
      <c r="G224" s="3" t="s">
        <v>20</v>
      </c>
      <c r="H224" s="3" t="str">
        <f t="shared" si="3"/>
        <v>Output Chain stopper error ML1, from Mooring channels from Mooring PLC, ZenMAS.</v>
      </c>
    </row>
    <row r="225" spans="1:8" x14ac:dyDescent="0.25">
      <c r="A225" s="3" t="s">
        <v>6983</v>
      </c>
      <c r="B225" s="3" t="s">
        <v>6992</v>
      </c>
      <c r="C225" s="3" t="s">
        <v>6985</v>
      </c>
      <c r="D225" s="3" t="s">
        <v>6316</v>
      </c>
      <c r="E225" s="3">
        <v>224</v>
      </c>
      <c r="F225" s="3" t="s">
        <v>4025</v>
      </c>
      <c r="G225" s="3" t="s">
        <v>20</v>
      </c>
      <c r="H225" s="3" t="str">
        <f t="shared" si="3"/>
        <v>Output Operation error ML1, from Mooring channels from Mooring PLC, ZenMAS.</v>
      </c>
    </row>
    <row r="226" spans="1:8" x14ac:dyDescent="0.25">
      <c r="A226" s="3" t="s">
        <v>6983</v>
      </c>
      <c r="B226" s="3" t="s">
        <v>6992</v>
      </c>
      <c r="C226" s="3" t="s">
        <v>6985</v>
      </c>
      <c r="D226" s="3" t="s">
        <v>6316</v>
      </c>
      <c r="E226" s="3">
        <v>225</v>
      </c>
      <c r="F226" s="3" t="s">
        <v>4026</v>
      </c>
      <c r="G226" s="3" t="s">
        <v>20</v>
      </c>
      <c r="H226" s="3" t="str">
        <f t="shared" si="3"/>
        <v>Output Position error ML1, from Mooring channels from Mooring PLC, ZenMAS.</v>
      </c>
    </row>
    <row r="227" spans="1:8" x14ac:dyDescent="0.25">
      <c r="A227" s="3" t="s">
        <v>6983</v>
      </c>
      <c r="B227" s="3" t="s">
        <v>6992</v>
      </c>
      <c r="C227" s="3" t="s">
        <v>6985</v>
      </c>
      <c r="D227" s="3" t="s">
        <v>6316</v>
      </c>
      <c r="E227" s="3">
        <v>226</v>
      </c>
      <c r="F227" s="3" t="s">
        <v>4027</v>
      </c>
      <c r="G227" s="3" t="s">
        <v>20</v>
      </c>
      <c r="H227" s="3" t="str">
        <f t="shared" si="3"/>
        <v>Output Max chain out ML1, from Mooring channels from Mooring PLC, ZenMAS.</v>
      </c>
    </row>
    <row r="228" spans="1:8" x14ac:dyDescent="0.25">
      <c r="A228" s="3" t="s">
        <v>6983</v>
      </c>
      <c r="B228" s="3" t="s">
        <v>6992</v>
      </c>
      <c r="C228" s="3" t="s">
        <v>6985</v>
      </c>
      <c r="D228" s="3" t="s">
        <v>6316</v>
      </c>
      <c r="E228" s="3">
        <v>227</v>
      </c>
      <c r="F228" s="3" t="s">
        <v>4028</v>
      </c>
      <c r="G228" s="3" t="s">
        <v>20</v>
      </c>
      <c r="H228" s="3" t="str">
        <f t="shared" si="3"/>
        <v>Output Max chain in ML1, from Mooring channels from Mooring PLC, ZenMAS.</v>
      </c>
    </row>
    <row r="229" spans="1:8" x14ac:dyDescent="0.25">
      <c r="A229" s="3" t="s">
        <v>6983</v>
      </c>
      <c r="B229" s="3" t="s">
        <v>6992</v>
      </c>
      <c r="C229" s="3" t="s">
        <v>6985</v>
      </c>
      <c r="D229" s="3" t="s">
        <v>6316</v>
      </c>
      <c r="E229" s="3">
        <v>228</v>
      </c>
      <c r="F229" s="3" t="s">
        <v>4029</v>
      </c>
      <c r="G229" s="3" t="s">
        <v>20</v>
      </c>
      <c r="H229" s="3" t="str">
        <f t="shared" si="3"/>
        <v>Output PT loop fail ML1, from Mooring channels from Mooring PLC, ZenMAS.</v>
      </c>
    </row>
    <row r="230" spans="1:8" x14ac:dyDescent="0.25">
      <c r="A230" s="3" t="s">
        <v>6983</v>
      </c>
      <c r="B230" s="3" t="s">
        <v>6992</v>
      </c>
      <c r="C230" s="3" t="s">
        <v>6985</v>
      </c>
      <c r="D230" s="3" t="s">
        <v>6316</v>
      </c>
      <c r="E230" s="3">
        <v>229</v>
      </c>
      <c r="F230" s="3" t="s">
        <v>4030</v>
      </c>
      <c r="G230" s="3" t="s">
        <v>20</v>
      </c>
      <c r="H230" s="3" t="str">
        <f t="shared" si="3"/>
        <v>Output Over Speed ML1, from Mooring channels from Mooring PLC, ZenMAS.</v>
      </c>
    </row>
    <row r="231" spans="1:8" x14ac:dyDescent="0.25">
      <c r="A231" s="3" t="s">
        <v>6983</v>
      </c>
      <c r="B231" s="3" t="s">
        <v>6992</v>
      </c>
      <c r="C231" s="3" t="s">
        <v>6985</v>
      </c>
      <c r="D231" s="3" t="s">
        <v>6316</v>
      </c>
      <c r="E231" s="3">
        <v>230</v>
      </c>
      <c r="F231" s="3" t="s">
        <v>4031</v>
      </c>
      <c r="G231" s="3" t="s">
        <v>20</v>
      </c>
      <c r="H231" s="3" t="str">
        <f t="shared" si="3"/>
        <v>Output Dynamic Over Tension ML2, from Mooring channels from Mooring PLC, ZenMAS.</v>
      </c>
    </row>
    <row r="232" spans="1:8" x14ac:dyDescent="0.25">
      <c r="A232" s="3" t="s">
        <v>6983</v>
      </c>
      <c r="B232" s="3" t="s">
        <v>6992</v>
      </c>
      <c r="C232" s="3" t="s">
        <v>6985</v>
      </c>
      <c r="D232" s="3" t="s">
        <v>6316</v>
      </c>
      <c r="E232" s="3">
        <v>231</v>
      </c>
      <c r="F232" s="3" t="s">
        <v>4032</v>
      </c>
      <c r="G232" s="3" t="s">
        <v>20</v>
      </c>
      <c r="H232" s="3" t="str">
        <f t="shared" si="3"/>
        <v>Output Dynamic Under Tension ML2, from Mooring channels from Mooring PLC, ZenMAS.</v>
      </c>
    </row>
    <row r="233" spans="1:8" x14ac:dyDescent="0.25">
      <c r="A233" s="3" t="s">
        <v>6983</v>
      </c>
      <c r="B233" s="3" t="s">
        <v>6992</v>
      </c>
      <c r="C233" s="3" t="s">
        <v>6985</v>
      </c>
      <c r="D233" s="3" t="s">
        <v>6316</v>
      </c>
      <c r="E233" s="3">
        <v>232</v>
      </c>
      <c r="F233" s="3" t="s">
        <v>4033</v>
      </c>
      <c r="G233" s="3" t="s">
        <v>20</v>
      </c>
      <c r="H233" s="3" t="str">
        <f t="shared" si="3"/>
        <v>Output loadcell error ML2, from Mooring channels from Mooring PLC, ZenMAS.</v>
      </c>
    </row>
    <row r="234" spans="1:8" x14ac:dyDescent="0.25">
      <c r="A234" s="3" t="s">
        <v>6983</v>
      </c>
      <c r="B234" s="3" t="s">
        <v>6992</v>
      </c>
      <c r="C234" s="3" t="s">
        <v>6985</v>
      </c>
      <c r="D234" s="3" t="s">
        <v>6316</v>
      </c>
      <c r="E234" s="3">
        <v>233</v>
      </c>
      <c r="F234" s="3" t="s">
        <v>4034</v>
      </c>
      <c r="G234" s="3" t="s">
        <v>20</v>
      </c>
      <c r="H234" s="3" t="str">
        <f t="shared" si="3"/>
        <v>Output Ratchet sensor error ML2, from Mooring channels from Mooring PLC, ZenMAS.</v>
      </c>
    </row>
    <row r="235" spans="1:8" x14ac:dyDescent="0.25">
      <c r="A235" s="3" t="s">
        <v>6983</v>
      </c>
      <c r="B235" s="3" t="s">
        <v>6992</v>
      </c>
      <c r="C235" s="3" t="s">
        <v>6985</v>
      </c>
      <c r="D235" s="3" t="s">
        <v>6316</v>
      </c>
      <c r="E235" s="3">
        <v>234</v>
      </c>
      <c r="F235" s="3" t="s">
        <v>4035</v>
      </c>
      <c r="G235" s="3" t="s">
        <v>20</v>
      </c>
      <c r="H235" s="3" t="str">
        <f t="shared" si="3"/>
        <v>Output Chain stopper error ML2, from Mooring channels from Mooring PLC, ZenMAS.</v>
      </c>
    </row>
    <row r="236" spans="1:8" x14ac:dyDescent="0.25">
      <c r="A236" s="3" t="s">
        <v>6983</v>
      </c>
      <c r="B236" s="3" t="s">
        <v>6992</v>
      </c>
      <c r="C236" s="3" t="s">
        <v>6985</v>
      </c>
      <c r="D236" s="3" t="s">
        <v>6316</v>
      </c>
      <c r="E236" s="3">
        <v>235</v>
      </c>
      <c r="F236" s="3" t="s">
        <v>4036</v>
      </c>
      <c r="G236" s="3" t="s">
        <v>20</v>
      </c>
      <c r="H236" s="3" t="str">
        <f t="shared" si="3"/>
        <v>Output Operation error ML2, from Mooring channels from Mooring PLC, ZenMAS.</v>
      </c>
    </row>
    <row r="237" spans="1:8" x14ac:dyDescent="0.25">
      <c r="A237" s="3" t="s">
        <v>6983</v>
      </c>
      <c r="B237" s="3" t="s">
        <v>6992</v>
      </c>
      <c r="C237" s="3" t="s">
        <v>6985</v>
      </c>
      <c r="D237" s="3" t="s">
        <v>6316</v>
      </c>
      <c r="E237" s="3">
        <v>236</v>
      </c>
      <c r="F237" s="3" t="s">
        <v>4037</v>
      </c>
      <c r="G237" s="3" t="s">
        <v>20</v>
      </c>
      <c r="H237" s="3" t="str">
        <f t="shared" si="3"/>
        <v>Output Position error ML2, from Mooring channels from Mooring PLC, ZenMAS.</v>
      </c>
    </row>
    <row r="238" spans="1:8" x14ac:dyDescent="0.25">
      <c r="A238" s="3" t="s">
        <v>6983</v>
      </c>
      <c r="B238" s="3" t="s">
        <v>6992</v>
      </c>
      <c r="C238" s="3" t="s">
        <v>6985</v>
      </c>
      <c r="D238" s="3" t="s">
        <v>6316</v>
      </c>
      <c r="E238" s="3">
        <v>237</v>
      </c>
      <c r="F238" s="3" t="s">
        <v>4038</v>
      </c>
      <c r="G238" s="3" t="s">
        <v>20</v>
      </c>
      <c r="H238" s="3" t="str">
        <f t="shared" si="3"/>
        <v>Output Max chain out ML2, from Mooring channels from Mooring PLC, ZenMAS.</v>
      </c>
    </row>
    <row r="239" spans="1:8" x14ac:dyDescent="0.25">
      <c r="A239" s="3" t="s">
        <v>6983</v>
      </c>
      <c r="B239" s="3" t="s">
        <v>6992</v>
      </c>
      <c r="C239" s="3" t="s">
        <v>6985</v>
      </c>
      <c r="D239" s="3" t="s">
        <v>6316</v>
      </c>
      <c r="E239" s="3">
        <v>238</v>
      </c>
      <c r="F239" s="3" t="s">
        <v>4039</v>
      </c>
      <c r="G239" s="3" t="s">
        <v>20</v>
      </c>
      <c r="H239" s="3" t="str">
        <f t="shared" si="3"/>
        <v>Output Max chain in ML2, from Mooring channels from Mooring PLC, ZenMAS.</v>
      </c>
    </row>
    <row r="240" spans="1:8" x14ac:dyDescent="0.25">
      <c r="A240" s="3" t="s">
        <v>6983</v>
      </c>
      <c r="B240" s="3" t="s">
        <v>6992</v>
      </c>
      <c r="C240" s="3" t="s">
        <v>6985</v>
      </c>
      <c r="D240" s="3" t="s">
        <v>6316</v>
      </c>
      <c r="E240" s="3">
        <v>239</v>
      </c>
      <c r="F240" s="3" t="s">
        <v>4040</v>
      </c>
      <c r="G240" s="3" t="s">
        <v>20</v>
      </c>
      <c r="H240" s="3" t="str">
        <f t="shared" si="3"/>
        <v>Output PT loop fail ML2, from Mooring channels from Mooring PLC, ZenMAS.</v>
      </c>
    </row>
    <row r="241" spans="1:8" x14ac:dyDescent="0.25">
      <c r="A241" s="3" t="s">
        <v>6983</v>
      </c>
      <c r="B241" s="3" t="s">
        <v>6992</v>
      </c>
      <c r="C241" s="3" t="s">
        <v>6985</v>
      </c>
      <c r="D241" s="3" t="s">
        <v>6316</v>
      </c>
      <c r="E241" s="3">
        <v>240</v>
      </c>
      <c r="F241" s="3" t="s">
        <v>4041</v>
      </c>
      <c r="G241" s="3" t="s">
        <v>20</v>
      </c>
      <c r="H241" s="3" t="str">
        <f t="shared" si="3"/>
        <v>Output Over Speed ML2, from Mooring channels from Mooring PLC, ZenMAS.</v>
      </c>
    </row>
    <row r="242" spans="1:8" x14ac:dyDescent="0.25">
      <c r="A242" s="3" t="s">
        <v>6983</v>
      </c>
      <c r="B242" s="3" t="s">
        <v>6992</v>
      </c>
      <c r="C242" s="3" t="s">
        <v>6985</v>
      </c>
      <c r="D242" s="3" t="s">
        <v>6316</v>
      </c>
      <c r="E242" s="3">
        <v>241</v>
      </c>
      <c r="F242" s="3" t="s">
        <v>4042</v>
      </c>
      <c r="G242" s="3" t="s">
        <v>20</v>
      </c>
      <c r="H242" s="3" t="str">
        <f t="shared" si="3"/>
        <v>Output Dynamic Over Tension ML3, from Mooring channels from Mooring PLC, ZenMAS.</v>
      </c>
    </row>
    <row r="243" spans="1:8" x14ac:dyDescent="0.25">
      <c r="A243" s="3" t="s">
        <v>6983</v>
      </c>
      <c r="B243" s="3" t="s">
        <v>6992</v>
      </c>
      <c r="C243" s="3" t="s">
        <v>6985</v>
      </c>
      <c r="D243" s="3" t="s">
        <v>6316</v>
      </c>
      <c r="E243" s="3">
        <v>242</v>
      </c>
      <c r="F243" s="3" t="s">
        <v>4043</v>
      </c>
      <c r="G243" s="3" t="s">
        <v>20</v>
      </c>
      <c r="H243" s="3" t="str">
        <f t="shared" si="3"/>
        <v>Output Dynamic Under Tension ML3, from Mooring channels from Mooring PLC, ZenMAS.</v>
      </c>
    </row>
    <row r="244" spans="1:8" x14ac:dyDescent="0.25">
      <c r="A244" s="3" t="s">
        <v>6983</v>
      </c>
      <c r="B244" s="3" t="s">
        <v>6992</v>
      </c>
      <c r="C244" s="3" t="s">
        <v>6985</v>
      </c>
      <c r="D244" s="3" t="s">
        <v>6316</v>
      </c>
      <c r="E244" s="3">
        <v>243</v>
      </c>
      <c r="F244" s="3" t="s">
        <v>4044</v>
      </c>
      <c r="G244" s="3" t="s">
        <v>20</v>
      </c>
      <c r="H244" s="3" t="str">
        <f t="shared" si="3"/>
        <v>Output loadcell error ML3, from Mooring channels from Mooring PLC, ZenMAS.</v>
      </c>
    </row>
    <row r="245" spans="1:8" x14ac:dyDescent="0.25">
      <c r="A245" s="3" t="s">
        <v>6983</v>
      </c>
      <c r="B245" s="3" t="s">
        <v>6992</v>
      </c>
      <c r="C245" s="3" t="s">
        <v>6985</v>
      </c>
      <c r="D245" s="3" t="s">
        <v>6316</v>
      </c>
      <c r="E245" s="3">
        <v>244</v>
      </c>
      <c r="F245" s="3" t="s">
        <v>4045</v>
      </c>
      <c r="G245" s="3" t="s">
        <v>20</v>
      </c>
      <c r="H245" s="3" t="str">
        <f t="shared" si="3"/>
        <v>Output Ratchet sensor error ML3, from Mooring channels from Mooring PLC, ZenMAS.</v>
      </c>
    </row>
    <row r="246" spans="1:8" x14ac:dyDescent="0.25">
      <c r="A246" s="3" t="s">
        <v>6983</v>
      </c>
      <c r="B246" s="3" t="s">
        <v>6992</v>
      </c>
      <c r="C246" s="3" t="s">
        <v>6985</v>
      </c>
      <c r="D246" s="3" t="s">
        <v>6316</v>
      </c>
      <c r="E246" s="3">
        <v>245</v>
      </c>
      <c r="F246" s="3" t="s">
        <v>4046</v>
      </c>
      <c r="G246" s="3" t="s">
        <v>20</v>
      </c>
      <c r="H246" s="3" t="str">
        <f t="shared" si="3"/>
        <v>Output Chain stopper error ML3, from Mooring channels from Mooring PLC, ZenMAS.</v>
      </c>
    </row>
    <row r="247" spans="1:8" x14ac:dyDescent="0.25">
      <c r="A247" s="3" t="s">
        <v>6983</v>
      </c>
      <c r="B247" s="3" t="s">
        <v>6992</v>
      </c>
      <c r="C247" s="3" t="s">
        <v>6985</v>
      </c>
      <c r="D247" s="3" t="s">
        <v>6316</v>
      </c>
      <c r="E247" s="3">
        <v>246</v>
      </c>
      <c r="F247" s="3" t="s">
        <v>4047</v>
      </c>
      <c r="G247" s="3" t="s">
        <v>20</v>
      </c>
      <c r="H247" s="3" t="str">
        <f t="shared" si="3"/>
        <v>Output Operation error ML3, from Mooring channels from Mooring PLC, ZenMAS.</v>
      </c>
    </row>
    <row r="248" spans="1:8" x14ac:dyDescent="0.25">
      <c r="A248" s="3" t="s">
        <v>6983</v>
      </c>
      <c r="B248" s="3" t="s">
        <v>6992</v>
      </c>
      <c r="C248" s="3" t="s">
        <v>6985</v>
      </c>
      <c r="D248" s="3" t="s">
        <v>6316</v>
      </c>
      <c r="E248" s="3">
        <v>247</v>
      </c>
      <c r="F248" s="3" t="s">
        <v>4048</v>
      </c>
      <c r="G248" s="3" t="s">
        <v>20</v>
      </c>
      <c r="H248" s="3" t="str">
        <f t="shared" si="3"/>
        <v>Output Position error ML3, from Mooring channels from Mooring PLC, ZenMAS.</v>
      </c>
    </row>
    <row r="249" spans="1:8" x14ac:dyDescent="0.25">
      <c r="A249" s="3" t="s">
        <v>6983</v>
      </c>
      <c r="B249" s="3" t="s">
        <v>6992</v>
      </c>
      <c r="C249" s="3" t="s">
        <v>6985</v>
      </c>
      <c r="D249" s="3" t="s">
        <v>6316</v>
      </c>
      <c r="E249" s="3">
        <v>248</v>
      </c>
      <c r="F249" s="3" t="s">
        <v>4049</v>
      </c>
      <c r="G249" s="3" t="s">
        <v>20</v>
      </c>
      <c r="H249" s="3" t="str">
        <f t="shared" si="3"/>
        <v>Output Max chain out ML3, from Mooring channels from Mooring PLC, ZenMAS.</v>
      </c>
    </row>
    <row r="250" spans="1:8" x14ac:dyDescent="0.25">
      <c r="A250" s="3" t="s">
        <v>6983</v>
      </c>
      <c r="B250" s="3" t="s">
        <v>6992</v>
      </c>
      <c r="C250" s="3" t="s">
        <v>6985</v>
      </c>
      <c r="D250" s="3" t="s">
        <v>6316</v>
      </c>
      <c r="E250" s="3">
        <v>249</v>
      </c>
      <c r="F250" s="3" t="s">
        <v>4050</v>
      </c>
      <c r="G250" s="3" t="s">
        <v>20</v>
      </c>
      <c r="H250" s="3" t="str">
        <f t="shared" si="3"/>
        <v>Output Max chain in ML3, from Mooring channels from Mooring PLC, ZenMAS.</v>
      </c>
    </row>
    <row r="251" spans="1:8" x14ac:dyDescent="0.25">
      <c r="A251" s="3" t="s">
        <v>6983</v>
      </c>
      <c r="B251" s="3" t="s">
        <v>6992</v>
      </c>
      <c r="C251" s="3" t="s">
        <v>6985</v>
      </c>
      <c r="D251" s="3" t="s">
        <v>6316</v>
      </c>
      <c r="E251" s="3">
        <v>250</v>
      </c>
      <c r="F251" s="3" t="s">
        <v>4051</v>
      </c>
      <c r="G251" s="3" t="s">
        <v>20</v>
      </c>
      <c r="H251" s="3" t="str">
        <f t="shared" si="3"/>
        <v>Output PT loop fail ML3, from Mooring channels from Mooring PLC, ZenMAS.</v>
      </c>
    </row>
    <row r="252" spans="1:8" x14ac:dyDescent="0.25">
      <c r="A252" s="3" t="s">
        <v>6983</v>
      </c>
      <c r="B252" s="3" t="s">
        <v>6992</v>
      </c>
      <c r="C252" s="3" t="s">
        <v>6985</v>
      </c>
      <c r="D252" s="3" t="s">
        <v>6316</v>
      </c>
      <c r="E252" s="3">
        <v>251</v>
      </c>
      <c r="F252" s="3" t="s">
        <v>4052</v>
      </c>
      <c r="G252" s="3" t="s">
        <v>20</v>
      </c>
      <c r="H252" s="3" t="str">
        <f t="shared" si="3"/>
        <v>Output Over Speed ML3, from Mooring channels from Mooring PLC, ZenMAS.</v>
      </c>
    </row>
    <row r="253" spans="1:8" x14ac:dyDescent="0.25">
      <c r="A253" s="3" t="s">
        <v>6983</v>
      </c>
      <c r="B253" s="3" t="s">
        <v>6992</v>
      </c>
      <c r="C253" s="3" t="s">
        <v>6985</v>
      </c>
      <c r="D253" s="3" t="s">
        <v>6316</v>
      </c>
      <c r="E253" s="3">
        <v>252</v>
      </c>
      <c r="F253" s="3" t="s">
        <v>4053</v>
      </c>
      <c r="G253" s="3" t="s">
        <v>20</v>
      </c>
      <c r="H253" s="3" t="str">
        <f t="shared" si="3"/>
        <v>Output Dynamic Over Tension ML4, from Mooring channels from Mooring PLC, ZenMAS.</v>
      </c>
    </row>
    <row r="254" spans="1:8" x14ac:dyDescent="0.25">
      <c r="A254" s="3" t="s">
        <v>6983</v>
      </c>
      <c r="B254" s="3" t="s">
        <v>6992</v>
      </c>
      <c r="C254" s="3" t="s">
        <v>6985</v>
      </c>
      <c r="D254" s="3" t="s">
        <v>6316</v>
      </c>
      <c r="E254" s="3">
        <v>253</v>
      </c>
      <c r="F254" s="3" t="s">
        <v>4054</v>
      </c>
      <c r="G254" s="3" t="s">
        <v>20</v>
      </c>
      <c r="H254" s="3" t="str">
        <f t="shared" si="3"/>
        <v>Output Dynamic Under Tension ML4, from Mooring channels from Mooring PLC, ZenMAS.</v>
      </c>
    </row>
    <row r="255" spans="1:8" x14ac:dyDescent="0.25">
      <c r="A255" s="3" t="s">
        <v>6983</v>
      </c>
      <c r="B255" s="3" t="s">
        <v>6992</v>
      </c>
      <c r="C255" s="3" t="s">
        <v>6985</v>
      </c>
      <c r="D255" s="3" t="s">
        <v>6316</v>
      </c>
      <c r="E255" s="3">
        <v>254</v>
      </c>
      <c r="F255" s="3" t="s">
        <v>4055</v>
      </c>
      <c r="G255" s="3" t="s">
        <v>20</v>
      </c>
      <c r="H255" s="3" t="str">
        <f t="shared" si="3"/>
        <v>Output loadcell error ML4, from Mooring channels from Mooring PLC, ZenMAS.</v>
      </c>
    </row>
    <row r="256" spans="1:8" x14ac:dyDescent="0.25">
      <c r="A256" s="3" t="s">
        <v>6983</v>
      </c>
      <c r="B256" s="3" t="s">
        <v>6992</v>
      </c>
      <c r="C256" s="3" t="s">
        <v>6985</v>
      </c>
      <c r="D256" s="3" t="s">
        <v>6316</v>
      </c>
      <c r="E256" s="3">
        <v>255</v>
      </c>
      <c r="F256" s="3" t="s">
        <v>4056</v>
      </c>
      <c r="G256" s="3" t="s">
        <v>20</v>
      </c>
      <c r="H256" s="3" t="str">
        <f t="shared" si="3"/>
        <v>Output Ratchet sensor error ML4, from Mooring channels from Mooring PLC, ZenMAS.</v>
      </c>
    </row>
    <row r="257" spans="1:8" x14ac:dyDescent="0.25">
      <c r="A257" s="3" t="s">
        <v>6983</v>
      </c>
      <c r="B257" s="3" t="s">
        <v>6992</v>
      </c>
      <c r="C257" s="3" t="s">
        <v>6985</v>
      </c>
      <c r="D257" s="3" t="s">
        <v>6316</v>
      </c>
      <c r="E257" s="3">
        <v>256</v>
      </c>
      <c r="F257" s="3" t="s">
        <v>4057</v>
      </c>
      <c r="G257" s="3" t="s">
        <v>20</v>
      </c>
      <c r="H257" s="3" t="str">
        <f t="shared" si="3"/>
        <v>Output Chain stopper error ML4, from Mooring channels from Mooring PLC, ZenMAS.</v>
      </c>
    </row>
    <row r="258" spans="1:8" x14ac:dyDescent="0.25">
      <c r="A258" s="3" t="s">
        <v>6983</v>
      </c>
      <c r="B258" s="3" t="s">
        <v>6992</v>
      </c>
      <c r="C258" s="3" t="s">
        <v>6985</v>
      </c>
      <c r="D258" s="3" t="s">
        <v>6316</v>
      </c>
      <c r="E258" s="3">
        <v>257</v>
      </c>
      <c r="F258" s="3" t="s">
        <v>4058</v>
      </c>
      <c r="G258" s="3" t="s">
        <v>20</v>
      </c>
      <c r="H258" s="3" t="str">
        <f t="shared" ref="H258:H321" si="4">_xlfn.CONCAT("Output ",F258, ", from Mooring channels from Mooring PLC, ZenMAS.")</f>
        <v>Output Operation error ML4, from Mooring channels from Mooring PLC, ZenMAS.</v>
      </c>
    </row>
    <row r="259" spans="1:8" x14ac:dyDescent="0.25">
      <c r="A259" s="3" t="s">
        <v>6983</v>
      </c>
      <c r="B259" s="3" t="s">
        <v>6992</v>
      </c>
      <c r="C259" s="3" t="s">
        <v>6985</v>
      </c>
      <c r="D259" s="3" t="s">
        <v>6316</v>
      </c>
      <c r="E259" s="3">
        <v>258</v>
      </c>
      <c r="F259" s="3" t="s">
        <v>4059</v>
      </c>
      <c r="G259" s="3" t="s">
        <v>20</v>
      </c>
      <c r="H259" s="3" t="str">
        <f t="shared" si="4"/>
        <v>Output Position error ML4, from Mooring channels from Mooring PLC, ZenMAS.</v>
      </c>
    </row>
    <row r="260" spans="1:8" x14ac:dyDescent="0.25">
      <c r="A260" s="3" t="s">
        <v>6983</v>
      </c>
      <c r="B260" s="3" t="s">
        <v>6992</v>
      </c>
      <c r="C260" s="3" t="s">
        <v>6985</v>
      </c>
      <c r="D260" s="3" t="s">
        <v>6316</v>
      </c>
      <c r="E260" s="3">
        <v>259</v>
      </c>
      <c r="F260" s="3" t="s">
        <v>4060</v>
      </c>
      <c r="G260" s="3" t="s">
        <v>20</v>
      </c>
      <c r="H260" s="3" t="str">
        <f t="shared" si="4"/>
        <v>Output Max chain out ML4, from Mooring channels from Mooring PLC, ZenMAS.</v>
      </c>
    </row>
    <row r="261" spans="1:8" x14ac:dyDescent="0.25">
      <c r="A261" s="3" t="s">
        <v>6983</v>
      </c>
      <c r="B261" s="3" t="s">
        <v>6992</v>
      </c>
      <c r="C261" s="3" t="s">
        <v>6985</v>
      </c>
      <c r="D261" s="3" t="s">
        <v>6316</v>
      </c>
      <c r="E261" s="3">
        <v>260</v>
      </c>
      <c r="F261" s="3" t="s">
        <v>4061</v>
      </c>
      <c r="G261" s="3" t="s">
        <v>20</v>
      </c>
      <c r="H261" s="3" t="str">
        <f t="shared" si="4"/>
        <v>Output Max chain in ML4, from Mooring channels from Mooring PLC, ZenMAS.</v>
      </c>
    </row>
    <row r="262" spans="1:8" x14ac:dyDescent="0.25">
      <c r="A262" s="3" t="s">
        <v>6983</v>
      </c>
      <c r="B262" s="3" t="s">
        <v>6992</v>
      </c>
      <c r="C262" s="3" t="s">
        <v>6985</v>
      </c>
      <c r="D262" s="3" t="s">
        <v>6316</v>
      </c>
      <c r="E262" s="3">
        <v>261</v>
      </c>
      <c r="F262" s="3" t="s">
        <v>4062</v>
      </c>
      <c r="G262" s="3" t="s">
        <v>20</v>
      </c>
      <c r="H262" s="3" t="str">
        <f t="shared" si="4"/>
        <v>Output PT loop fail ML4, from Mooring channels from Mooring PLC, ZenMAS.</v>
      </c>
    </row>
    <row r="263" spans="1:8" x14ac:dyDescent="0.25">
      <c r="A263" s="3" t="s">
        <v>6983</v>
      </c>
      <c r="B263" s="3" t="s">
        <v>6992</v>
      </c>
      <c r="C263" s="3" t="s">
        <v>6985</v>
      </c>
      <c r="D263" s="3" t="s">
        <v>6316</v>
      </c>
      <c r="E263" s="3">
        <v>262</v>
      </c>
      <c r="F263" s="3" t="s">
        <v>4063</v>
      </c>
      <c r="G263" s="3" t="s">
        <v>20</v>
      </c>
      <c r="H263" s="3" t="str">
        <f t="shared" si="4"/>
        <v>Output Over Speed ML4, from Mooring channels from Mooring PLC, ZenMAS.</v>
      </c>
    </row>
    <row r="264" spans="1:8" x14ac:dyDescent="0.25">
      <c r="A264" s="3" t="s">
        <v>6983</v>
      </c>
      <c r="B264" s="3" t="s">
        <v>6992</v>
      </c>
      <c r="C264" s="3" t="s">
        <v>6985</v>
      </c>
      <c r="D264" s="3" t="s">
        <v>6316</v>
      </c>
      <c r="E264" s="3">
        <v>263</v>
      </c>
      <c r="F264" s="3" t="s">
        <v>4064</v>
      </c>
      <c r="G264" s="3" t="s">
        <v>20</v>
      </c>
      <c r="H264" s="3" t="str">
        <f t="shared" si="4"/>
        <v>Output Dynamic Over Tension ML5, from Mooring channels from Mooring PLC, ZenMAS.</v>
      </c>
    </row>
    <row r="265" spans="1:8" x14ac:dyDescent="0.25">
      <c r="A265" s="3" t="s">
        <v>6983</v>
      </c>
      <c r="B265" s="3" t="s">
        <v>6992</v>
      </c>
      <c r="C265" s="3" t="s">
        <v>6985</v>
      </c>
      <c r="D265" s="3" t="s">
        <v>6316</v>
      </c>
      <c r="E265" s="3">
        <v>264</v>
      </c>
      <c r="F265" s="3" t="s">
        <v>4065</v>
      </c>
      <c r="G265" s="3" t="s">
        <v>20</v>
      </c>
      <c r="H265" s="3" t="str">
        <f t="shared" si="4"/>
        <v>Output Dynamic Under Tension ML5, from Mooring channels from Mooring PLC, ZenMAS.</v>
      </c>
    </row>
    <row r="266" spans="1:8" x14ac:dyDescent="0.25">
      <c r="A266" s="3" t="s">
        <v>6983</v>
      </c>
      <c r="B266" s="3" t="s">
        <v>6992</v>
      </c>
      <c r="C266" s="3" t="s">
        <v>6985</v>
      </c>
      <c r="D266" s="3" t="s">
        <v>6316</v>
      </c>
      <c r="E266" s="3">
        <v>265</v>
      </c>
      <c r="F266" s="3" t="s">
        <v>4066</v>
      </c>
      <c r="G266" s="3" t="s">
        <v>20</v>
      </c>
      <c r="H266" s="3" t="str">
        <f t="shared" si="4"/>
        <v>Output loadcell error ML5, from Mooring channels from Mooring PLC, ZenMAS.</v>
      </c>
    </row>
    <row r="267" spans="1:8" x14ac:dyDescent="0.25">
      <c r="A267" s="3" t="s">
        <v>6983</v>
      </c>
      <c r="B267" s="3" t="s">
        <v>6992</v>
      </c>
      <c r="C267" s="3" t="s">
        <v>6985</v>
      </c>
      <c r="D267" s="3" t="s">
        <v>6316</v>
      </c>
      <c r="E267" s="3">
        <v>266</v>
      </c>
      <c r="F267" s="3" t="s">
        <v>4067</v>
      </c>
      <c r="G267" s="3" t="s">
        <v>20</v>
      </c>
      <c r="H267" s="3" t="str">
        <f t="shared" si="4"/>
        <v>Output Ratchet sensor error ML5, from Mooring channels from Mooring PLC, ZenMAS.</v>
      </c>
    </row>
    <row r="268" spans="1:8" x14ac:dyDescent="0.25">
      <c r="A268" s="3" t="s">
        <v>6983</v>
      </c>
      <c r="B268" s="3" t="s">
        <v>6992</v>
      </c>
      <c r="C268" s="3" t="s">
        <v>6985</v>
      </c>
      <c r="D268" s="3" t="s">
        <v>6316</v>
      </c>
      <c r="E268" s="3">
        <v>267</v>
      </c>
      <c r="F268" s="3" t="s">
        <v>4068</v>
      </c>
      <c r="G268" s="3" t="s">
        <v>20</v>
      </c>
      <c r="H268" s="3" t="str">
        <f t="shared" si="4"/>
        <v>Output Chain stopper error ML5, from Mooring channels from Mooring PLC, ZenMAS.</v>
      </c>
    </row>
    <row r="269" spans="1:8" x14ac:dyDescent="0.25">
      <c r="A269" s="3" t="s">
        <v>6983</v>
      </c>
      <c r="B269" s="3" t="s">
        <v>6992</v>
      </c>
      <c r="C269" s="3" t="s">
        <v>6985</v>
      </c>
      <c r="D269" s="3" t="s">
        <v>6316</v>
      </c>
      <c r="E269" s="3">
        <v>268</v>
      </c>
      <c r="F269" s="3" t="s">
        <v>4069</v>
      </c>
      <c r="G269" s="3" t="s">
        <v>20</v>
      </c>
      <c r="H269" s="3" t="str">
        <f t="shared" si="4"/>
        <v>Output Operation error ML5, from Mooring channels from Mooring PLC, ZenMAS.</v>
      </c>
    </row>
    <row r="270" spans="1:8" x14ac:dyDescent="0.25">
      <c r="A270" s="3" t="s">
        <v>6983</v>
      </c>
      <c r="B270" s="3" t="s">
        <v>6992</v>
      </c>
      <c r="C270" s="3" t="s">
        <v>6985</v>
      </c>
      <c r="D270" s="3" t="s">
        <v>6316</v>
      </c>
      <c r="E270" s="3">
        <v>269</v>
      </c>
      <c r="F270" s="3" t="s">
        <v>4070</v>
      </c>
      <c r="G270" s="3" t="s">
        <v>20</v>
      </c>
      <c r="H270" s="3" t="str">
        <f t="shared" si="4"/>
        <v>Output Position error ML5, from Mooring channels from Mooring PLC, ZenMAS.</v>
      </c>
    </row>
    <row r="271" spans="1:8" x14ac:dyDescent="0.25">
      <c r="A271" s="3" t="s">
        <v>6983</v>
      </c>
      <c r="B271" s="3" t="s">
        <v>6992</v>
      </c>
      <c r="C271" s="3" t="s">
        <v>6985</v>
      </c>
      <c r="D271" s="3" t="s">
        <v>6316</v>
      </c>
      <c r="E271" s="3">
        <v>270</v>
      </c>
      <c r="F271" s="3" t="s">
        <v>4071</v>
      </c>
      <c r="G271" s="3" t="s">
        <v>20</v>
      </c>
      <c r="H271" s="3" t="str">
        <f t="shared" si="4"/>
        <v>Output Max chain out ML5, from Mooring channels from Mooring PLC, ZenMAS.</v>
      </c>
    </row>
    <row r="272" spans="1:8" x14ac:dyDescent="0.25">
      <c r="A272" s="3" t="s">
        <v>6983</v>
      </c>
      <c r="B272" s="3" t="s">
        <v>6992</v>
      </c>
      <c r="C272" s="3" t="s">
        <v>6985</v>
      </c>
      <c r="D272" s="3" t="s">
        <v>6316</v>
      </c>
      <c r="E272" s="3">
        <v>271</v>
      </c>
      <c r="F272" s="3" t="s">
        <v>4072</v>
      </c>
      <c r="G272" s="3" t="s">
        <v>20</v>
      </c>
      <c r="H272" s="3" t="str">
        <f t="shared" si="4"/>
        <v>Output Max chain in ML5, from Mooring channels from Mooring PLC, ZenMAS.</v>
      </c>
    </row>
    <row r="273" spans="1:8" x14ac:dyDescent="0.25">
      <c r="A273" s="3" t="s">
        <v>6983</v>
      </c>
      <c r="B273" s="3" t="s">
        <v>6992</v>
      </c>
      <c r="C273" s="3" t="s">
        <v>6985</v>
      </c>
      <c r="D273" s="3" t="s">
        <v>6316</v>
      </c>
      <c r="E273" s="3">
        <v>272</v>
      </c>
      <c r="F273" s="3" t="s">
        <v>4073</v>
      </c>
      <c r="G273" s="3" t="s">
        <v>20</v>
      </c>
      <c r="H273" s="3" t="str">
        <f t="shared" si="4"/>
        <v>Output PT loop fail ML5, from Mooring channels from Mooring PLC, ZenMAS.</v>
      </c>
    </row>
    <row r="274" spans="1:8" x14ac:dyDescent="0.25">
      <c r="A274" s="3" t="s">
        <v>6983</v>
      </c>
      <c r="B274" s="3" t="s">
        <v>6992</v>
      </c>
      <c r="C274" s="3" t="s">
        <v>6985</v>
      </c>
      <c r="D274" s="3" t="s">
        <v>6316</v>
      </c>
      <c r="E274" s="3">
        <v>273</v>
      </c>
      <c r="F274" s="3" t="s">
        <v>4074</v>
      </c>
      <c r="G274" s="3" t="s">
        <v>20</v>
      </c>
      <c r="H274" s="3" t="str">
        <f t="shared" si="4"/>
        <v>Output Over Speed ML5, from Mooring channels from Mooring PLC, ZenMAS.</v>
      </c>
    </row>
    <row r="275" spans="1:8" x14ac:dyDescent="0.25">
      <c r="A275" s="3" t="s">
        <v>6983</v>
      </c>
      <c r="B275" s="3" t="s">
        <v>6992</v>
      </c>
      <c r="C275" s="3" t="s">
        <v>6985</v>
      </c>
      <c r="D275" s="3" t="s">
        <v>6316</v>
      </c>
      <c r="E275" s="3">
        <v>274</v>
      </c>
      <c r="F275" s="3" t="s">
        <v>4075</v>
      </c>
      <c r="G275" s="3" t="s">
        <v>20</v>
      </c>
      <c r="H275" s="3" t="str">
        <f t="shared" si="4"/>
        <v>Output Dynamic Over Tension ML6, from Mooring channels from Mooring PLC, ZenMAS.</v>
      </c>
    </row>
    <row r="276" spans="1:8" x14ac:dyDescent="0.25">
      <c r="A276" s="3" t="s">
        <v>6983</v>
      </c>
      <c r="B276" s="3" t="s">
        <v>6992</v>
      </c>
      <c r="C276" s="3" t="s">
        <v>6985</v>
      </c>
      <c r="D276" s="3" t="s">
        <v>6316</v>
      </c>
      <c r="E276" s="3">
        <v>275</v>
      </c>
      <c r="F276" s="3" t="s">
        <v>4076</v>
      </c>
      <c r="G276" s="3" t="s">
        <v>20</v>
      </c>
      <c r="H276" s="3" t="str">
        <f t="shared" si="4"/>
        <v>Output Dynamic Under Tension ML6, from Mooring channels from Mooring PLC, ZenMAS.</v>
      </c>
    </row>
    <row r="277" spans="1:8" x14ac:dyDescent="0.25">
      <c r="A277" s="3" t="s">
        <v>6983</v>
      </c>
      <c r="B277" s="3" t="s">
        <v>6992</v>
      </c>
      <c r="C277" s="3" t="s">
        <v>6985</v>
      </c>
      <c r="D277" s="3" t="s">
        <v>6316</v>
      </c>
      <c r="E277" s="3">
        <v>276</v>
      </c>
      <c r="F277" s="3" t="s">
        <v>4077</v>
      </c>
      <c r="G277" s="3" t="s">
        <v>20</v>
      </c>
      <c r="H277" s="3" t="str">
        <f t="shared" si="4"/>
        <v>Output loadcell error ML6, from Mooring channels from Mooring PLC, ZenMAS.</v>
      </c>
    </row>
    <row r="278" spans="1:8" x14ac:dyDescent="0.25">
      <c r="A278" s="3" t="s">
        <v>6983</v>
      </c>
      <c r="B278" s="3" t="s">
        <v>6992</v>
      </c>
      <c r="C278" s="3" t="s">
        <v>6985</v>
      </c>
      <c r="D278" s="3" t="s">
        <v>6316</v>
      </c>
      <c r="E278" s="3">
        <v>277</v>
      </c>
      <c r="F278" s="3" t="s">
        <v>4078</v>
      </c>
      <c r="G278" s="3" t="s">
        <v>20</v>
      </c>
      <c r="H278" s="3" t="str">
        <f t="shared" si="4"/>
        <v>Output Ratchet sensor error ML6, from Mooring channels from Mooring PLC, ZenMAS.</v>
      </c>
    </row>
    <row r="279" spans="1:8" x14ac:dyDescent="0.25">
      <c r="A279" s="3" t="s">
        <v>6983</v>
      </c>
      <c r="B279" s="3" t="s">
        <v>6992</v>
      </c>
      <c r="C279" s="3" t="s">
        <v>6985</v>
      </c>
      <c r="D279" s="3" t="s">
        <v>6316</v>
      </c>
      <c r="E279" s="3">
        <v>278</v>
      </c>
      <c r="F279" s="3" t="s">
        <v>4079</v>
      </c>
      <c r="G279" s="3" t="s">
        <v>20</v>
      </c>
      <c r="H279" s="3" t="str">
        <f t="shared" si="4"/>
        <v>Output Chain stopper error ML6, from Mooring channels from Mooring PLC, ZenMAS.</v>
      </c>
    </row>
    <row r="280" spans="1:8" x14ac:dyDescent="0.25">
      <c r="A280" s="3" t="s">
        <v>6983</v>
      </c>
      <c r="B280" s="3" t="s">
        <v>6992</v>
      </c>
      <c r="C280" s="3" t="s">
        <v>6985</v>
      </c>
      <c r="D280" s="3" t="s">
        <v>6316</v>
      </c>
      <c r="E280" s="3">
        <v>279</v>
      </c>
      <c r="F280" s="3" t="s">
        <v>4080</v>
      </c>
      <c r="G280" s="3" t="s">
        <v>20</v>
      </c>
      <c r="H280" s="3" t="str">
        <f t="shared" si="4"/>
        <v>Output Operation error ML6, from Mooring channels from Mooring PLC, ZenMAS.</v>
      </c>
    </row>
    <row r="281" spans="1:8" x14ac:dyDescent="0.25">
      <c r="A281" s="3" t="s">
        <v>6983</v>
      </c>
      <c r="B281" s="3" t="s">
        <v>6992</v>
      </c>
      <c r="C281" s="3" t="s">
        <v>6985</v>
      </c>
      <c r="D281" s="3" t="s">
        <v>6316</v>
      </c>
      <c r="E281" s="3">
        <v>280</v>
      </c>
      <c r="F281" s="3" t="s">
        <v>4081</v>
      </c>
      <c r="G281" s="3" t="s">
        <v>20</v>
      </c>
      <c r="H281" s="3" t="str">
        <f t="shared" si="4"/>
        <v>Output Position error ML6, from Mooring channels from Mooring PLC, ZenMAS.</v>
      </c>
    </row>
    <row r="282" spans="1:8" x14ac:dyDescent="0.25">
      <c r="A282" s="3" t="s">
        <v>6983</v>
      </c>
      <c r="B282" s="3" t="s">
        <v>6992</v>
      </c>
      <c r="C282" s="3" t="s">
        <v>6985</v>
      </c>
      <c r="D282" s="3" t="s">
        <v>6316</v>
      </c>
      <c r="E282" s="3">
        <v>281</v>
      </c>
      <c r="F282" s="3" t="s">
        <v>4082</v>
      </c>
      <c r="G282" s="3" t="s">
        <v>20</v>
      </c>
      <c r="H282" s="3" t="str">
        <f t="shared" si="4"/>
        <v>Output Max chain out ML6, from Mooring channels from Mooring PLC, ZenMAS.</v>
      </c>
    </row>
    <row r="283" spans="1:8" x14ac:dyDescent="0.25">
      <c r="A283" s="3" t="s">
        <v>6983</v>
      </c>
      <c r="B283" s="3" t="s">
        <v>6992</v>
      </c>
      <c r="C283" s="3" t="s">
        <v>6985</v>
      </c>
      <c r="D283" s="3" t="s">
        <v>6316</v>
      </c>
      <c r="E283" s="3">
        <v>282</v>
      </c>
      <c r="F283" s="3" t="s">
        <v>4083</v>
      </c>
      <c r="G283" s="3" t="s">
        <v>20</v>
      </c>
      <c r="H283" s="3" t="str">
        <f t="shared" si="4"/>
        <v>Output Max chain in ML6, from Mooring channels from Mooring PLC, ZenMAS.</v>
      </c>
    </row>
    <row r="284" spans="1:8" x14ac:dyDescent="0.25">
      <c r="A284" s="3" t="s">
        <v>6983</v>
      </c>
      <c r="B284" s="3" t="s">
        <v>6992</v>
      </c>
      <c r="C284" s="3" t="s">
        <v>6985</v>
      </c>
      <c r="D284" s="3" t="s">
        <v>6316</v>
      </c>
      <c r="E284" s="3">
        <v>283</v>
      </c>
      <c r="F284" s="3" t="s">
        <v>4084</v>
      </c>
      <c r="G284" s="3" t="s">
        <v>20</v>
      </c>
      <c r="H284" s="3" t="str">
        <f t="shared" si="4"/>
        <v>Output PT loop fail ML6, from Mooring channels from Mooring PLC, ZenMAS.</v>
      </c>
    </row>
    <row r="285" spans="1:8" x14ac:dyDescent="0.25">
      <c r="A285" s="3" t="s">
        <v>6983</v>
      </c>
      <c r="B285" s="3" t="s">
        <v>6992</v>
      </c>
      <c r="C285" s="3" t="s">
        <v>6985</v>
      </c>
      <c r="D285" s="3" t="s">
        <v>6316</v>
      </c>
      <c r="E285" s="3">
        <v>284</v>
      </c>
      <c r="F285" s="3" t="s">
        <v>4085</v>
      </c>
      <c r="G285" s="3" t="s">
        <v>20</v>
      </c>
      <c r="H285" s="3" t="str">
        <f t="shared" si="4"/>
        <v>Output Over Speed ML6, from Mooring channels from Mooring PLC, ZenMAS.</v>
      </c>
    </row>
    <row r="286" spans="1:8" x14ac:dyDescent="0.25">
      <c r="A286" s="3" t="s">
        <v>6983</v>
      </c>
      <c r="B286" s="3" t="s">
        <v>6992</v>
      </c>
      <c r="C286" s="3" t="s">
        <v>6985</v>
      </c>
      <c r="D286" s="3" t="s">
        <v>6316</v>
      </c>
      <c r="E286" s="3">
        <v>285</v>
      </c>
      <c r="F286" s="3" t="s">
        <v>4086</v>
      </c>
      <c r="G286" s="3" t="s">
        <v>20</v>
      </c>
      <c r="H286" s="3" t="str">
        <f t="shared" si="4"/>
        <v>Output Dynamic Over Tension ML7, from Mooring channels from Mooring PLC, ZenMAS.</v>
      </c>
    </row>
    <row r="287" spans="1:8" x14ac:dyDescent="0.25">
      <c r="A287" s="3" t="s">
        <v>6983</v>
      </c>
      <c r="B287" s="3" t="s">
        <v>6992</v>
      </c>
      <c r="C287" s="3" t="s">
        <v>6985</v>
      </c>
      <c r="D287" s="3" t="s">
        <v>6316</v>
      </c>
      <c r="E287" s="3">
        <v>286</v>
      </c>
      <c r="F287" s="3" t="s">
        <v>4087</v>
      </c>
      <c r="G287" s="3" t="s">
        <v>20</v>
      </c>
      <c r="H287" s="3" t="str">
        <f t="shared" si="4"/>
        <v>Output Dynamic Under Tension ML7, from Mooring channels from Mooring PLC, ZenMAS.</v>
      </c>
    </row>
    <row r="288" spans="1:8" x14ac:dyDescent="0.25">
      <c r="A288" s="3" t="s">
        <v>6983</v>
      </c>
      <c r="B288" s="3" t="s">
        <v>6992</v>
      </c>
      <c r="C288" s="3" t="s">
        <v>6985</v>
      </c>
      <c r="D288" s="3" t="s">
        <v>6316</v>
      </c>
      <c r="E288" s="3">
        <v>287</v>
      </c>
      <c r="F288" s="3" t="s">
        <v>4088</v>
      </c>
      <c r="G288" s="3" t="s">
        <v>20</v>
      </c>
      <c r="H288" s="3" t="str">
        <f t="shared" si="4"/>
        <v>Output loadcell error ML7, from Mooring channels from Mooring PLC, ZenMAS.</v>
      </c>
    </row>
    <row r="289" spans="1:8" x14ac:dyDescent="0.25">
      <c r="A289" s="3" t="s">
        <v>6983</v>
      </c>
      <c r="B289" s="3" t="s">
        <v>6992</v>
      </c>
      <c r="C289" s="3" t="s">
        <v>6985</v>
      </c>
      <c r="D289" s="3" t="s">
        <v>6316</v>
      </c>
      <c r="E289" s="3">
        <v>288</v>
      </c>
      <c r="F289" s="3" t="s">
        <v>4089</v>
      </c>
      <c r="G289" s="3" t="s">
        <v>20</v>
      </c>
      <c r="H289" s="3" t="str">
        <f t="shared" si="4"/>
        <v>Output Ratchet sensor error ML7, from Mooring channels from Mooring PLC, ZenMAS.</v>
      </c>
    </row>
    <row r="290" spans="1:8" x14ac:dyDescent="0.25">
      <c r="A290" s="3" t="s">
        <v>6983</v>
      </c>
      <c r="B290" s="3" t="s">
        <v>6992</v>
      </c>
      <c r="C290" s="3" t="s">
        <v>6985</v>
      </c>
      <c r="D290" s="3" t="s">
        <v>6316</v>
      </c>
      <c r="E290" s="3">
        <v>289</v>
      </c>
      <c r="F290" s="3" t="s">
        <v>4090</v>
      </c>
      <c r="G290" s="3" t="s">
        <v>20</v>
      </c>
      <c r="H290" s="3" t="str">
        <f t="shared" si="4"/>
        <v>Output Chain stopper error ML7, from Mooring channels from Mooring PLC, ZenMAS.</v>
      </c>
    </row>
    <row r="291" spans="1:8" x14ac:dyDescent="0.25">
      <c r="A291" s="3" t="s">
        <v>6983</v>
      </c>
      <c r="B291" s="3" t="s">
        <v>6992</v>
      </c>
      <c r="C291" s="3" t="s">
        <v>6985</v>
      </c>
      <c r="D291" s="3" t="s">
        <v>6316</v>
      </c>
      <c r="E291" s="3">
        <v>290</v>
      </c>
      <c r="F291" s="3" t="s">
        <v>4091</v>
      </c>
      <c r="G291" s="3" t="s">
        <v>20</v>
      </c>
      <c r="H291" s="3" t="str">
        <f t="shared" si="4"/>
        <v>Output Operation error ML7, from Mooring channels from Mooring PLC, ZenMAS.</v>
      </c>
    </row>
    <row r="292" spans="1:8" x14ac:dyDescent="0.25">
      <c r="A292" s="3" t="s">
        <v>6983</v>
      </c>
      <c r="B292" s="3" t="s">
        <v>6992</v>
      </c>
      <c r="C292" s="3" t="s">
        <v>6985</v>
      </c>
      <c r="D292" s="3" t="s">
        <v>6316</v>
      </c>
      <c r="E292" s="3">
        <v>291</v>
      </c>
      <c r="F292" s="3" t="s">
        <v>4092</v>
      </c>
      <c r="G292" s="3" t="s">
        <v>20</v>
      </c>
      <c r="H292" s="3" t="str">
        <f t="shared" si="4"/>
        <v>Output Position error ML7, from Mooring channels from Mooring PLC, ZenMAS.</v>
      </c>
    </row>
    <row r="293" spans="1:8" x14ac:dyDescent="0.25">
      <c r="A293" s="3" t="s">
        <v>6983</v>
      </c>
      <c r="B293" s="3" t="s">
        <v>6992</v>
      </c>
      <c r="C293" s="3" t="s">
        <v>6985</v>
      </c>
      <c r="D293" s="3" t="s">
        <v>6316</v>
      </c>
      <c r="E293" s="3">
        <v>292</v>
      </c>
      <c r="F293" s="3" t="s">
        <v>4093</v>
      </c>
      <c r="G293" s="3" t="s">
        <v>20</v>
      </c>
      <c r="H293" s="3" t="str">
        <f t="shared" si="4"/>
        <v>Output Max chain out ML7, from Mooring channels from Mooring PLC, ZenMAS.</v>
      </c>
    </row>
    <row r="294" spans="1:8" x14ac:dyDescent="0.25">
      <c r="A294" s="3" t="s">
        <v>6983</v>
      </c>
      <c r="B294" s="3" t="s">
        <v>6992</v>
      </c>
      <c r="C294" s="3" t="s">
        <v>6985</v>
      </c>
      <c r="D294" s="3" t="s">
        <v>6316</v>
      </c>
      <c r="E294" s="3">
        <v>293</v>
      </c>
      <c r="F294" s="3" t="s">
        <v>4094</v>
      </c>
      <c r="G294" s="3" t="s">
        <v>20</v>
      </c>
      <c r="H294" s="3" t="str">
        <f t="shared" si="4"/>
        <v>Output Max chain in ML7, from Mooring channels from Mooring PLC, ZenMAS.</v>
      </c>
    </row>
    <row r="295" spans="1:8" x14ac:dyDescent="0.25">
      <c r="A295" s="3" t="s">
        <v>6983</v>
      </c>
      <c r="B295" s="3" t="s">
        <v>6992</v>
      </c>
      <c r="C295" s="3" t="s">
        <v>6985</v>
      </c>
      <c r="D295" s="3" t="s">
        <v>6316</v>
      </c>
      <c r="E295" s="3">
        <v>294</v>
      </c>
      <c r="F295" s="3" t="s">
        <v>4095</v>
      </c>
      <c r="G295" s="3" t="s">
        <v>20</v>
      </c>
      <c r="H295" s="3" t="str">
        <f t="shared" si="4"/>
        <v>Output PT loop fail ML7, from Mooring channels from Mooring PLC, ZenMAS.</v>
      </c>
    </row>
    <row r="296" spans="1:8" x14ac:dyDescent="0.25">
      <c r="A296" s="3" t="s">
        <v>6983</v>
      </c>
      <c r="B296" s="3" t="s">
        <v>6992</v>
      </c>
      <c r="C296" s="3" t="s">
        <v>6985</v>
      </c>
      <c r="D296" s="3" t="s">
        <v>6316</v>
      </c>
      <c r="E296" s="3">
        <v>295</v>
      </c>
      <c r="F296" s="3" t="s">
        <v>4096</v>
      </c>
      <c r="G296" s="3" t="s">
        <v>20</v>
      </c>
      <c r="H296" s="3" t="str">
        <f t="shared" si="4"/>
        <v>Output Over Speed ML7, from Mooring channels from Mooring PLC, ZenMAS.</v>
      </c>
    </row>
    <row r="297" spans="1:8" x14ac:dyDescent="0.25">
      <c r="A297" s="3" t="s">
        <v>6983</v>
      </c>
      <c r="B297" s="3" t="s">
        <v>6992</v>
      </c>
      <c r="C297" s="3" t="s">
        <v>6985</v>
      </c>
      <c r="D297" s="3" t="s">
        <v>6316</v>
      </c>
      <c r="E297" s="3">
        <v>296</v>
      </c>
      <c r="F297" s="3" t="s">
        <v>4097</v>
      </c>
      <c r="G297" s="3" t="s">
        <v>20</v>
      </c>
      <c r="H297" s="3" t="str">
        <f t="shared" si="4"/>
        <v>Output Dynamic Over Tension ML8, from Mooring channels from Mooring PLC, ZenMAS.</v>
      </c>
    </row>
    <row r="298" spans="1:8" x14ac:dyDescent="0.25">
      <c r="A298" s="3" t="s">
        <v>6983</v>
      </c>
      <c r="B298" s="3" t="s">
        <v>6992</v>
      </c>
      <c r="C298" s="3" t="s">
        <v>6985</v>
      </c>
      <c r="D298" s="3" t="s">
        <v>6316</v>
      </c>
      <c r="E298" s="3">
        <v>297</v>
      </c>
      <c r="F298" s="3" t="s">
        <v>4098</v>
      </c>
      <c r="G298" s="3" t="s">
        <v>20</v>
      </c>
      <c r="H298" s="3" t="str">
        <f t="shared" si="4"/>
        <v>Output Dynamic Under Tension ML8, from Mooring channels from Mooring PLC, ZenMAS.</v>
      </c>
    </row>
    <row r="299" spans="1:8" x14ac:dyDescent="0.25">
      <c r="A299" s="3" t="s">
        <v>6983</v>
      </c>
      <c r="B299" s="3" t="s">
        <v>6992</v>
      </c>
      <c r="C299" s="3" t="s">
        <v>6985</v>
      </c>
      <c r="D299" s="3" t="s">
        <v>6316</v>
      </c>
      <c r="E299" s="3">
        <v>298</v>
      </c>
      <c r="F299" s="3" t="s">
        <v>4099</v>
      </c>
      <c r="G299" s="3" t="s">
        <v>20</v>
      </c>
      <c r="H299" s="3" t="str">
        <f t="shared" si="4"/>
        <v>Output loadcell error ML8, from Mooring channels from Mooring PLC, ZenMAS.</v>
      </c>
    </row>
    <row r="300" spans="1:8" x14ac:dyDescent="0.25">
      <c r="A300" s="3" t="s">
        <v>6983</v>
      </c>
      <c r="B300" s="3" t="s">
        <v>6992</v>
      </c>
      <c r="C300" s="3" t="s">
        <v>6985</v>
      </c>
      <c r="D300" s="3" t="s">
        <v>6316</v>
      </c>
      <c r="E300" s="3">
        <v>299</v>
      </c>
      <c r="F300" s="3" t="s">
        <v>4100</v>
      </c>
      <c r="G300" s="3" t="s">
        <v>20</v>
      </c>
      <c r="H300" s="3" t="str">
        <f t="shared" si="4"/>
        <v>Output Ratchet sensor error ML8, from Mooring channels from Mooring PLC, ZenMAS.</v>
      </c>
    </row>
    <row r="301" spans="1:8" x14ac:dyDescent="0.25">
      <c r="A301" s="3" t="s">
        <v>6983</v>
      </c>
      <c r="B301" s="3" t="s">
        <v>6992</v>
      </c>
      <c r="C301" s="3" t="s">
        <v>6985</v>
      </c>
      <c r="D301" s="3" t="s">
        <v>6316</v>
      </c>
      <c r="E301" s="3">
        <v>300</v>
      </c>
      <c r="F301" s="3" t="s">
        <v>4101</v>
      </c>
      <c r="G301" s="3" t="s">
        <v>20</v>
      </c>
      <c r="H301" s="3" t="str">
        <f t="shared" si="4"/>
        <v>Output Chain stopper error ML8, from Mooring channels from Mooring PLC, ZenMAS.</v>
      </c>
    </row>
    <row r="302" spans="1:8" x14ac:dyDescent="0.25">
      <c r="A302" s="3" t="s">
        <v>6983</v>
      </c>
      <c r="B302" s="3" t="s">
        <v>6992</v>
      </c>
      <c r="C302" s="3" t="s">
        <v>6985</v>
      </c>
      <c r="D302" s="3" t="s">
        <v>6316</v>
      </c>
      <c r="E302" s="3">
        <v>301</v>
      </c>
      <c r="F302" s="3" t="s">
        <v>4102</v>
      </c>
      <c r="G302" s="3" t="s">
        <v>20</v>
      </c>
      <c r="H302" s="3" t="str">
        <f t="shared" si="4"/>
        <v>Output Operation error ML8, from Mooring channels from Mooring PLC, ZenMAS.</v>
      </c>
    </row>
    <row r="303" spans="1:8" x14ac:dyDescent="0.25">
      <c r="A303" s="3" t="s">
        <v>6983</v>
      </c>
      <c r="B303" s="3" t="s">
        <v>6992</v>
      </c>
      <c r="C303" s="3" t="s">
        <v>6985</v>
      </c>
      <c r="D303" s="3" t="s">
        <v>6316</v>
      </c>
      <c r="E303" s="3">
        <v>302</v>
      </c>
      <c r="F303" s="3" t="s">
        <v>4103</v>
      </c>
      <c r="G303" s="3" t="s">
        <v>20</v>
      </c>
      <c r="H303" s="3" t="str">
        <f t="shared" si="4"/>
        <v>Output Position error ML8, from Mooring channels from Mooring PLC, ZenMAS.</v>
      </c>
    </row>
    <row r="304" spans="1:8" x14ac:dyDescent="0.25">
      <c r="A304" s="3" t="s">
        <v>6983</v>
      </c>
      <c r="B304" s="3" t="s">
        <v>6992</v>
      </c>
      <c r="C304" s="3" t="s">
        <v>6985</v>
      </c>
      <c r="D304" s="3" t="s">
        <v>6316</v>
      </c>
      <c r="E304" s="3">
        <v>303</v>
      </c>
      <c r="F304" s="3" t="s">
        <v>4104</v>
      </c>
      <c r="G304" s="3" t="s">
        <v>20</v>
      </c>
      <c r="H304" s="3" t="str">
        <f t="shared" si="4"/>
        <v>Output Max chain out ML8, from Mooring channels from Mooring PLC, ZenMAS.</v>
      </c>
    </row>
    <row r="305" spans="1:8" x14ac:dyDescent="0.25">
      <c r="A305" s="3" t="s">
        <v>6983</v>
      </c>
      <c r="B305" s="3" t="s">
        <v>6992</v>
      </c>
      <c r="C305" s="3" t="s">
        <v>6985</v>
      </c>
      <c r="D305" s="3" t="s">
        <v>6316</v>
      </c>
      <c r="E305" s="3">
        <v>304</v>
      </c>
      <c r="F305" s="3" t="s">
        <v>4105</v>
      </c>
      <c r="G305" s="3" t="s">
        <v>20</v>
      </c>
      <c r="H305" s="3" t="str">
        <f t="shared" si="4"/>
        <v>Output Max chain in ML8, from Mooring channels from Mooring PLC, ZenMAS.</v>
      </c>
    </row>
    <row r="306" spans="1:8" x14ac:dyDescent="0.25">
      <c r="A306" s="3" t="s">
        <v>6983</v>
      </c>
      <c r="B306" s="3" t="s">
        <v>6992</v>
      </c>
      <c r="C306" s="3" t="s">
        <v>6985</v>
      </c>
      <c r="D306" s="3" t="s">
        <v>6316</v>
      </c>
      <c r="E306" s="3">
        <v>305</v>
      </c>
      <c r="F306" s="3" t="s">
        <v>4106</v>
      </c>
      <c r="G306" s="3" t="s">
        <v>20</v>
      </c>
      <c r="H306" s="3" t="str">
        <f t="shared" si="4"/>
        <v>Output PT loop fail ML8, from Mooring channels from Mooring PLC, ZenMAS.</v>
      </c>
    </row>
    <row r="307" spans="1:8" x14ac:dyDescent="0.25">
      <c r="A307" s="3" t="s">
        <v>6983</v>
      </c>
      <c r="B307" s="3" t="s">
        <v>6992</v>
      </c>
      <c r="C307" s="3" t="s">
        <v>6985</v>
      </c>
      <c r="D307" s="3" t="s">
        <v>6316</v>
      </c>
      <c r="E307" s="3">
        <v>306</v>
      </c>
      <c r="F307" s="3" t="s">
        <v>4107</v>
      </c>
      <c r="G307" s="3" t="s">
        <v>20</v>
      </c>
      <c r="H307" s="3" t="str">
        <f t="shared" si="4"/>
        <v>Output Over Speed ML8, from Mooring channels from Mooring PLC, ZenMAS.</v>
      </c>
    </row>
    <row r="308" spans="1:8" x14ac:dyDescent="0.25">
      <c r="A308" s="3" t="s">
        <v>6983</v>
      </c>
      <c r="B308" s="3" t="s">
        <v>6992</v>
      </c>
      <c r="C308" s="3" t="s">
        <v>6985</v>
      </c>
      <c r="D308" s="3" t="s">
        <v>6316</v>
      </c>
      <c r="E308" s="3">
        <v>307</v>
      </c>
      <c r="F308" s="3" t="s">
        <v>4108</v>
      </c>
      <c r="G308" s="3" t="s">
        <v>20</v>
      </c>
      <c r="H308" s="3" t="str">
        <f t="shared" si="4"/>
        <v>Output Dynamic Over Tension ML9, from Mooring channels from Mooring PLC, ZenMAS.</v>
      </c>
    </row>
    <row r="309" spans="1:8" x14ac:dyDescent="0.25">
      <c r="A309" s="3" t="s">
        <v>6983</v>
      </c>
      <c r="B309" s="3" t="s">
        <v>6992</v>
      </c>
      <c r="C309" s="3" t="s">
        <v>6985</v>
      </c>
      <c r="D309" s="3" t="s">
        <v>6316</v>
      </c>
      <c r="E309" s="3">
        <v>308</v>
      </c>
      <c r="F309" s="3" t="s">
        <v>4109</v>
      </c>
      <c r="G309" s="3" t="s">
        <v>20</v>
      </c>
      <c r="H309" s="3" t="str">
        <f t="shared" si="4"/>
        <v>Output Dynamic Under Tension ML9, from Mooring channels from Mooring PLC, ZenMAS.</v>
      </c>
    </row>
    <row r="310" spans="1:8" x14ac:dyDescent="0.25">
      <c r="A310" s="3" t="s">
        <v>6983</v>
      </c>
      <c r="B310" s="3" t="s">
        <v>6992</v>
      </c>
      <c r="C310" s="3" t="s">
        <v>6985</v>
      </c>
      <c r="D310" s="3" t="s">
        <v>6316</v>
      </c>
      <c r="E310" s="3">
        <v>309</v>
      </c>
      <c r="F310" s="3" t="s">
        <v>4110</v>
      </c>
      <c r="G310" s="3" t="s">
        <v>20</v>
      </c>
      <c r="H310" s="3" t="str">
        <f t="shared" si="4"/>
        <v>Output loadcell error ML9, from Mooring channels from Mooring PLC, ZenMAS.</v>
      </c>
    </row>
    <row r="311" spans="1:8" x14ac:dyDescent="0.25">
      <c r="A311" s="3" t="s">
        <v>6983</v>
      </c>
      <c r="B311" s="3" t="s">
        <v>6992</v>
      </c>
      <c r="C311" s="3" t="s">
        <v>6985</v>
      </c>
      <c r="D311" s="3" t="s">
        <v>6316</v>
      </c>
      <c r="E311" s="3">
        <v>310</v>
      </c>
      <c r="F311" s="3" t="s">
        <v>4111</v>
      </c>
      <c r="G311" s="3" t="s">
        <v>20</v>
      </c>
      <c r="H311" s="3" t="str">
        <f t="shared" si="4"/>
        <v>Output Ratchet sensor error ML9, from Mooring channels from Mooring PLC, ZenMAS.</v>
      </c>
    </row>
    <row r="312" spans="1:8" x14ac:dyDescent="0.25">
      <c r="A312" s="3" t="s">
        <v>6983</v>
      </c>
      <c r="B312" s="3" t="s">
        <v>6992</v>
      </c>
      <c r="C312" s="3" t="s">
        <v>6985</v>
      </c>
      <c r="D312" s="3" t="s">
        <v>6316</v>
      </c>
      <c r="E312" s="3">
        <v>311</v>
      </c>
      <c r="F312" s="3" t="s">
        <v>4112</v>
      </c>
      <c r="G312" s="3" t="s">
        <v>20</v>
      </c>
      <c r="H312" s="3" t="str">
        <f t="shared" si="4"/>
        <v>Output Chain stopper error ML9, from Mooring channels from Mooring PLC, ZenMAS.</v>
      </c>
    </row>
    <row r="313" spans="1:8" x14ac:dyDescent="0.25">
      <c r="A313" s="3" t="s">
        <v>6983</v>
      </c>
      <c r="B313" s="3" t="s">
        <v>6992</v>
      </c>
      <c r="C313" s="3" t="s">
        <v>6985</v>
      </c>
      <c r="D313" s="3" t="s">
        <v>6316</v>
      </c>
      <c r="E313" s="3">
        <v>312</v>
      </c>
      <c r="F313" s="3" t="s">
        <v>4113</v>
      </c>
      <c r="G313" s="3" t="s">
        <v>20</v>
      </c>
      <c r="H313" s="3" t="str">
        <f t="shared" si="4"/>
        <v>Output Operation error ML9, from Mooring channels from Mooring PLC, ZenMAS.</v>
      </c>
    </row>
    <row r="314" spans="1:8" x14ac:dyDescent="0.25">
      <c r="A314" s="3" t="s">
        <v>6983</v>
      </c>
      <c r="B314" s="3" t="s">
        <v>6992</v>
      </c>
      <c r="C314" s="3" t="s">
        <v>6985</v>
      </c>
      <c r="D314" s="3" t="s">
        <v>6316</v>
      </c>
      <c r="E314" s="3">
        <v>313</v>
      </c>
      <c r="F314" s="3" t="s">
        <v>4114</v>
      </c>
      <c r="G314" s="3" t="s">
        <v>20</v>
      </c>
      <c r="H314" s="3" t="str">
        <f t="shared" si="4"/>
        <v>Output Position error ML9, from Mooring channels from Mooring PLC, ZenMAS.</v>
      </c>
    </row>
    <row r="315" spans="1:8" x14ac:dyDescent="0.25">
      <c r="A315" s="3" t="s">
        <v>6983</v>
      </c>
      <c r="B315" s="3" t="s">
        <v>6992</v>
      </c>
      <c r="C315" s="3" t="s">
        <v>6985</v>
      </c>
      <c r="D315" s="3" t="s">
        <v>6316</v>
      </c>
      <c r="E315" s="3">
        <v>314</v>
      </c>
      <c r="F315" s="3" t="s">
        <v>4115</v>
      </c>
      <c r="G315" s="3" t="s">
        <v>20</v>
      </c>
      <c r="H315" s="3" t="str">
        <f t="shared" si="4"/>
        <v>Output Max chain out ML9, from Mooring channels from Mooring PLC, ZenMAS.</v>
      </c>
    </row>
    <row r="316" spans="1:8" x14ac:dyDescent="0.25">
      <c r="A316" s="3" t="s">
        <v>6983</v>
      </c>
      <c r="B316" s="3" t="s">
        <v>6992</v>
      </c>
      <c r="C316" s="3" t="s">
        <v>6985</v>
      </c>
      <c r="D316" s="3" t="s">
        <v>6316</v>
      </c>
      <c r="E316" s="3">
        <v>315</v>
      </c>
      <c r="F316" s="3" t="s">
        <v>4116</v>
      </c>
      <c r="G316" s="3" t="s">
        <v>20</v>
      </c>
      <c r="H316" s="3" t="str">
        <f t="shared" si="4"/>
        <v>Output Max chain in ML9, from Mooring channels from Mooring PLC, ZenMAS.</v>
      </c>
    </row>
    <row r="317" spans="1:8" x14ac:dyDescent="0.25">
      <c r="A317" s="3" t="s">
        <v>6983</v>
      </c>
      <c r="B317" s="3" t="s">
        <v>6992</v>
      </c>
      <c r="C317" s="3" t="s">
        <v>6985</v>
      </c>
      <c r="D317" s="3" t="s">
        <v>6316</v>
      </c>
      <c r="E317" s="3">
        <v>316</v>
      </c>
      <c r="F317" s="3" t="s">
        <v>4117</v>
      </c>
      <c r="G317" s="3" t="s">
        <v>20</v>
      </c>
      <c r="H317" s="3" t="str">
        <f t="shared" si="4"/>
        <v>Output PT loop fail ML9, from Mooring channels from Mooring PLC, ZenMAS.</v>
      </c>
    </row>
    <row r="318" spans="1:8" x14ac:dyDescent="0.25">
      <c r="A318" s="3" t="s">
        <v>6983</v>
      </c>
      <c r="B318" s="3" t="s">
        <v>6992</v>
      </c>
      <c r="C318" s="3" t="s">
        <v>6985</v>
      </c>
      <c r="D318" s="3" t="s">
        <v>6316</v>
      </c>
      <c r="E318" s="3">
        <v>317</v>
      </c>
      <c r="F318" s="3" t="s">
        <v>4118</v>
      </c>
      <c r="G318" s="3" t="s">
        <v>20</v>
      </c>
      <c r="H318" s="3" t="str">
        <f t="shared" si="4"/>
        <v>Output Over Speed ML9, from Mooring channels from Mooring PLC, ZenMAS.</v>
      </c>
    </row>
    <row r="319" spans="1:8" x14ac:dyDescent="0.25">
      <c r="A319" s="3" t="s">
        <v>6983</v>
      </c>
      <c r="B319" s="3" t="s">
        <v>6992</v>
      </c>
      <c r="C319" s="3" t="s">
        <v>6985</v>
      </c>
      <c r="D319" s="3" t="s">
        <v>6316</v>
      </c>
      <c r="E319" s="3">
        <v>318</v>
      </c>
      <c r="F319" s="3" t="s">
        <v>4119</v>
      </c>
      <c r="G319" s="3" t="s">
        <v>20</v>
      </c>
      <c r="H319" s="3" t="str">
        <f t="shared" si="4"/>
        <v>Output Oil Level Lo, from Mooring channels from Mooring PLC, ZenMAS.</v>
      </c>
    </row>
    <row r="320" spans="1:8" x14ac:dyDescent="0.25">
      <c r="A320" s="3" t="s">
        <v>6983</v>
      </c>
      <c r="B320" s="3" t="s">
        <v>6992</v>
      </c>
      <c r="C320" s="3" t="s">
        <v>6985</v>
      </c>
      <c r="D320" s="3" t="s">
        <v>6316</v>
      </c>
      <c r="E320" s="3">
        <v>319</v>
      </c>
      <c r="F320" s="3" t="s">
        <v>4120</v>
      </c>
      <c r="G320" s="3" t="s">
        <v>20</v>
      </c>
      <c r="H320" s="3" t="str">
        <f t="shared" si="4"/>
        <v>Output Oil Level LoLo, from Mooring channels from Mooring PLC, ZenMAS.</v>
      </c>
    </row>
    <row r="321" spans="1:8" x14ac:dyDescent="0.25">
      <c r="A321" s="3" t="s">
        <v>6983</v>
      </c>
      <c r="B321" s="3" t="s">
        <v>6992</v>
      </c>
      <c r="C321" s="3" t="s">
        <v>6985</v>
      </c>
      <c r="D321" s="3" t="s">
        <v>6316</v>
      </c>
      <c r="E321" s="3">
        <v>320</v>
      </c>
      <c r="F321" s="3" t="s">
        <v>4121</v>
      </c>
      <c r="G321" s="3" t="s">
        <v>20</v>
      </c>
      <c r="H321" s="3" t="str">
        <f t="shared" si="4"/>
        <v>Output Oil Temp Hi, from Mooring channels from Mooring PLC, ZenMAS.</v>
      </c>
    </row>
    <row r="322" spans="1:8" x14ac:dyDescent="0.25">
      <c r="A322" s="3" t="s">
        <v>6983</v>
      </c>
      <c r="B322" s="3" t="s">
        <v>6992</v>
      </c>
      <c r="C322" s="3" t="s">
        <v>6985</v>
      </c>
      <c r="D322" s="3" t="s">
        <v>6316</v>
      </c>
      <c r="E322" s="3">
        <v>321</v>
      </c>
      <c r="F322" s="3" t="s">
        <v>4122</v>
      </c>
      <c r="G322" s="3" t="s">
        <v>20</v>
      </c>
      <c r="H322" s="3" t="str">
        <f t="shared" ref="H322:H344" si="5">_xlfn.CONCAT("Output ",F322, ", from Mooring channels from Mooring PLC, ZenMAS.")</f>
        <v>Output Oil Temp HiHi, from Mooring channels from Mooring PLC, ZenMAS.</v>
      </c>
    </row>
    <row r="323" spans="1:8" x14ac:dyDescent="0.25">
      <c r="A323" s="3" t="s">
        <v>6983</v>
      </c>
      <c r="B323" s="3" t="s">
        <v>6992</v>
      </c>
      <c r="C323" s="3" t="s">
        <v>6985</v>
      </c>
      <c r="D323" s="3" t="s">
        <v>6316</v>
      </c>
      <c r="E323" s="3">
        <v>322</v>
      </c>
      <c r="F323" s="3" t="s">
        <v>4123</v>
      </c>
      <c r="G323" s="3" t="s">
        <v>20</v>
      </c>
      <c r="H323" s="3" t="str">
        <f t="shared" si="5"/>
        <v>Output Oil Temp HiHiHi, from Mooring channels from Mooring PLC, ZenMAS.</v>
      </c>
    </row>
    <row r="324" spans="1:8" x14ac:dyDescent="0.25">
      <c r="A324" s="3" t="s">
        <v>6983</v>
      </c>
      <c r="B324" s="3" t="s">
        <v>6992</v>
      </c>
      <c r="C324" s="3" t="s">
        <v>6985</v>
      </c>
      <c r="D324" s="3" t="s">
        <v>6316</v>
      </c>
      <c r="E324" s="3">
        <v>323</v>
      </c>
      <c r="F324" s="3" t="s">
        <v>4124</v>
      </c>
      <c r="G324" s="3" t="s">
        <v>20</v>
      </c>
      <c r="H324" s="3" t="str">
        <f t="shared" si="5"/>
        <v>Output PLC Low Battery, from Mooring channels from Mooring PLC, ZenMAS.</v>
      </c>
    </row>
    <row r="325" spans="1:8" x14ac:dyDescent="0.25">
      <c r="A325" s="3" t="s">
        <v>6983</v>
      </c>
      <c r="B325" s="3" t="s">
        <v>6992</v>
      </c>
      <c r="C325" s="3" t="s">
        <v>6985</v>
      </c>
      <c r="D325" s="3" t="s">
        <v>6316</v>
      </c>
      <c r="E325" s="3">
        <v>324</v>
      </c>
      <c r="F325" s="3" t="s">
        <v>4125</v>
      </c>
      <c r="G325" s="3" t="s">
        <v>20</v>
      </c>
      <c r="H325" s="3" t="str">
        <f t="shared" si="5"/>
        <v>Output EmStop Group1 Activated, from Mooring channels from Mooring PLC, ZenMAS.</v>
      </c>
    </row>
    <row r="326" spans="1:8" x14ac:dyDescent="0.25">
      <c r="A326" s="3" t="s">
        <v>6983</v>
      </c>
      <c r="B326" s="3" t="s">
        <v>6992</v>
      </c>
      <c r="C326" s="3" t="s">
        <v>6985</v>
      </c>
      <c r="D326" s="3" t="s">
        <v>6316</v>
      </c>
      <c r="E326" s="3">
        <v>325</v>
      </c>
      <c r="F326" s="3" t="s">
        <v>4126</v>
      </c>
      <c r="G326" s="3" t="s">
        <v>20</v>
      </c>
      <c r="H326" s="3" t="str">
        <f t="shared" si="5"/>
        <v>Output EmStop Group2 Activated, from Mooring channels from Mooring PLC, ZenMAS.</v>
      </c>
    </row>
    <row r="327" spans="1:8" x14ac:dyDescent="0.25">
      <c r="A327" s="3" t="s">
        <v>6983</v>
      </c>
      <c r="B327" s="3" t="s">
        <v>6992</v>
      </c>
      <c r="C327" s="3" t="s">
        <v>6985</v>
      </c>
      <c r="D327" s="3" t="s">
        <v>6316</v>
      </c>
      <c r="E327" s="3">
        <v>326</v>
      </c>
      <c r="F327" s="3" t="s">
        <v>4127</v>
      </c>
      <c r="G327" s="3" t="s">
        <v>20</v>
      </c>
      <c r="H327" s="3" t="str">
        <f t="shared" si="5"/>
        <v>Output EmStop Group3 Activated, from Mooring channels from Mooring PLC, ZenMAS.</v>
      </c>
    </row>
    <row r="328" spans="1:8" x14ac:dyDescent="0.25">
      <c r="A328" s="3" t="s">
        <v>6983</v>
      </c>
      <c r="B328" s="3" t="s">
        <v>6992</v>
      </c>
      <c r="C328" s="3" t="s">
        <v>6985</v>
      </c>
      <c r="D328" s="3" t="s">
        <v>6316</v>
      </c>
      <c r="E328" s="3">
        <v>327</v>
      </c>
      <c r="F328" s="3" t="s">
        <v>4128</v>
      </c>
      <c r="G328" s="3" t="s">
        <v>20</v>
      </c>
      <c r="H328" s="3" t="str">
        <f t="shared" si="5"/>
        <v>Output EmStop HPU Activated, from Mooring channels from Mooring PLC, ZenMAS.</v>
      </c>
    </row>
    <row r="329" spans="1:8" x14ac:dyDescent="0.25">
      <c r="A329" s="3" t="s">
        <v>6983</v>
      </c>
      <c r="B329" s="3" t="s">
        <v>6992</v>
      </c>
      <c r="C329" s="3" t="s">
        <v>6985</v>
      </c>
      <c r="D329" s="3" t="s">
        <v>6316</v>
      </c>
      <c r="E329" s="3">
        <v>328</v>
      </c>
      <c r="F329" s="3" t="s">
        <v>4129</v>
      </c>
      <c r="G329" s="3" t="s">
        <v>20</v>
      </c>
      <c r="H329" s="3" t="str">
        <f t="shared" si="5"/>
        <v>Output Return Filter Clogged1, from Mooring channels from Mooring PLC, ZenMAS.</v>
      </c>
    </row>
    <row r="330" spans="1:8" x14ac:dyDescent="0.25">
      <c r="A330" s="3" t="s">
        <v>6983</v>
      </c>
      <c r="B330" s="3" t="s">
        <v>6992</v>
      </c>
      <c r="C330" s="3" t="s">
        <v>6985</v>
      </c>
      <c r="D330" s="3" t="s">
        <v>6316</v>
      </c>
      <c r="E330" s="3">
        <v>329</v>
      </c>
      <c r="F330" s="3" t="s">
        <v>4130</v>
      </c>
      <c r="G330" s="3" t="s">
        <v>20</v>
      </c>
      <c r="H330" s="3" t="str">
        <f t="shared" si="5"/>
        <v>Output Return Filter Clogged2, from Mooring channels from Mooring PLC, ZenMAS.</v>
      </c>
    </row>
    <row r="331" spans="1:8" x14ac:dyDescent="0.25">
      <c r="A331" s="3" t="s">
        <v>6983</v>
      </c>
      <c r="B331" s="3" t="s">
        <v>6992</v>
      </c>
      <c r="C331" s="3" t="s">
        <v>6985</v>
      </c>
      <c r="D331" s="3" t="s">
        <v>6316</v>
      </c>
      <c r="E331" s="3">
        <v>330</v>
      </c>
      <c r="F331" s="3" t="s">
        <v>4131</v>
      </c>
      <c r="G331" s="3" t="s">
        <v>20</v>
      </c>
      <c r="H331" s="3" t="str">
        <f t="shared" si="5"/>
        <v>Output Main Pump1 Running, from Mooring channels from Mooring PLC, ZenMAS.</v>
      </c>
    </row>
    <row r="332" spans="1:8" x14ac:dyDescent="0.25">
      <c r="A332" s="3" t="s">
        <v>6983</v>
      </c>
      <c r="B332" s="3" t="s">
        <v>6992</v>
      </c>
      <c r="C332" s="3" t="s">
        <v>6985</v>
      </c>
      <c r="D332" s="3" t="s">
        <v>6316</v>
      </c>
      <c r="E332" s="3">
        <v>331</v>
      </c>
      <c r="F332" s="3" t="s">
        <v>4132</v>
      </c>
      <c r="G332" s="3" t="s">
        <v>20</v>
      </c>
      <c r="H332" s="3" t="str">
        <f t="shared" si="5"/>
        <v>Output Main Pump2 Running, from Mooring channels from Mooring PLC, ZenMAS.</v>
      </c>
    </row>
    <row r="333" spans="1:8" x14ac:dyDescent="0.25">
      <c r="A333" s="3" t="s">
        <v>6983</v>
      </c>
      <c r="B333" s="3" t="s">
        <v>6992</v>
      </c>
      <c r="C333" s="3" t="s">
        <v>6985</v>
      </c>
      <c r="D333" s="3" t="s">
        <v>6316</v>
      </c>
      <c r="E333" s="3">
        <v>332</v>
      </c>
      <c r="F333" s="3" t="s">
        <v>4133</v>
      </c>
      <c r="G333" s="3" t="s">
        <v>20</v>
      </c>
      <c r="H333" s="3" t="str">
        <f t="shared" si="5"/>
        <v>Output Main Pump3 Running, from Mooring channels from Mooring PLC, ZenMAS.</v>
      </c>
    </row>
    <row r="334" spans="1:8" x14ac:dyDescent="0.25">
      <c r="A334" s="3" t="s">
        <v>6983</v>
      </c>
      <c r="B334" s="3" t="s">
        <v>6992</v>
      </c>
      <c r="C334" s="3" t="s">
        <v>6985</v>
      </c>
      <c r="D334" s="3" t="s">
        <v>6316</v>
      </c>
      <c r="E334" s="3">
        <v>333</v>
      </c>
      <c r="F334" s="3" t="s">
        <v>4134</v>
      </c>
      <c r="G334" s="3" t="s">
        <v>20</v>
      </c>
      <c r="H334" s="3" t="str">
        <f t="shared" si="5"/>
        <v>Output Main Pump4 Running, from Mooring channels from Mooring PLC, ZenMAS.</v>
      </c>
    </row>
    <row r="335" spans="1:8" x14ac:dyDescent="0.25">
      <c r="A335" s="3" t="s">
        <v>6983</v>
      </c>
      <c r="B335" s="3" t="s">
        <v>6992</v>
      </c>
      <c r="C335" s="3" t="s">
        <v>6985</v>
      </c>
      <c r="D335" s="3" t="s">
        <v>6316</v>
      </c>
      <c r="E335" s="3">
        <v>334</v>
      </c>
      <c r="F335" s="3" t="s">
        <v>4135</v>
      </c>
      <c r="G335" s="3" t="s">
        <v>20</v>
      </c>
      <c r="H335" s="3" t="str">
        <f t="shared" si="5"/>
        <v>Output Cir Pump1 Running, from Mooring channels from Mooring PLC, ZenMAS.</v>
      </c>
    </row>
    <row r="336" spans="1:8" x14ac:dyDescent="0.25">
      <c r="A336" s="3" t="s">
        <v>6983</v>
      </c>
      <c r="B336" s="3" t="s">
        <v>6992</v>
      </c>
      <c r="C336" s="3" t="s">
        <v>6985</v>
      </c>
      <c r="D336" s="3" t="s">
        <v>6316</v>
      </c>
      <c r="E336" s="3">
        <v>335</v>
      </c>
      <c r="F336" s="3" t="s">
        <v>4136</v>
      </c>
      <c r="G336" s="3" t="s">
        <v>20</v>
      </c>
      <c r="H336" s="3" t="str">
        <f t="shared" si="5"/>
        <v>Output Cir Pump2 Running, from Mooring channels from Mooring PLC, ZenMAS.</v>
      </c>
    </row>
    <row r="337" spans="1:8" x14ac:dyDescent="0.25">
      <c r="A337" s="3" t="s">
        <v>6983</v>
      </c>
      <c r="B337" s="3" t="s">
        <v>6992</v>
      </c>
      <c r="C337" s="3" t="s">
        <v>6985</v>
      </c>
      <c r="D337" s="3" t="s">
        <v>6316</v>
      </c>
      <c r="E337" s="3">
        <v>336</v>
      </c>
      <c r="F337" s="3" t="s">
        <v>4137</v>
      </c>
      <c r="G337" s="3" t="s">
        <v>20</v>
      </c>
      <c r="H337" s="3" t="str">
        <f t="shared" si="5"/>
        <v>Output Cooling Fan Running1, from Mooring channels from Mooring PLC, ZenMAS.</v>
      </c>
    </row>
    <row r="338" spans="1:8" x14ac:dyDescent="0.25">
      <c r="A338" s="3" t="s">
        <v>6983</v>
      </c>
      <c r="B338" s="3" t="s">
        <v>6992</v>
      </c>
      <c r="C338" s="3" t="s">
        <v>6985</v>
      </c>
      <c r="D338" s="3" t="s">
        <v>6316</v>
      </c>
      <c r="E338" s="3">
        <v>337</v>
      </c>
      <c r="F338" s="3" t="s">
        <v>4138</v>
      </c>
      <c r="G338" s="3" t="s">
        <v>20</v>
      </c>
      <c r="H338" s="3" t="str">
        <f t="shared" si="5"/>
        <v>Output Cooling Fan Running2, from Mooring channels from Mooring PLC, ZenMAS.</v>
      </c>
    </row>
    <row r="339" spans="1:8" x14ac:dyDescent="0.25">
      <c r="A339" s="3" t="s">
        <v>6983</v>
      </c>
      <c r="B339" s="3" t="s">
        <v>6992</v>
      </c>
      <c r="C339" s="3" t="s">
        <v>6985</v>
      </c>
      <c r="D339" s="3" t="s">
        <v>6316</v>
      </c>
      <c r="E339" s="3">
        <v>338</v>
      </c>
      <c r="F339" s="3" t="s">
        <v>4139</v>
      </c>
      <c r="G339" s="3" t="s">
        <v>20</v>
      </c>
      <c r="H339" s="3" t="str">
        <f t="shared" si="5"/>
        <v>Output Cooling Fan Running3, from Mooring channels from Mooring PLC, ZenMAS.</v>
      </c>
    </row>
    <row r="340" spans="1:8" x14ac:dyDescent="0.25">
      <c r="A340" s="3" t="s">
        <v>6983</v>
      </c>
      <c r="B340" s="3" t="s">
        <v>6992</v>
      </c>
      <c r="C340" s="3" t="s">
        <v>6985</v>
      </c>
      <c r="D340" s="3" t="s">
        <v>6316</v>
      </c>
      <c r="E340" s="3">
        <v>339</v>
      </c>
      <c r="F340" s="3" t="s">
        <v>4140</v>
      </c>
      <c r="G340" s="3" t="s">
        <v>20</v>
      </c>
      <c r="H340" s="3" t="str">
        <f t="shared" si="5"/>
        <v>Output Hydr. Press Standby, from Mooring channels from Mooring PLC, ZenMAS.</v>
      </c>
    </row>
    <row r="341" spans="1:8" x14ac:dyDescent="0.25">
      <c r="A341" s="3" t="s">
        <v>6983</v>
      </c>
      <c r="B341" s="3" t="s">
        <v>6992</v>
      </c>
      <c r="C341" s="3" t="s">
        <v>6985</v>
      </c>
      <c r="D341" s="3" t="s">
        <v>6316</v>
      </c>
      <c r="E341" s="3">
        <v>340</v>
      </c>
      <c r="F341" s="3" t="s">
        <v>4141</v>
      </c>
      <c r="G341" s="3" t="s">
        <v>20</v>
      </c>
      <c r="H341" s="3" t="str">
        <f t="shared" si="5"/>
        <v>Output Hydr. Press Work, from Mooring channels from Mooring PLC, ZenMAS.</v>
      </c>
    </row>
    <row r="342" spans="1:8" x14ac:dyDescent="0.25">
      <c r="A342" s="3" t="s">
        <v>6983</v>
      </c>
      <c r="B342" s="3" t="s">
        <v>6992</v>
      </c>
      <c r="C342" s="3" t="s">
        <v>6985</v>
      </c>
      <c r="D342" s="3" t="s">
        <v>6316</v>
      </c>
      <c r="E342" s="3">
        <v>341</v>
      </c>
      <c r="F342" s="3" t="s">
        <v>4142</v>
      </c>
      <c r="G342" s="3" t="s">
        <v>20</v>
      </c>
      <c r="H342" s="3" t="str">
        <f t="shared" si="5"/>
        <v>Output Hydr. Press Work High, from Mooring channels from Mooring PLC, ZenMAS.</v>
      </c>
    </row>
    <row r="343" spans="1:8" x14ac:dyDescent="0.25">
      <c r="A343" s="3" t="s">
        <v>6983</v>
      </c>
      <c r="B343" s="3" t="s">
        <v>6992</v>
      </c>
      <c r="C343" s="3" t="s">
        <v>6985</v>
      </c>
      <c r="D343" s="3" t="s">
        <v>6316</v>
      </c>
      <c r="E343" s="3">
        <v>342</v>
      </c>
      <c r="F343" s="3" t="s">
        <v>4143</v>
      </c>
      <c r="G343" s="3" t="s">
        <v>20</v>
      </c>
      <c r="H343" s="3" t="str">
        <f t="shared" si="5"/>
        <v>Output Prssure Available, from Mooring channels from Mooring PLC, ZenMAS.</v>
      </c>
    </row>
    <row r="344" spans="1:8" x14ac:dyDescent="0.25">
      <c r="A344" s="3" t="s">
        <v>6983</v>
      </c>
      <c r="B344" s="3" t="s">
        <v>6992</v>
      </c>
      <c r="C344" s="3" t="s">
        <v>6985</v>
      </c>
      <c r="D344" s="3" t="s">
        <v>6316</v>
      </c>
      <c r="E344" s="3">
        <v>343</v>
      </c>
      <c r="F344" s="3" t="s">
        <v>4144</v>
      </c>
      <c r="G344" s="3" t="s">
        <v>16</v>
      </c>
      <c r="H344" s="3" t="str">
        <f t="shared" si="5"/>
        <v>Output ML Watchdog Counter, from Mooring channels from Mooring PLC, ZenMAS.</v>
      </c>
    </row>
    <row r="345" spans="1:8" x14ac:dyDescent="0.25">
      <c r="A345" s="3" t="s">
        <v>6983</v>
      </c>
      <c r="B345" s="3" t="s">
        <v>6992</v>
      </c>
      <c r="C345" s="3" t="s">
        <v>6985</v>
      </c>
      <c r="D345" s="3" t="s">
        <v>6317</v>
      </c>
      <c r="E345" s="3">
        <v>344</v>
      </c>
      <c r="F345" s="3" t="s">
        <v>4145</v>
      </c>
      <c r="G345" s="3" t="s">
        <v>1093</v>
      </c>
      <c r="H345" s="3" t="str">
        <f>_xlfn.CONCAT("Output ",F345, ", from Ballast &amp; Draft, from Ballast PLC.")</f>
        <v>Output BCS Draft1, from Ballast &amp; Draft, from Ballast PLC.</v>
      </c>
    </row>
    <row r="346" spans="1:8" x14ac:dyDescent="0.25">
      <c r="A346" s="3" t="s">
        <v>6983</v>
      </c>
      <c r="B346" s="3" t="s">
        <v>6992</v>
      </c>
      <c r="C346" s="3" t="s">
        <v>6985</v>
      </c>
      <c r="D346" s="3" t="s">
        <v>6317</v>
      </c>
      <c r="E346" s="3">
        <v>345</v>
      </c>
      <c r="F346" s="3" t="s">
        <v>4146</v>
      </c>
      <c r="G346" s="3" t="s">
        <v>1093</v>
      </c>
      <c r="H346" s="3" t="str">
        <f t="shared" ref="H346:H366" si="6">_xlfn.CONCAT("Output ",F346, ", from Ballast &amp; Draft, from Ballast PLC.")</f>
        <v>Output BCS Draft2, from Ballast &amp; Draft, from Ballast PLC.</v>
      </c>
    </row>
    <row r="347" spans="1:8" x14ac:dyDescent="0.25">
      <c r="A347" s="3" t="s">
        <v>6983</v>
      </c>
      <c r="B347" s="3" t="s">
        <v>6992</v>
      </c>
      <c r="C347" s="3" t="s">
        <v>6985</v>
      </c>
      <c r="D347" s="3" t="s">
        <v>6317</v>
      </c>
      <c r="E347" s="3">
        <v>346</v>
      </c>
      <c r="F347" s="3" t="s">
        <v>4147</v>
      </c>
      <c r="G347" s="3" t="s">
        <v>1093</v>
      </c>
      <c r="H347" s="3" t="str">
        <f t="shared" si="6"/>
        <v>Output 3NVB Ballast Tank Level, from Ballast &amp; Draft, from Ballast PLC.</v>
      </c>
    </row>
    <row r="348" spans="1:8" x14ac:dyDescent="0.25">
      <c r="A348" s="3" t="s">
        <v>6983</v>
      </c>
      <c r="B348" s="3" t="s">
        <v>6992</v>
      </c>
      <c r="C348" s="3" t="s">
        <v>6985</v>
      </c>
      <c r="D348" s="3" t="s">
        <v>6317</v>
      </c>
      <c r="E348" s="3">
        <v>347</v>
      </c>
      <c r="F348" s="3" t="s">
        <v>4148</v>
      </c>
      <c r="G348" s="3" t="s">
        <v>1093</v>
      </c>
      <c r="H348" s="3" t="str">
        <f t="shared" si="6"/>
        <v>Output 3EVB Ballast Tank Level, from Ballast &amp; Draft, from Ballast PLC.</v>
      </c>
    </row>
    <row r="349" spans="1:8" x14ac:dyDescent="0.25">
      <c r="A349" s="3" t="s">
        <v>6983</v>
      </c>
      <c r="B349" s="3" t="s">
        <v>6992</v>
      </c>
      <c r="C349" s="3" t="s">
        <v>6985</v>
      </c>
      <c r="D349" s="3" t="s">
        <v>6317</v>
      </c>
      <c r="E349" s="3">
        <v>348</v>
      </c>
      <c r="F349" s="3" t="s">
        <v>4149</v>
      </c>
      <c r="G349" s="3" t="s">
        <v>1093</v>
      </c>
      <c r="H349" s="3" t="str">
        <f t="shared" si="6"/>
        <v>Output 3SVB Ballast Tank Level, from Ballast &amp; Draft, from Ballast PLC.</v>
      </c>
    </row>
    <row r="350" spans="1:8" x14ac:dyDescent="0.25">
      <c r="A350" s="3" t="s">
        <v>6983</v>
      </c>
      <c r="B350" s="3" t="s">
        <v>6992</v>
      </c>
      <c r="C350" s="3" t="s">
        <v>6985</v>
      </c>
      <c r="D350" s="3" t="s">
        <v>6317</v>
      </c>
      <c r="E350" s="3">
        <v>349</v>
      </c>
      <c r="F350" s="3" t="s">
        <v>4150</v>
      </c>
      <c r="G350" s="3" t="s">
        <v>1093</v>
      </c>
      <c r="H350" s="3" t="str">
        <f t="shared" si="6"/>
        <v>Output 3WVB Ballast Tank Level, from Ballast &amp; Draft, from Ballast PLC.</v>
      </c>
    </row>
    <row r="351" spans="1:8" x14ac:dyDescent="0.25">
      <c r="A351" s="3" t="s">
        <v>6983</v>
      </c>
      <c r="B351" s="3" t="s">
        <v>6992</v>
      </c>
      <c r="C351" s="3" t="s">
        <v>6985</v>
      </c>
      <c r="D351" s="3" t="s">
        <v>6317</v>
      </c>
      <c r="E351" s="3">
        <v>350</v>
      </c>
      <c r="F351" s="3" t="s">
        <v>4151</v>
      </c>
      <c r="G351" s="3" t="s">
        <v>20</v>
      </c>
      <c r="H351" s="3" t="str">
        <f t="shared" si="6"/>
        <v>Output 4NVO Void, from Ballast &amp; Draft, from Ballast PLC.</v>
      </c>
    </row>
    <row r="352" spans="1:8" x14ac:dyDescent="0.25">
      <c r="A352" s="3" t="s">
        <v>6983</v>
      </c>
      <c r="B352" s="3" t="s">
        <v>6992</v>
      </c>
      <c r="C352" s="3" t="s">
        <v>6985</v>
      </c>
      <c r="D352" s="3" t="s">
        <v>6317</v>
      </c>
      <c r="E352" s="3">
        <v>351</v>
      </c>
      <c r="F352" s="3" t="s">
        <v>4152</v>
      </c>
      <c r="G352" s="3" t="s">
        <v>20</v>
      </c>
      <c r="H352" s="3" t="str">
        <f t="shared" si="6"/>
        <v>Output 4EVO Void, from Ballast &amp; Draft, from Ballast PLC.</v>
      </c>
    </row>
    <row r="353" spans="1:8" x14ac:dyDescent="0.25">
      <c r="A353" s="3" t="s">
        <v>6983</v>
      </c>
      <c r="B353" s="3" t="s">
        <v>6992</v>
      </c>
      <c r="C353" s="3" t="s">
        <v>6985</v>
      </c>
      <c r="D353" s="3" t="s">
        <v>6317</v>
      </c>
      <c r="E353" s="3">
        <v>352</v>
      </c>
      <c r="F353" s="3" t="s">
        <v>4153</v>
      </c>
      <c r="G353" s="3" t="s">
        <v>20</v>
      </c>
      <c r="H353" s="3" t="str">
        <f t="shared" si="6"/>
        <v>Output 4SVO Void, from Ballast &amp; Draft, from Ballast PLC.</v>
      </c>
    </row>
    <row r="354" spans="1:8" x14ac:dyDescent="0.25">
      <c r="A354" s="3" t="s">
        <v>6983</v>
      </c>
      <c r="B354" s="3" t="s">
        <v>6992</v>
      </c>
      <c r="C354" s="3" t="s">
        <v>6985</v>
      </c>
      <c r="D354" s="3" t="s">
        <v>6317</v>
      </c>
      <c r="E354" s="3">
        <v>353</v>
      </c>
      <c r="F354" s="3" t="s">
        <v>4154</v>
      </c>
      <c r="G354" s="3" t="s">
        <v>20</v>
      </c>
      <c r="H354" s="3" t="str">
        <f t="shared" si="6"/>
        <v>Output 4WVO Void, from Ballast &amp; Draft, from Ballast PLC.</v>
      </c>
    </row>
    <row r="355" spans="1:8" x14ac:dyDescent="0.25">
      <c r="A355" s="3" t="s">
        <v>6983</v>
      </c>
      <c r="B355" s="3" t="s">
        <v>6992</v>
      </c>
      <c r="C355" s="3" t="s">
        <v>6985</v>
      </c>
      <c r="D355" s="3" t="s">
        <v>6317</v>
      </c>
      <c r="E355" s="3">
        <v>354</v>
      </c>
      <c r="F355" s="3" t="s">
        <v>4155</v>
      </c>
      <c r="G355" s="3" t="s">
        <v>20</v>
      </c>
      <c r="H355" s="3" t="str">
        <f t="shared" si="6"/>
        <v>Output 5NVO Void, from Ballast &amp; Draft, from Ballast PLC.</v>
      </c>
    </row>
    <row r="356" spans="1:8" x14ac:dyDescent="0.25">
      <c r="A356" s="3" t="s">
        <v>6983</v>
      </c>
      <c r="B356" s="3" t="s">
        <v>6992</v>
      </c>
      <c r="C356" s="3" t="s">
        <v>6985</v>
      </c>
      <c r="D356" s="3" t="s">
        <v>6317</v>
      </c>
      <c r="E356" s="3">
        <v>355</v>
      </c>
      <c r="F356" s="3" t="s">
        <v>4156</v>
      </c>
      <c r="G356" s="3" t="s">
        <v>20</v>
      </c>
      <c r="H356" s="3" t="str">
        <f t="shared" si="6"/>
        <v>Output 5EVO Void, from Ballast &amp; Draft, from Ballast PLC.</v>
      </c>
    </row>
    <row r="357" spans="1:8" x14ac:dyDescent="0.25">
      <c r="A357" s="3" t="s">
        <v>6983</v>
      </c>
      <c r="B357" s="3" t="s">
        <v>6992</v>
      </c>
      <c r="C357" s="3" t="s">
        <v>6985</v>
      </c>
      <c r="D357" s="3" t="s">
        <v>6317</v>
      </c>
      <c r="E357" s="3">
        <v>356</v>
      </c>
      <c r="F357" s="3" t="s">
        <v>4157</v>
      </c>
      <c r="G357" s="3" t="s">
        <v>20</v>
      </c>
      <c r="H357" s="3" t="str">
        <f t="shared" si="6"/>
        <v>Output 5SVO Void, from Ballast &amp; Draft, from Ballast PLC.</v>
      </c>
    </row>
    <row r="358" spans="1:8" x14ac:dyDescent="0.25">
      <c r="A358" s="3" t="s">
        <v>6983</v>
      </c>
      <c r="B358" s="3" t="s">
        <v>6992</v>
      </c>
      <c r="C358" s="3" t="s">
        <v>6985</v>
      </c>
      <c r="D358" s="3" t="s">
        <v>6317</v>
      </c>
      <c r="E358" s="3">
        <v>357</v>
      </c>
      <c r="F358" s="3" t="s">
        <v>4158</v>
      </c>
      <c r="G358" s="3" t="s">
        <v>20</v>
      </c>
      <c r="H358" s="3" t="str">
        <f t="shared" si="6"/>
        <v>Output 5WVO Void, from Ballast &amp; Draft, from Ballast PLC.</v>
      </c>
    </row>
    <row r="359" spans="1:8" x14ac:dyDescent="0.25">
      <c r="A359" s="3" t="s">
        <v>6983</v>
      </c>
      <c r="B359" s="3" t="s">
        <v>6992</v>
      </c>
      <c r="C359" s="3" t="s">
        <v>6985</v>
      </c>
      <c r="D359" s="3" t="s">
        <v>6317</v>
      </c>
      <c r="E359" s="3">
        <v>358</v>
      </c>
      <c r="F359" s="3" t="s">
        <v>4159</v>
      </c>
      <c r="G359" s="3" t="s">
        <v>20</v>
      </c>
      <c r="H359" s="3" t="str">
        <f t="shared" si="6"/>
        <v>Output 6NVO1 Void, from Ballast &amp; Draft, from Ballast PLC.</v>
      </c>
    </row>
    <row r="360" spans="1:8" x14ac:dyDescent="0.25">
      <c r="A360" s="3" t="s">
        <v>6983</v>
      </c>
      <c r="B360" s="3" t="s">
        <v>6992</v>
      </c>
      <c r="C360" s="3" t="s">
        <v>6985</v>
      </c>
      <c r="D360" s="3" t="s">
        <v>6317</v>
      </c>
      <c r="E360" s="3">
        <v>359</v>
      </c>
      <c r="F360" s="3" t="s">
        <v>4160</v>
      </c>
      <c r="G360" s="3" t="s">
        <v>20</v>
      </c>
      <c r="H360" s="3" t="str">
        <f t="shared" si="6"/>
        <v>Output 6NVO2 Void, from Ballast &amp; Draft, from Ballast PLC.</v>
      </c>
    </row>
    <row r="361" spans="1:8" x14ac:dyDescent="0.25">
      <c r="A361" s="3" t="s">
        <v>6983</v>
      </c>
      <c r="B361" s="3" t="s">
        <v>6992</v>
      </c>
      <c r="C361" s="3" t="s">
        <v>6985</v>
      </c>
      <c r="D361" s="3" t="s">
        <v>6317</v>
      </c>
      <c r="E361" s="3">
        <v>360</v>
      </c>
      <c r="F361" s="3" t="s">
        <v>4161</v>
      </c>
      <c r="G361" s="3" t="s">
        <v>20</v>
      </c>
      <c r="H361" s="3" t="str">
        <f t="shared" si="6"/>
        <v>Output 6EVO1 Void, from Ballast &amp; Draft, from Ballast PLC.</v>
      </c>
    </row>
    <row r="362" spans="1:8" x14ac:dyDescent="0.25">
      <c r="A362" s="3" t="s">
        <v>6983</v>
      </c>
      <c r="B362" s="3" t="s">
        <v>6992</v>
      </c>
      <c r="C362" s="3" t="s">
        <v>6985</v>
      </c>
      <c r="D362" s="3" t="s">
        <v>6317</v>
      </c>
      <c r="E362" s="3">
        <v>361</v>
      </c>
      <c r="F362" s="3" t="s">
        <v>4162</v>
      </c>
      <c r="G362" s="3" t="s">
        <v>20</v>
      </c>
      <c r="H362" s="3" t="str">
        <f t="shared" si="6"/>
        <v>Output 6EVO2 Void, from Ballast &amp; Draft, from Ballast PLC.</v>
      </c>
    </row>
    <row r="363" spans="1:8" x14ac:dyDescent="0.25">
      <c r="A363" s="3" t="s">
        <v>6983</v>
      </c>
      <c r="B363" s="3" t="s">
        <v>6992</v>
      </c>
      <c r="C363" s="3" t="s">
        <v>6985</v>
      </c>
      <c r="D363" s="3" t="s">
        <v>6317</v>
      </c>
      <c r="E363" s="3">
        <v>362</v>
      </c>
      <c r="F363" s="3" t="s">
        <v>4163</v>
      </c>
      <c r="G363" s="3" t="s">
        <v>20</v>
      </c>
      <c r="H363" s="3" t="str">
        <f t="shared" si="6"/>
        <v>Output 6SVO1 Void, from Ballast &amp; Draft, from Ballast PLC.</v>
      </c>
    </row>
    <row r="364" spans="1:8" x14ac:dyDescent="0.25">
      <c r="A364" s="3" t="s">
        <v>6983</v>
      </c>
      <c r="B364" s="3" t="s">
        <v>6992</v>
      </c>
      <c r="C364" s="3" t="s">
        <v>6985</v>
      </c>
      <c r="D364" s="3" t="s">
        <v>6317</v>
      </c>
      <c r="E364" s="3">
        <v>363</v>
      </c>
      <c r="F364" s="3" t="s">
        <v>4164</v>
      </c>
      <c r="G364" s="3" t="s">
        <v>20</v>
      </c>
      <c r="H364" s="3" t="str">
        <f t="shared" si="6"/>
        <v>Output 6SVO2 Void, from Ballast &amp; Draft, from Ballast PLC.</v>
      </c>
    </row>
    <row r="365" spans="1:8" x14ac:dyDescent="0.25">
      <c r="A365" s="3" t="s">
        <v>6983</v>
      </c>
      <c r="B365" s="3" t="s">
        <v>6992</v>
      </c>
      <c r="C365" s="3" t="s">
        <v>6985</v>
      </c>
      <c r="D365" s="3" t="s">
        <v>6317</v>
      </c>
      <c r="E365" s="3">
        <v>364</v>
      </c>
      <c r="F365" s="3" t="s">
        <v>4165</v>
      </c>
      <c r="G365" s="3" t="s">
        <v>20</v>
      </c>
      <c r="H365" s="3" t="str">
        <f t="shared" si="6"/>
        <v>Output 6WVO1 Void, from Ballast &amp; Draft, from Ballast PLC.</v>
      </c>
    </row>
    <row r="366" spans="1:8" x14ac:dyDescent="0.25">
      <c r="A366" s="3" t="s">
        <v>6983</v>
      </c>
      <c r="B366" s="3" t="s">
        <v>6992</v>
      </c>
      <c r="C366" s="3" t="s">
        <v>6985</v>
      </c>
      <c r="D366" s="3" t="s">
        <v>6317</v>
      </c>
      <c r="E366" s="3">
        <v>365</v>
      </c>
      <c r="F366" s="3" t="s">
        <v>4166</v>
      </c>
      <c r="G366" s="3" t="s">
        <v>20</v>
      </c>
      <c r="H366" s="3" t="str">
        <f t="shared" si="6"/>
        <v>Output 6WVO2 Void, from Ballast &amp; Draft, from Ballast PLC.</v>
      </c>
    </row>
    <row r="367" spans="1:8" x14ac:dyDescent="0.25">
      <c r="A367" s="3" t="s">
        <v>6983</v>
      </c>
      <c r="B367" s="3" t="s">
        <v>6992</v>
      </c>
      <c r="C367" s="3" t="s">
        <v>6985</v>
      </c>
      <c r="D367" s="3" t="s">
        <v>1118</v>
      </c>
      <c r="E367" s="3">
        <v>366</v>
      </c>
      <c r="F367" s="3" t="s">
        <v>3012</v>
      </c>
      <c r="G367" s="3" t="s">
        <v>13</v>
      </c>
      <c r="H367" s="3" t="s">
        <v>6977</v>
      </c>
    </row>
    <row r="368" spans="1:8" x14ac:dyDescent="0.25">
      <c r="A368" s="3" t="s">
        <v>6983</v>
      </c>
      <c r="B368" s="3" t="s">
        <v>6992</v>
      </c>
      <c r="C368" s="3" t="s">
        <v>6985</v>
      </c>
      <c r="D368" s="3" t="s">
        <v>1118</v>
      </c>
      <c r="E368" s="3">
        <v>367</v>
      </c>
      <c r="F368" s="3" t="s">
        <v>3013</v>
      </c>
      <c r="G368" s="3" t="s">
        <v>4</v>
      </c>
      <c r="H368" s="4" t="s">
        <v>6978</v>
      </c>
    </row>
    <row r="369" spans="1:10" x14ac:dyDescent="0.25">
      <c r="A369" s="3" t="s">
        <v>6983</v>
      </c>
      <c r="B369" s="3" t="s">
        <v>6992</v>
      </c>
      <c r="C369" s="3" t="s">
        <v>6985</v>
      </c>
      <c r="D369" s="3" t="s">
        <v>1118</v>
      </c>
      <c r="E369" s="3">
        <v>368</v>
      </c>
      <c r="F369" s="3" t="s">
        <v>3014</v>
      </c>
      <c r="G369" s="3" t="s">
        <v>11</v>
      </c>
      <c r="H369" s="3" t="s">
        <v>6976</v>
      </c>
    </row>
    <row r="370" spans="1:10" x14ac:dyDescent="0.25">
      <c r="A370" s="3" t="s">
        <v>6983</v>
      </c>
      <c r="B370" s="3" t="s">
        <v>6992</v>
      </c>
      <c r="C370" s="3" t="s">
        <v>6985</v>
      </c>
      <c r="D370" s="3" t="s">
        <v>6318</v>
      </c>
      <c r="E370" s="3">
        <v>369</v>
      </c>
      <c r="F370" s="3" t="s">
        <v>4167</v>
      </c>
      <c r="G370" s="3" t="s">
        <v>13</v>
      </c>
      <c r="H370" s="3" t="s">
        <v>6366</v>
      </c>
    </row>
    <row r="371" spans="1:10" x14ac:dyDescent="0.25">
      <c r="A371" s="3" t="s">
        <v>6983</v>
      </c>
      <c r="B371" s="3" t="s">
        <v>6992</v>
      </c>
      <c r="C371" s="3" t="s">
        <v>6985</v>
      </c>
      <c r="D371" s="3" t="s">
        <v>6318</v>
      </c>
      <c r="E371" s="3">
        <v>370</v>
      </c>
      <c r="F371" s="3" t="s">
        <v>4168</v>
      </c>
      <c r="G371" s="3" t="s">
        <v>4</v>
      </c>
      <c r="H371" s="3" t="s">
        <v>4168</v>
      </c>
    </row>
    <row r="372" spans="1:10" x14ac:dyDescent="0.25">
      <c r="A372" s="3" t="s">
        <v>6983</v>
      </c>
      <c r="B372" s="3" t="s">
        <v>6992</v>
      </c>
      <c r="C372" s="3" t="s">
        <v>6985</v>
      </c>
      <c r="D372" s="3" t="s">
        <v>6318</v>
      </c>
      <c r="E372" s="3">
        <v>371</v>
      </c>
      <c r="F372" s="3" t="s">
        <v>4169</v>
      </c>
      <c r="G372" s="3" t="s">
        <v>11</v>
      </c>
      <c r="H372" s="3" t="s">
        <v>6367</v>
      </c>
    </row>
    <row r="373" spans="1:10" x14ac:dyDescent="0.25">
      <c r="A373" s="3" t="s">
        <v>6983</v>
      </c>
      <c r="B373" s="3" t="s">
        <v>6992</v>
      </c>
      <c r="C373" s="3" t="s">
        <v>6985</v>
      </c>
      <c r="D373" s="3" t="s">
        <v>6319</v>
      </c>
      <c r="E373" s="3">
        <v>372</v>
      </c>
      <c r="F373" s="3" t="s">
        <v>3015</v>
      </c>
      <c r="G373" s="3" t="s">
        <v>19</v>
      </c>
      <c r="H373" s="3" t="str">
        <f>_xlfn.CONCAT("Output ",F373, ", data relayed from drilling system, RTOC.")</f>
        <v>Output Activity Code, data relayed from drilling system, RTOC.</v>
      </c>
    </row>
    <row r="374" spans="1:10" x14ac:dyDescent="0.25">
      <c r="A374" s="3" t="s">
        <v>6983</v>
      </c>
      <c r="B374" s="3" t="s">
        <v>6992</v>
      </c>
      <c r="C374" s="3" t="s">
        <v>6985</v>
      </c>
      <c r="D374" s="3" t="s">
        <v>6319</v>
      </c>
      <c r="E374" s="3">
        <v>373</v>
      </c>
      <c r="F374" s="3" t="s">
        <v>3016</v>
      </c>
      <c r="G374" s="3" t="s">
        <v>1093</v>
      </c>
      <c r="H374" s="3" t="str">
        <f t="shared" ref="H374:H381" si="7">_xlfn.CONCAT("Output ",F374, ", data relayed from drilling system, RTOC.")</f>
        <v>Output Depth Bit, data relayed from drilling system, RTOC.</v>
      </c>
    </row>
    <row r="375" spans="1:10" x14ac:dyDescent="0.25">
      <c r="A375" s="3" t="s">
        <v>6983</v>
      </c>
      <c r="B375" s="3" t="s">
        <v>6992</v>
      </c>
      <c r="C375" s="3" t="s">
        <v>6985</v>
      </c>
      <c r="D375" s="3" t="s">
        <v>6319</v>
      </c>
      <c r="E375" s="3">
        <v>374</v>
      </c>
      <c r="F375" s="3" t="s">
        <v>3017</v>
      </c>
      <c r="G375" s="3" t="s">
        <v>3846</v>
      </c>
      <c r="H375" s="3" t="str">
        <f t="shared" si="7"/>
        <v>Output Rate of Penetration, data relayed from drilling system, RTOC.</v>
      </c>
    </row>
    <row r="376" spans="1:10" x14ac:dyDescent="0.25">
      <c r="A376" s="3" t="s">
        <v>6983</v>
      </c>
      <c r="B376" s="3" t="s">
        <v>6992</v>
      </c>
      <c r="C376" s="3" t="s">
        <v>6985</v>
      </c>
      <c r="D376" s="3" t="s">
        <v>6319</v>
      </c>
      <c r="E376" s="3">
        <v>375</v>
      </c>
      <c r="F376" s="3" t="s">
        <v>3018</v>
      </c>
      <c r="G376" s="3" t="s">
        <v>1100</v>
      </c>
      <c r="H376" s="3" t="str">
        <f t="shared" si="7"/>
        <v>Output Hookload, data relayed from drilling system, RTOC.</v>
      </c>
    </row>
    <row r="377" spans="1:10" x14ac:dyDescent="0.25">
      <c r="A377" s="3" t="s">
        <v>6983</v>
      </c>
      <c r="B377" s="3" t="s">
        <v>6992</v>
      </c>
      <c r="C377" s="3" t="s">
        <v>6985</v>
      </c>
      <c r="D377" s="3" t="s">
        <v>6319</v>
      </c>
      <c r="E377" s="3">
        <v>376</v>
      </c>
      <c r="F377" s="3" t="s">
        <v>3019</v>
      </c>
      <c r="G377" s="3" t="s">
        <v>1100</v>
      </c>
      <c r="H377" s="3" t="str">
        <f t="shared" si="7"/>
        <v>Output Weight on Bit, data relayed from drilling system, RTOC.</v>
      </c>
    </row>
    <row r="378" spans="1:10" x14ac:dyDescent="0.25">
      <c r="A378" s="3" t="s">
        <v>6983</v>
      </c>
      <c r="B378" s="3" t="s">
        <v>6992</v>
      </c>
      <c r="C378" s="3" t="s">
        <v>6985</v>
      </c>
      <c r="D378" s="3" t="s">
        <v>6319</v>
      </c>
      <c r="E378" s="3">
        <v>377</v>
      </c>
      <c r="F378" s="3" t="s">
        <v>3020</v>
      </c>
      <c r="G378" s="3" t="s">
        <v>1101</v>
      </c>
      <c r="H378" s="3" t="str">
        <f t="shared" si="7"/>
        <v>Output Rotary Torque, data relayed from drilling system, RTOC.</v>
      </c>
    </row>
    <row r="379" spans="1:10" x14ac:dyDescent="0.25">
      <c r="A379" s="3" t="s">
        <v>6983</v>
      </c>
      <c r="B379" s="3" t="s">
        <v>6992</v>
      </c>
      <c r="C379" s="3" t="s">
        <v>6985</v>
      </c>
      <c r="D379" s="3" t="s">
        <v>6319</v>
      </c>
      <c r="E379" s="3">
        <v>378</v>
      </c>
      <c r="F379" s="3" t="s">
        <v>3021</v>
      </c>
      <c r="G379" s="3" t="s">
        <v>3847</v>
      </c>
      <c r="H379" s="3" t="str">
        <f t="shared" si="7"/>
        <v>Output Rotary Speed, data relayed from drilling system, RTOC.</v>
      </c>
    </row>
    <row r="380" spans="1:10" x14ac:dyDescent="0.25">
      <c r="A380" s="3" t="s">
        <v>6983</v>
      </c>
      <c r="B380" s="3" t="s">
        <v>6992</v>
      </c>
      <c r="C380" s="3" t="s">
        <v>6985</v>
      </c>
      <c r="D380" s="3" t="s">
        <v>6319</v>
      </c>
      <c r="E380" s="3">
        <v>379</v>
      </c>
      <c r="F380" s="3" t="s">
        <v>3022</v>
      </c>
      <c r="G380" s="3" t="s">
        <v>3848</v>
      </c>
      <c r="H380" s="3" t="str">
        <f t="shared" si="7"/>
        <v>Output Mud Weight Out, data relayed from drilling system, RTOC.</v>
      </c>
    </row>
    <row r="381" spans="1:10" x14ac:dyDescent="0.25">
      <c r="A381" s="3" t="s">
        <v>6983</v>
      </c>
      <c r="B381" s="3" t="s">
        <v>6992</v>
      </c>
      <c r="C381" s="3" t="s">
        <v>6985</v>
      </c>
      <c r="D381" s="3" t="s">
        <v>6319</v>
      </c>
      <c r="E381" s="3">
        <v>380</v>
      </c>
      <c r="F381" s="3" t="s">
        <v>3023</v>
      </c>
      <c r="G381" s="3" t="s">
        <v>3848</v>
      </c>
      <c r="H381" s="3" t="str">
        <f t="shared" si="7"/>
        <v>Output Mud Weight In, data relayed from drilling system, RTOC.</v>
      </c>
    </row>
    <row r="382" spans="1:10" x14ac:dyDescent="0.25">
      <c r="A382" s="3" t="s">
        <v>6983</v>
      </c>
      <c r="B382" s="3" t="s">
        <v>6992</v>
      </c>
      <c r="C382" s="3" t="s">
        <v>6985</v>
      </c>
      <c r="D382" s="3" t="s">
        <v>6320</v>
      </c>
      <c r="E382" s="3">
        <v>381</v>
      </c>
      <c r="F382" s="3" t="s">
        <v>3024</v>
      </c>
      <c r="G382" s="3" t="s">
        <v>3849</v>
      </c>
      <c r="H382" s="3" t="s">
        <v>6354</v>
      </c>
      <c r="J382" s="3" t="s">
        <v>6353</v>
      </c>
    </row>
    <row r="383" spans="1:10" x14ac:dyDescent="0.25">
      <c r="A383" s="3" t="s">
        <v>6983</v>
      </c>
      <c r="B383" s="3" t="s">
        <v>6992</v>
      </c>
      <c r="C383" s="3" t="s">
        <v>6985</v>
      </c>
      <c r="D383" s="3" t="s">
        <v>6320</v>
      </c>
      <c r="E383" s="3">
        <v>382</v>
      </c>
      <c r="F383" s="3" t="s">
        <v>3025</v>
      </c>
      <c r="G383" s="3" t="s">
        <v>3849</v>
      </c>
      <c r="H383" s="3" t="s">
        <v>6355</v>
      </c>
    </row>
    <row r="384" spans="1:10" x14ac:dyDescent="0.25">
      <c r="A384" s="3" t="s">
        <v>6983</v>
      </c>
      <c r="B384" s="3" t="s">
        <v>6992</v>
      </c>
      <c r="C384" s="3" t="s">
        <v>6985</v>
      </c>
      <c r="D384" s="3" t="s">
        <v>6320</v>
      </c>
      <c r="E384" s="3">
        <v>383</v>
      </c>
      <c r="F384" s="3" t="s">
        <v>3026</v>
      </c>
      <c r="G384" s="3" t="s">
        <v>16</v>
      </c>
      <c r="H384" s="3" t="s">
        <v>6358</v>
      </c>
    </row>
    <row r="385" spans="1:8" x14ac:dyDescent="0.25">
      <c r="A385" s="3" t="s">
        <v>6983</v>
      </c>
      <c r="B385" s="3" t="s">
        <v>6992</v>
      </c>
      <c r="C385" s="3" t="s">
        <v>6985</v>
      </c>
      <c r="D385" s="3" t="s">
        <v>6320</v>
      </c>
      <c r="E385" s="3">
        <v>384</v>
      </c>
      <c r="F385" s="3" t="s">
        <v>3027</v>
      </c>
      <c r="G385" s="3" t="s">
        <v>16</v>
      </c>
      <c r="H385" s="3" t="s">
        <v>6359</v>
      </c>
    </row>
    <row r="386" spans="1:8" x14ac:dyDescent="0.25">
      <c r="A386" s="3" t="s">
        <v>6983</v>
      </c>
      <c r="B386" s="3" t="s">
        <v>6992</v>
      </c>
      <c r="C386" s="3" t="s">
        <v>6985</v>
      </c>
      <c r="D386" s="3" t="s">
        <v>6320</v>
      </c>
      <c r="E386" s="3">
        <v>385</v>
      </c>
      <c r="F386" s="3" t="s">
        <v>3028</v>
      </c>
      <c r="G386" s="3" t="s">
        <v>3850</v>
      </c>
      <c r="H386" s="3" t="s">
        <v>6356</v>
      </c>
    </row>
    <row r="387" spans="1:8" x14ac:dyDescent="0.25">
      <c r="A387" s="3" t="s">
        <v>6983</v>
      </c>
      <c r="B387" s="3" t="s">
        <v>6992</v>
      </c>
      <c r="C387" s="3" t="s">
        <v>6985</v>
      </c>
      <c r="D387" s="3" t="s">
        <v>6320</v>
      </c>
      <c r="E387" s="3">
        <v>386</v>
      </c>
      <c r="F387" s="3" t="s">
        <v>3029</v>
      </c>
      <c r="G387" s="3" t="s">
        <v>3851</v>
      </c>
      <c r="H387" s="3" t="s">
        <v>6357</v>
      </c>
    </row>
    <row r="388" spans="1:8" x14ac:dyDescent="0.25">
      <c r="A388" s="3" t="s">
        <v>6983</v>
      </c>
      <c r="B388" s="3" t="s">
        <v>6992</v>
      </c>
      <c r="C388" s="3" t="s">
        <v>6985</v>
      </c>
      <c r="D388" s="3" t="s">
        <v>6320</v>
      </c>
      <c r="E388" s="3">
        <v>387</v>
      </c>
      <c r="F388" s="3" t="s">
        <v>3030</v>
      </c>
      <c r="G388" s="3" t="s">
        <v>3850</v>
      </c>
      <c r="H388" s="3" t="s">
        <v>6360</v>
      </c>
    </row>
    <row r="389" spans="1:8" x14ac:dyDescent="0.25">
      <c r="A389" s="3" t="s">
        <v>6983</v>
      </c>
      <c r="B389" s="3" t="s">
        <v>6992</v>
      </c>
      <c r="C389" s="3" t="s">
        <v>6985</v>
      </c>
      <c r="D389" s="3" t="s">
        <v>6320</v>
      </c>
      <c r="E389" s="3">
        <v>388</v>
      </c>
      <c r="F389" s="3" t="s">
        <v>3031</v>
      </c>
      <c r="G389" s="3" t="s">
        <v>3851</v>
      </c>
      <c r="H389" s="3" t="s">
        <v>6361</v>
      </c>
    </row>
    <row r="390" spans="1:8" x14ac:dyDescent="0.25">
      <c r="A390" s="3" t="s">
        <v>6983</v>
      </c>
      <c r="B390" s="3" t="s">
        <v>6992</v>
      </c>
      <c r="C390" s="3" t="s">
        <v>6985</v>
      </c>
      <c r="D390" s="3" t="s">
        <v>6320</v>
      </c>
      <c r="E390" s="3">
        <v>389</v>
      </c>
      <c r="F390" s="3" t="s">
        <v>3032</v>
      </c>
      <c r="G390" s="3" t="s">
        <v>3850</v>
      </c>
      <c r="H390" s="3" t="s">
        <v>6362</v>
      </c>
    </row>
    <row r="391" spans="1:8" x14ac:dyDescent="0.25">
      <c r="A391" s="3" t="s">
        <v>6983</v>
      </c>
      <c r="B391" s="3" t="s">
        <v>6992</v>
      </c>
      <c r="C391" s="3" t="s">
        <v>6985</v>
      </c>
      <c r="D391" s="3" t="s">
        <v>6320</v>
      </c>
      <c r="E391" s="3">
        <v>390</v>
      </c>
      <c r="F391" s="3" t="s">
        <v>3033</v>
      </c>
      <c r="G391" s="3" t="s">
        <v>3851</v>
      </c>
      <c r="H391" s="3" t="s">
        <v>6363</v>
      </c>
    </row>
    <row r="392" spans="1:8" x14ac:dyDescent="0.25">
      <c r="A392" s="3" t="s">
        <v>6983</v>
      </c>
      <c r="B392" s="3" t="s">
        <v>6992</v>
      </c>
      <c r="C392" s="3" t="s">
        <v>6985</v>
      </c>
      <c r="D392" s="3" t="s">
        <v>1120</v>
      </c>
      <c r="E392" s="3">
        <v>391</v>
      </c>
      <c r="F392" s="3" t="s">
        <v>1634</v>
      </c>
      <c r="G392" s="3" t="s">
        <v>20</v>
      </c>
      <c r="H392" s="3" t="str">
        <f>_xlfn.CONCAT("Output ",F392, ", data relayed from Weight Management System.")</f>
        <v>Output Calculation Flag, data relayed from Weight Management System.</v>
      </c>
    </row>
    <row r="393" spans="1:8" x14ac:dyDescent="0.25">
      <c r="A393" s="3" t="s">
        <v>6983</v>
      </c>
      <c r="B393" s="3" t="s">
        <v>6992</v>
      </c>
      <c r="C393" s="3" t="s">
        <v>6985</v>
      </c>
      <c r="D393" s="3" t="s">
        <v>1120</v>
      </c>
      <c r="E393" s="3">
        <v>392</v>
      </c>
      <c r="F393" s="3" t="s">
        <v>236</v>
      </c>
      <c r="G393" s="3" t="s">
        <v>1093</v>
      </c>
      <c r="H393" s="3" t="str">
        <f t="shared" ref="H393:H456" si="8">_xlfn.CONCAT("Output ",F393, ", data relayed from Weight Management System.")</f>
        <v>Output KG Margin, data relayed from Weight Management System.</v>
      </c>
    </row>
    <row r="394" spans="1:8" x14ac:dyDescent="0.25">
      <c r="A394" s="3" t="s">
        <v>6983</v>
      </c>
      <c r="B394" s="3" t="s">
        <v>6992</v>
      </c>
      <c r="C394" s="3" t="s">
        <v>6985</v>
      </c>
      <c r="D394" s="3" t="s">
        <v>1120</v>
      </c>
      <c r="E394" s="3">
        <v>393</v>
      </c>
      <c r="F394" s="3" t="s">
        <v>264</v>
      </c>
      <c r="G394" s="3" t="s">
        <v>1093</v>
      </c>
      <c r="H394" s="3" t="str">
        <f t="shared" si="8"/>
        <v>Output Predicted Draft, data relayed from Weight Management System.</v>
      </c>
    </row>
    <row r="395" spans="1:8" x14ac:dyDescent="0.25">
      <c r="A395" s="3" t="s">
        <v>6983</v>
      </c>
      <c r="B395" s="3" t="s">
        <v>6992</v>
      </c>
      <c r="C395" s="3" t="s">
        <v>6985</v>
      </c>
      <c r="D395" s="3" t="s">
        <v>1120</v>
      </c>
      <c r="E395" s="3">
        <v>394</v>
      </c>
      <c r="F395" s="3" t="s">
        <v>265</v>
      </c>
      <c r="G395" s="3" t="s">
        <v>4</v>
      </c>
      <c r="H395" s="3" t="str">
        <f t="shared" si="8"/>
        <v>Output Predicted Heel, data relayed from Weight Management System.</v>
      </c>
    </row>
    <row r="396" spans="1:8" x14ac:dyDescent="0.25">
      <c r="A396" s="3" t="s">
        <v>6983</v>
      </c>
      <c r="B396" s="3" t="s">
        <v>6992</v>
      </c>
      <c r="C396" s="3" t="s">
        <v>6985</v>
      </c>
      <c r="D396" s="3" t="s">
        <v>1120</v>
      </c>
      <c r="E396" s="3">
        <v>395</v>
      </c>
      <c r="F396" s="3" t="s">
        <v>266</v>
      </c>
      <c r="G396" s="3" t="s">
        <v>4</v>
      </c>
      <c r="H396" s="3" t="str">
        <f t="shared" si="8"/>
        <v>Output Predicted Trim, data relayed from Weight Management System.</v>
      </c>
    </row>
    <row r="397" spans="1:8" x14ac:dyDescent="0.25">
      <c r="A397" s="3" t="s">
        <v>6983</v>
      </c>
      <c r="B397" s="3" t="s">
        <v>6992</v>
      </c>
      <c r="C397" s="3" t="s">
        <v>6985</v>
      </c>
      <c r="D397" s="3" t="s">
        <v>1120</v>
      </c>
      <c r="E397" s="3">
        <v>396</v>
      </c>
      <c r="F397" s="3" t="s">
        <v>4170</v>
      </c>
      <c r="G397" s="3" t="s">
        <v>1100</v>
      </c>
      <c r="H397" s="3" t="str">
        <f t="shared" si="8"/>
        <v>Output Lightship Weight, data relayed from Weight Management System.</v>
      </c>
    </row>
    <row r="398" spans="1:8" x14ac:dyDescent="0.25">
      <c r="A398" s="3" t="s">
        <v>6983</v>
      </c>
      <c r="B398" s="3" t="s">
        <v>6992</v>
      </c>
      <c r="C398" s="3" t="s">
        <v>6985</v>
      </c>
      <c r="D398" s="3" t="s">
        <v>1120</v>
      </c>
      <c r="E398" s="3">
        <v>397</v>
      </c>
      <c r="F398" s="3" t="s">
        <v>2394</v>
      </c>
      <c r="G398" s="3" t="s">
        <v>1093</v>
      </c>
      <c r="H398" s="3" t="str">
        <f t="shared" si="8"/>
        <v>Output Lightship VCG, data relayed from Weight Management System.</v>
      </c>
    </row>
    <row r="399" spans="1:8" x14ac:dyDescent="0.25">
      <c r="A399" s="3" t="s">
        <v>6983</v>
      </c>
      <c r="B399" s="3" t="s">
        <v>6992</v>
      </c>
      <c r="C399" s="3" t="s">
        <v>6985</v>
      </c>
      <c r="D399" s="3" t="s">
        <v>1120</v>
      </c>
      <c r="E399" s="3">
        <v>398</v>
      </c>
      <c r="F399" s="3" t="s">
        <v>2395</v>
      </c>
      <c r="G399" s="3" t="s">
        <v>1093</v>
      </c>
      <c r="H399" s="3" t="str">
        <f t="shared" si="8"/>
        <v>Output Lightship CG EW, data relayed from Weight Management System.</v>
      </c>
    </row>
    <row r="400" spans="1:8" x14ac:dyDescent="0.25">
      <c r="A400" s="3" t="s">
        <v>6983</v>
      </c>
      <c r="B400" s="3" t="s">
        <v>6992</v>
      </c>
      <c r="C400" s="3" t="s">
        <v>6985</v>
      </c>
      <c r="D400" s="3" t="s">
        <v>1120</v>
      </c>
      <c r="E400" s="3">
        <v>399</v>
      </c>
      <c r="F400" s="3" t="s">
        <v>2396</v>
      </c>
      <c r="G400" s="3" t="s">
        <v>1093</v>
      </c>
      <c r="H400" s="3" t="str">
        <f t="shared" si="8"/>
        <v>Output Lightship CG NS, data relayed from Weight Management System.</v>
      </c>
    </row>
    <row r="401" spans="1:8" x14ac:dyDescent="0.25">
      <c r="A401" s="3" t="s">
        <v>6983</v>
      </c>
      <c r="B401" s="3" t="s">
        <v>6992</v>
      </c>
      <c r="C401" s="3" t="s">
        <v>6985</v>
      </c>
      <c r="D401" s="3" t="s">
        <v>1120</v>
      </c>
      <c r="E401" s="3">
        <v>400</v>
      </c>
      <c r="F401" s="3" t="s">
        <v>4171</v>
      </c>
      <c r="G401" s="3" t="s">
        <v>1101</v>
      </c>
      <c r="H401" s="3" t="str">
        <f t="shared" si="8"/>
        <v>Output Lightship Mt Vert HI, data relayed from Weight Management System.</v>
      </c>
    </row>
    <row r="402" spans="1:8" x14ac:dyDescent="0.25">
      <c r="A402" s="3" t="s">
        <v>6983</v>
      </c>
      <c r="B402" s="3" t="s">
        <v>6992</v>
      </c>
      <c r="C402" s="3" t="s">
        <v>6985</v>
      </c>
      <c r="D402" s="3" t="s">
        <v>1120</v>
      </c>
      <c r="E402" s="3">
        <v>401</v>
      </c>
      <c r="F402" s="3" t="s">
        <v>4172</v>
      </c>
      <c r="G402" s="3" t="s">
        <v>1101</v>
      </c>
      <c r="H402" s="3" t="str">
        <f t="shared" si="8"/>
        <v>Output Lightship Mt Vert LO, data relayed from Weight Management System.</v>
      </c>
    </row>
    <row r="403" spans="1:8" x14ac:dyDescent="0.25">
      <c r="A403" s="3" t="s">
        <v>6983</v>
      </c>
      <c r="B403" s="3" t="s">
        <v>6992</v>
      </c>
      <c r="C403" s="3" t="s">
        <v>6985</v>
      </c>
      <c r="D403" s="3" t="s">
        <v>1120</v>
      </c>
      <c r="E403" s="3">
        <v>402</v>
      </c>
      <c r="F403" s="3" t="s">
        <v>4173</v>
      </c>
      <c r="G403" s="3" t="s">
        <v>1101</v>
      </c>
      <c r="H403" s="3" t="str">
        <f t="shared" si="8"/>
        <v>Output Lightship Mt EW HI, data relayed from Weight Management System.</v>
      </c>
    </row>
    <row r="404" spans="1:8" x14ac:dyDescent="0.25">
      <c r="A404" s="3" t="s">
        <v>6983</v>
      </c>
      <c r="B404" s="3" t="s">
        <v>6992</v>
      </c>
      <c r="C404" s="3" t="s">
        <v>6985</v>
      </c>
      <c r="D404" s="3" t="s">
        <v>1120</v>
      </c>
      <c r="E404" s="3">
        <v>403</v>
      </c>
      <c r="F404" s="3" t="s">
        <v>4174</v>
      </c>
      <c r="G404" s="3" t="s">
        <v>1101</v>
      </c>
      <c r="H404" s="3" t="str">
        <f t="shared" si="8"/>
        <v>Output Lightship Mt EW LO, data relayed from Weight Management System.</v>
      </c>
    </row>
    <row r="405" spans="1:8" x14ac:dyDescent="0.25">
      <c r="A405" s="3" t="s">
        <v>6983</v>
      </c>
      <c r="B405" s="3" t="s">
        <v>6992</v>
      </c>
      <c r="C405" s="3" t="s">
        <v>6985</v>
      </c>
      <c r="D405" s="3" t="s">
        <v>1120</v>
      </c>
      <c r="E405" s="3">
        <v>404</v>
      </c>
      <c r="F405" s="3" t="s">
        <v>4175</v>
      </c>
      <c r="G405" s="3" t="s">
        <v>1101</v>
      </c>
      <c r="H405" s="3" t="str">
        <f t="shared" si="8"/>
        <v>Output Lightship Mt NS HI, data relayed from Weight Management System.</v>
      </c>
    </row>
    <row r="406" spans="1:8" x14ac:dyDescent="0.25">
      <c r="A406" s="3" t="s">
        <v>6983</v>
      </c>
      <c r="B406" s="3" t="s">
        <v>6992</v>
      </c>
      <c r="C406" s="3" t="s">
        <v>6985</v>
      </c>
      <c r="D406" s="3" t="s">
        <v>1120</v>
      </c>
      <c r="E406" s="3">
        <v>405</v>
      </c>
      <c r="F406" s="3" t="s">
        <v>4176</v>
      </c>
      <c r="G406" s="3" t="s">
        <v>1101</v>
      </c>
      <c r="H406" s="3" t="str">
        <f t="shared" si="8"/>
        <v>Output Lightship Mt NS LO, data relayed from Weight Management System.</v>
      </c>
    </row>
    <row r="407" spans="1:8" x14ac:dyDescent="0.25">
      <c r="A407" s="3" t="s">
        <v>6983</v>
      </c>
      <c r="B407" s="3" t="s">
        <v>6992</v>
      </c>
      <c r="C407" s="3" t="s">
        <v>6985</v>
      </c>
      <c r="D407" s="3" t="s">
        <v>1120</v>
      </c>
      <c r="E407" s="3">
        <v>406</v>
      </c>
      <c r="F407" s="3" t="s">
        <v>4177</v>
      </c>
      <c r="G407" s="3" t="s">
        <v>1100</v>
      </c>
      <c r="H407" s="3" t="str">
        <f t="shared" si="8"/>
        <v>Output Lightship Ch Weight, data relayed from Weight Management System.</v>
      </c>
    </row>
    <row r="408" spans="1:8" x14ac:dyDescent="0.25">
      <c r="A408" s="3" t="s">
        <v>6983</v>
      </c>
      <c r="B408" s="3" t="s">
        <v>6992</v>
      </c>
      <c r="C408" s="3" t="s">
        <v>6985</v>
      </c>
      <c r="D408" s="3" t="s">
        <v>1120</v>
      </c>
      <c r="E408" s="3">
        <v>407</v>
      </c>
      <c r="F408" s="3" t="s">
        <v>4178</v>
      </c>
      <c r="G408" s="3" t="s">
        <v>1093</v>
      </c>
      <c r="H408" s="3" t="str">
        <f t="shared" si="8"/>
        <v>Output Lightship Ch VCG, data relayed from Weight Management System.</v>
      </c>
    </row>
    <row r="409" spans="1:8" x14ac:dyDescent="0.25">
      <c r="A409" s="3" t="s">
        <v>6983</v>
      </c>
      <c r="B409" s="3" t="s">
        <v>6992</v>
      </c>
      <c r="C409" s="3" t="s">
        <v>6985</v>
      </c>
      <c r="D409" s="3" t="s">
        <v>1120</v>
      </c>
      <c r="E409" s="3">
        <v>408</v>
      </c>
      <c r="F409" s="3" t="s">
        <v>4179</v>
      </c>
      <c r="G409" s="3" t="s">
        <v>1093</v>
      </c>
      <c r="H409" s="3" t="str">
        <f t="shared" si="8"/>
        <v>Output Lightship Ch CG EW, data relayed from Weight Management System.</v>
      </c>
    </row>
    <row r="410" spans="1:8" x14ac:dyDescent="0.25">
      <c r="A410" s="3" t="s">
        <v>6983</v>
      </c>
      <c r="B410" s="3" t="s">
        <v>6992</v>
      </c>
      <c r="C410" s="3" t="s">
        <v>6985</v>
      </c>
      <c r="D410" s="3" t="s">
        <v>1120</v>
      </c>
      <c r="E410" s="3">
        <v>409</v>
      </c>
      <c r="F410" s="3" t="s">
        <v>4180</v>
      </c>
      <c r="G410" s="3" t="s">
        <v>1093</v>
      </c>
      <c r="H410" s="3" t="str">
        <f t="shared" si="8"/>
        <v>Output Lightship Ch CG NS, data relayed from Weight Management System.</v>
      </c>
    </row>
    <row r="411" spans="1:8" x14ac:dyDescent="0.25">
      <c r="A411" s="3" t="s">
        <v>6983</v>
      </c>
      <c r="B411" s="3" t="s">
        <v>6992</v>
      </c>
      <c r="C411" s="3" t="s">
        <v>6985</v>
      </c>
      <c r="D411" s="3" t="s">
        <v>1120</v>
      </c>
      <c r="E411" s="3">
        <v>410</v>
      </c>
      <c r="F411" s="3" t="s">
        <v>4181</v>
      </c>
      <c r="G411" s="3" t="s">
        <v>1101</v>
      </c>
      <c r="H411" s="3" t="str">
        <f t="shared" si="8"/>
        <v>Output Lightship Ch Mt Vert HI, data relayed from Weight Management System.</v>
      </c>
    </row>
    <row r="412" spans="1:8" x14ac:dyDescent="0.25">
      <c r="A412" s="3" t="s">
        <v>6983</v>
      </c>
      <c r="B412" s="3" t="s">
        <v>6992</v>
      </c>
      <c r="C412" s="3" t="s">
        <v>6985</v>
      </c>
      <c r="D412" s="3" t="s">
        <v>1120</v>
      </c>
      <c r="E412" s="3">
        <v>411</v>
      </c>
      <c r="F412" s="3" t="s">
        <v>4182</v>
      </c>
      <c r="G412" s="3" t="s">
        <v>1101</v>
      </c>
      <c r="H412" s="3" t="str">
        <f t="shared" si="8"/>
        <v>Output Lightship Ch Mt Vert LO, data relayed from Weight Management System.</v>
      </c>
    </row>
    <row r="413" spans="1:8" x14ac:dyDescent="0.25">
      <c r="A413" s="3" t="s">
        <v>6983</v>
      </c>
      <c r="B413" s="3" t="s">
        <v>6992</v>
      </c>
      <c r="C413" s="3" t="s">
        <v>6985</v>
      </c>
      <c r="D413" s="3" t="s">
        <v>1120</v>
      </c>
      <c r="E413" s="3">
        <v>412</v>
      </c>
      <c r="F413" s="3" t="s">
        <v>4183</v>
      </c>
      <c r="G413" s="3" t="s">
        <v>1101</v>
      </c>
      <c r="H413" s="3" t="str">
        <f t="shared" si="8"/>
        <v>Output Lightship Ch Mt EW HI, data relayed from Weight Management System.</v>
      </c>
    </row>
    <row r="414" spans="1:8" x14ac:dyDescent="0.25">
      <c r="A414" s="3" t="s">
        <v>6983</v>
      </c>
      <c r="B414" s="3" t="s">
        <v>6992</v>
      </c>
      <c r="C414" s="3" t="s">
        <v>6985</v>
      </c>
      <c r="D414" s="3" t="s">
        <v>1120</v>
      </c>
      <c r="E414" s="3">
        <v>413</v>
      </c>
      <c r="F414" s="3" t="s">
        <v>4184</v>
      </c>
      <c r="G414" s="3" t="s">
        <v>1101</v>
      </c>
      <c r="H414" s="3" t="str">
        <f t="shared" si="8"/>
        <v>Output Lightship Ch Mt EW LO, data relayed from Weight Management System.</v>
      </c>
    </row>
    <row r="415" spans="1:8" x14ac:dyDescent="0.25">
      <c r="A415" s="3" t="s">
        <v>6983</v>
      </c>
      <c r="B415" s="3" t="s">
        <v>6992</v>
      </c>
      <c r="C415" s="3" t="s">
        <v>6985</v>
      </c>
      <c r="D415" s="3" t="s">
        <v>1120</v>
      </c>
      <c r="E415" s="3">
        <v>414</v>
      </c>
      <c r="F415" s="3" t="s">
        <v>4185</v>
      </c>
      <c r="G415" s="3" t="s">
        <v>1101</v>
      </c>
      <c r="H415" s="3" t="str">
        <f t="shared" si="8"/>
        <v>Output Lightship Ch Mt NS HI, data relayed from Weight Management System.</v>
      </c>
    </row>
    <row r="416" spans="1:8" x14ac:dyDescent="0.25">
      <c r="A416" s="3" t="s">
        <v>6983</v>
      </c>
      <c r="B416" s="3" t="s">
        <v>6992</v>
      </c>
      <c r="C416" s="3" t="s">
        <v>6985</v>
      </c>
      <c r="D416" s="3" t="s">
        <v>1120</v>
      </c>
      <c r="E416" s="3">
        <v>415</v>
      </c>
      <c r="F416" s="3" t="s">
        <v>4186</v>
      </c>
      <c r="G416" s="3" t="s">
        <v>1101</v>
      </c>
      <c r="H416" s="3" t="str">
        <f t="shared" si="8"/>
        <v>Output Lightship Ch Mt NS LO, data relayed from Weight Management System.</v>
      </c>
    </row>
    <row r="417" spans="1:8" x14ac:dyDescent="0.25">
      <c r="A417" s="3" t="s">
        <v>6983</v>
      </c>
      <c r="B417" s="3" t="s">
        <v>6992</v>
      </c>
      <c r="C417" s="3" t="s">
        <v>6985</v>
      </c>
      <c r="D417" s="3" t="s">
        <v>1120</v>
      </c>
      <c r="E417" s="3">
        <v>416</v>
      </c>
      <c r="F417" s="3" t="s">
        <v>4187</v>
      </c>
      <c r="G417" s="3" t="s">
        <v>1100</v>
      </c>
      <c r="H417" s="3" t="str">
        <f t="shared" si="8"/>
        <v>Output Ballast Weight, data relayed from Weight Management System.</v>
      </c>
    </row>
    <row r="418" spans="1:8" x14ac:dyDescent="0.25">
      <c r="A418" s="3" t="s">
        <v>6983</v>
      </c>
      <c r="B418" s="3" t="s">
        <v>6992</v>
      </c>
      <c r="C418" s="3" t="s">
        <v>6985</v>
      </c>
      <c r="D418" s="3" t="s">
        <v>1120</v>
      </c>
      <c r="E418" s="3">
        <v>417</v>
      </c>
      <c r="F418" s="3" t="s">
        <v>2253</v>
      </c>
      <c r="G418" s="3" t="s">
        <v>1093</v>
      </c>
      <c r="H418" s="3" t="str">
        <f t="shared" si="8"/>
        <v>Output Ballast VCG, data relayed from Weight Management System.</v>
      </c>
    </row>
    <row r="419" spans="1:8" x14ac:dyDescent="0.25">
      <c r="A419" s="3" t="s">
        <v>6983</v>
      </c>
      <c r="B419" s="3" t="s">
        <v>6992</v>
      </c>
      <c r="C419" s="3" t="s">
        <v>6985</v>
      </c>
      <c r="D419" s="3" t="s">
        <v>1120</v>
      </c>
      <c r="E419" s="3">
        <v>418</v>
      </c>
      <c r="F419" s="3" t="s">
        <v>2254</v>
      </c>
      <c r="G419" s="3" t="s">
        <v>1093</v>
      </c>
      <c r="H419" s="3" t="str">
        <f t="shared" si="8"/>
        <v>Output Ballast CG EW, data relayed from Weight Management System.</v>
      </c>
    </row>
    <row r="420" spans="1:8" x14ac:dyDescent="0.25">
      <c r="A420" s="3" t="s">
        <v>6983</v>
      </c>
      <c r="B420" s="3" t="s">
        <v>6992</v>
      </c>
      <c r="C420" s="3" t="s">
        <v>6985</v>
      </c>
      <c r="D420" s="3" t="s">
        <v>1120</v>
      </c>
      <c r="E420" s="3">
        <v>419</v>
      </c>
      <c r="F420" s="3" t="s">
        <v>2255</v>
      </c>
      <c r="G420" s="3" t="s">
        <v>1093</v>
      </c>
      <c r="H420" s="3" t="str">
        <f t="shared" si="8"/>
        <v>Output Ballast CG NS, data relayed from Weight Management System.</v>
      </c>
    </row>
    <row r="421" spans="1:8" x14ac:dyDescent="0.25">
      <c r="A421" s="3" t="s">
        <v>6983</v>
      </c>
      <c r="B421" s="3" t="s">
        <v>6992</v>
      </c>
      <c r="C421" s="3" t="s">
        <v>6985</v>
      </c>
      <c r="D421" s="3" t="s">
        <v>1120</v>
      </c>
      <c r="E421" s="3">
        <v>420</v>
      </c>
      <c r="F421" s="3" t="s">
        <v>4188</v>
      </c>
      <c r="G421" s="3" t="s">
        <v>1101</v>
      </c>
      <c r="H421" s="3" t="str">
        <f t="shared" si="8"/>
        <v>Output Ballast Mt Vert HI, data relayed from Weight Management System.</v>
      </c>
    </row>
    <row r="422" spans="1:8" x14ac:dyDescent="0.25">
      <c r="A422" s="3" t="s">
        <v>6983</v>
      </c>
      <c r="B422" s="3" t="s">
        <v>6992</v>
      </c>
      <c r="C422" s="3" t="s">
        <v>6985</v>
      </c>
      <c r="D422" s="3" t="s">
        <v>1120</v>
      </c>
      <c r="E422" s="3">
        <v>421</v>
      </c>
      <c r="F422" s="3" t="s">
        <v>4189</v>
      </c>
      <c r="G422" s="3" t="s">
        <v>1101</v>
      </c>
      <c r="H422" s="3" t="str">
        <f t="shared" si="8"/>
        <v>Output Ballast Mt Vert LO, data relayed from Weight Management System.</v>
      </c>
    </row>
    <row r="423" spans="1:8" x14ac:dyDescent="0.25">
      <c r="A423" s="3" t="s">
        <v>6983</v>
      </c>
      <c r="B423" s="3" t="s">
        <v>6992</v>
      </c>
      <c r="C423" s="3" t="s">
        <v>6985</v>
      </c>
      <c r="D423" s="3" t="s">
        <v>1120</v>
      </c>
      <c r="E423" s="3">
        <v>422</v>
      </c>
      <c r="F423" s="3" t="s">
        <v>4190</v>
      </c>
      <c r="G423" s="3" t="s">
        <v>1101</v>
      </c>
      <c r="H423" s="3" t="str">
        <f t="shared" si="8"/>
        <v>Output Ballast Mt EW HI, data relayed from Weight Management System.</v>
      </c>
    </row>
    <row r="424" spans="1:8" x14ac:dyDescent="0.25">
      <c r="A424" s="3" t="s">
        <v>6983</v>
      </c>
      <c r="B424" s="3" t="s">
        <v>6992</v>
      </c>
      <c r="C424" s="3" t="s">
        <v>6985</v>
      </c>
      <c r="D424" s="3" t="s">
        <v>1120</v>
      </c>
      <c r="E424" s="3">
        <v>423</v>
      </c>
      <c r="F424" s="3" t="s">
        <v>4191</v>
      </c>
      <c r="G424" s="3" t="s">
        <v>1101</v>
      </c>
      <c r="H424" s="3" t="str">
        <f t="shared" si="8"/>
        <v>Output Ballast Mt EW LO, data relayed from Weight Management System.</v>
      </c>
    </row>
    <row r="425" spans="1:8" x14ac:dyDescent="0.25">
      <c r="A425" s="3" t="s">
        <v>6983</v>
      </c>
      <c r="B425" s="3" t="s">
        <v>6992</v>
      </c>
      <c r="C425" s="3" t="s">
        <v>6985</v>
      </c>
      <c r="D425" s="3" t="s">
        <v>1120</v>
      </c>
      <c r="E425" s="3">
        <v>424</v>
      </c>
      <c r="F425" s="3" t="s">
        <v>4192</v>
      </c>
      <c r="G425" s="3" t="s">
        <v>1101</v>
      </c>
      <c r="H425" s="3" t="str">
        <f t="shared" si="8"/>
        <v>Output Ballast Mt NS HI, data relayed from Weight Management System.</v>
      </c>
    </row>
    <row r="426" spans="1:8" x14ac:dyDescent="0.25">
      <c r="A426" s="3" t="s">
        <v>6983</v>
      </c>
      <c r="B426" s="3" t="s">
        <v>6992</v>
      </c>
      <c r="C426" s="3" t="s">
        <v>6985</v>
      </c>
      <c r="D426" s="3" t="s">
        <v>1120</v>
      </c>
      <c r="E426" s="3">
        <v>425</v>
      </c>
      <c r="F426" s="3" t="s">
        <v>4193</v>
      </c>
      <c r="G426" s="3" t="s">
        <v>1101</v>
      </c>
      <c r="H426" s="3" t="str">
        <f t="shared" si="8"/>
        <v>Output Ballast Mt NS LO, data relayed from Weight Management System.</v>
      </c>
    </row>
    <row r="427" spans="1:8" x14ac:dyDescent="0.25">
      <c r="A427" s="3" t="s">
        <v>6983</v>
      </c>
      <c r="B427" s="3" t="s">
        <v>6992</v>
      </c>
      <c r="C427" s="3" t="s">
        <v>6985</v>
      </c>
      <c r="D427" s="3" t="s">
        <v>1120</v>
      </c>
      <c r="E427" s="3">
        <v>426</v>
      </c>
      <c r="F427" s="3" t="s">
        <v>4194</v>
      </c>
      <c r="G427" s="3" t="s">
        <v>1101</v>
      </c>
      <c r="H427" s="3" t="str">
        <f t="shared" si="8"/>
        <v>Output Ballast FS Mt EW HI, data relayed from Weight Management System.</v>
      </c>
    </row>
    <row r="428" spans="1:8" x14ac:dyDescent="0.25">
      <c r="A428" s="3" t="s">
        <v>6983</v>
      </c>
      <c r="B428" s="3" t="s">
        <v>6992</v>
      </c>
      <c r="C428" s="3" t="s">
        <v>6985</v>
      </c>
      <c r="D428" s="3" t="s">
        <v>1120</v>
      </c>
      <c r="E428" s="3">
        <v>427</v>
      </c>
      <c r="F428" s="3" t="s">
        <v>4195</v>
      </c>
      <c r="G428" s="3" t="s">
        <v>1101</v>
      </c>
      <c r="H428" s="3" t="str">
        <f t="shared" si="8"/>
        <v>Output Ballast FS Mt EW LO, data relayed from Weight Management System.</v>
      </c>
    </row>
    <row r="429" spans="1:8" x14ac:dyDescent="0.25">
      <c r="A429" s="3" t="s">
        <v>6983</v>
      </c>
      <c r="B429" s="3" t="s">
        <v>6992</v>
      </c>
      <c r="C429" s="3" t="s">
        <v>6985</v>
      </c>
      <c r="D429" s="3" t="s">
        <v>1120</v>
      </c>
      <c r="E429" s="3">
        <v>428</v>
      </c>
      <c r="F429" s="3" t="s">
        <v>4196</v>
      </c>
      <c r="G429" s="3" t="s">
        <v>1101</v>
      </c>
      <c r="H429" s="3" t="str">
        <f t="shared" si="8"/>
        <v>Output Ballast FS Mt NS HI, data relayed from Weight Management System.</v>
      </c>
    </row>
    <row r="430" spans="1:8" x14ac:dyDescent="0.25">
      <c r="A430" s="3" t="s">
        <v>6983</v>
      </c>
      <c r="B430" s="3" t="s">
        <v>6992</v>
      </c>
      <c r="C430" s="3" t="s">
        <v>6985</v>
      </c>
      <c r="D430" s="3" t="s">
        <v>1120</v>
      </c>
      <c r="E430" s="3">
        <v>429</v>
      </c>
      <c r="F430" s="3" t="s">
        <v>4197</v>
      </c>
      <c r="G430" s="3" t="s">
        <v>1101</v>
      </c>
      <c r="H430" s="3" t="str">
        <f t="shared" si="8"/>
        <v>Output Ballast FS Mt NS LO, data relayed from Weight Management System.</v>
      </c>
    </row>
    <row r="431" spans="1:8" x14ac:dyDescent="0.25">
      <c r="A431" s="3" t="s">
        <v>6983</v>
      </c>
      <c r="B431" s="3" t="s">
        <v>6992</v>
      </c>
      <c r="C431" s="3" t="s">
        <v>6985</v>
      </c>
      <c r="D431" s="3" t="s">
        <v>1120</v>
      </c>
      <c r="E431" s="3">
        <v>430</v>
      </c>
      <c r="F431" s="3" t="s">
        <v>4198</v>
      </c>
      <c r="G431" s="3" t="s">
        <v>1100</v>
      </c>
      <c r="H431" s="3" t="str">
        <f t="shared" si="8"/>
        <v>Output Diesel Oil Weight, data relayed from Weight Management System.</v>
      </c>
    </row>
    <row r="432" spans="1:8" x14ac:dyDescent="0.25">
      <c r="A432" s="3" t="s">
        <v>6983</v>
      </c>
      <c r="B432" s="3" t="s">
        <v>6992</v>
      </c>
      <c r="C432" s="3" t="s">
        <v>6985</v>
      </c>
      <c r="D432" s="3" t="s">
        <v>1120</v>
      </c>
      <c r="E432" s="3">
        <v>431</v>
      </c>
      <c r="F432" s="3" t="s">
        <v>4199</v>
      </c>
      <c r="G432" s="3" t="s">
        <v>1093</v>
      </c>
      <c r="H432" s="3" t="str">
        <f t="shared" si="8"/>
        <v>Output Diesel Oil VCG, data relayed from Weight Management System.</v>
      </c>
    </row>
    <row r="433" spans="1:8" x14ac:dyDescent="0.25">
      <c r="A433" s="3" t="s">
        <v>6983</v>
      </c>
      <c r="B433" s="3" t="s">
        <v>6992</v>
      </c>
      <c r="C433" s="3" t="s">
        <v>6985</v>
      </c>
      <c r="D433" s="3" t="s">
        <v>1120</v>
      </c>
      <c r="E433" s="3">
        <v>432</v>
      </c>
      <c r="F433" s="3" t="s">
        <v>4200</v>
      </c>
      <c r="G433" s="3" t="s">
        <v>1093</v>
      </c>
      <c r="H433" s="3" t="str">
        <f t="shared" si="8"/>
        <v>Output Diesel Oil CG EW, data relayed from Weight Management System.</v>
      </c>
    </row>
    <row r="434" spans="1:8" x14ac:dyDescent="0.25">
      <c r="A434" s="3" t="s">
        <v>6983</v>
      </c>
      <c r="B434" s="3" t="s">
        <v>6992</v>
      </c>
      <c r="C434" s="3" t="s">
        <v>6985</v>
      </c>
      <c r="D434" s="3" t="s">
        <v>1120</v>
      </c>
      <c r="E434" s="3">
        <v>433</v>
      </c>
      <c r="F434" s="3" t="s">
        <v>4201</v>
      </c>
      <c r="G434" s="3" t="s">
        <v>1093</v>
      </c>
      <c r="H434" s="3" t="str">
        <f t="shared" si="8"/>
        <v>Output Diesel Oil CG NS, data relayed from Weight Management System.</v>
      </c>
    </row>
    <row r="435" spans="1:8" x14ac:dyDescent="0.25">
      <c r="A435" s="3" t="s">
        <v>6983</v>
      </c>
      <c r="B435" s="3" t="s">
        <v>6992</v>
      </c>
      <c r="C435" s="3" t="s">
        <v>6985</v>
      </c>
      <c r="D435" s="3" t="s">
        <v>1120</v>
      </c>
      <c r="E435" s="3">
        <v>434</v>
      </c>
      <c r="F435" s="3" t="s">
        <v>4202</v>
      </c>
      <c r="G435" s="3" t="s">
        <v>1101</v>
      </c>
      <c r="H435" s="3" t="str">
        <f t="shared" si="8"/>
        <v>Output Diesel Oil Mt Vert HI, data relayed from Weight Management System.</v>
      </c>
    </row>
    <row r="436" spans="1:8" x14ac:dyDescent="0.25">
      <c r="A436" s="3" t="s">
        <v>6983</v>
      </c>
      <c r="B436" s="3" t="s">
        <v>6992</v>
      </c>
      <c r="C436" s="3" t="s">
        <v>6985</v>
      </c>
      <c r="D436" s="3" t="s">
        <v>1120</v>
      </c>
      <c r="E436" s="3">
        <v>435</v>
      </c>
      <c r="F436" s="3" t="s">
        <v>4203</v>
      </c>
      <c r="G436" s="3" t="s">
        <v>1101</v>
      </c>
      <c r="H436" s="3" t="str">
        <f t="shared" si="8"/>
        <v>Output Diesel Oil Mt Vert LO, data relayed from Weight Management System.</v>
      </c>
    </row>
    <row r="437" spans="1:8" x14ac:dyDescent="0.25">
      <c r="A437" s="3" t="s">
        <v>6983</v>
      </c>
      <c r="B437" s="3" t="s">
        <v>6992</v>
      </c>
      <c r="C437" s="3" t="s">
        <v>6985</v>
      </c>
      <c r="D437" s="3" t="s">
        <v>1120</v>
      </c>
      <c r="E437" s="3">
        <v>436</v>
      </c>
      <c r="F437" s="3" t="s">
        <v>4204</v>
      </c>
      <c r="G437" s="3" t="s">
        <v>1101</v>
      </c>
      <c r="H437" s="3" t="str">
        <f t="shared" si="8"/>
        <v>Output Diesel Oil Mt EW HI, data relayed from Weight Management System.</v>
      </c>
    </row>
    <row r="438" spans="1:8" x14ac:dyDescent="0.25">
      <c r="A438" s="3" t="s">
        <v>6983</v>
      </c>
      <c r="B438" s="3" t="s">
        <v>6992</v>
      </c>
      <c r="C438" s="3" t="s">
        <v>6985</v>
      </c>
      <c r="D438" s="3" t="s">
        <v>1120</v>
      </c>
      <c r="E438" s="3">
        <v>437</v>
      </c>
      <c r="F438" s="3" t="s">
        <v>4205</v>
      </c>
      <c r="G438" s="3" t="s">
        <v>1101</v>
      </c>
      <c r="H438" s="3" t="str">
        <f t="shared" si="8"/>
        <v>Output Diesel Oil Mt EW LO, data relayed from Weight Management System.</v>
      </c>
    </row>
    <row r="439" spans="1:8" x14ac:dyDescent="0.25">
      <c r="A439" s="3" t="s">
        <v>6983</v>
      </c>
      <c r="B439" s="3" t="s">
        <v>6992</v>
      </c>
      <c r="C439" s="3" t="s">
        <v>6985</v>
      </c>
      <c r="D439" s="3" t="s">
        <v>1120</v>
      </c>
      <c r="E439" s="3">
        <v>438</v>
      </c>
      <c r="F439" s="3" t="s">
        <v>4206</v>
      </c>
      <c r="G439" s="3" t="s">
        <v>1101</v>
      </c>
      <c r="H439" s="3" t="str">
        <f t="shared" si="8"/>
        <v>Output Diesel Oil Mt NS, data relayed from Weight Management System.</v>
      </c>
    </row>
    <row r="440" spans="1:8" x14ac:dyDescent="0.25">
      <c r="A440" s="3" t="s">
        <v>6983</v>
      </c>
      <c r="B440" s="3" t="s">
        <v>6992</v>
      </c>
      <c r="C440" s="3" t="s">
        <v>6985</v>
      </c>
      <c r="D440" s="3" t="s">
        <v>1120</v>
      </c>
      <c r="E440" s="3">
        <v>439</v>
      </c>
      <c r="F440" s="3" t="s">
        <v>4207</v>
      </c>
      <c r="G440" s="3" t="s">
        <v>1101</v>
      </c>
      <c r="H440" s="3" t="str">
        <f t="shared" si="8"/>
        <v>Output Diesel Oil FS Mt EW HI, data relayed from Weight Management System.</v>
      </c>
    </row>
    <row r="441" spans="1:8" x14ac:dyDescent="0.25">
      <c r="A441" s="3" t="s">
        <v>6983</v>
      </c>
      <c r="B441" s="3" t="s">
        <v>6992</v>
      </c>
      <c r="C441" s="3" t="s">
        <v>6985</v>
      </c>
      <c r="D441" s="3" t="s">
        <v>1120</v>
      </c>
      <c r="E441" s="3">
        <v>440</v>
      </c>
      <c r="F441" s="3" t="s">
        <v>4208</v>
      </c>
      <c r="G441" s="3" t="s">
        <v>1101</v>
      </c>
      <c r="H441" s="3" t="str">
        <f t="shared" si="8"/>
        <v>Output Diesel Oil FS Mt EW LO, data relayed from Weight Management System.</v>
      </c>
    </row>
    <row r="442" spans="1:8" x14ac:dyDescent="0.25">
      <c r="A442" s="3" t="s">
        <v>6983</v>
      </c>
      <c r="B442" s="3" t="s">
        <v>6992</v>
      </c>
      <c r="C442" s="3" t="s">
        <v>6985</v>
      </c>
      <c r="D442" s="3" t="s">
        <v>1120</v>
      </c>
      <c r="E442" s="3">
        <v>441</v>
      </c>
      <c r="F442" s="3" t="s">
        <v>4209</v>
      </c>
      <c r="G442" s="3" t="s">
        <v>1101</v>
      </c>
      <c r="H442" s="3" t="str">
        <f t="shared" si="8"/>
        <v>Output Diesel Oil FS Mt NS HI, data relayed from Weight Management System.</v>
      </c>
    </row>
    <row r="443" spans="1:8" x14ac:dyDescent="0.25">
      <c r="A443" s="3" t="s">
        <v>6983</v>
      </c>
      <c r="B443" s="3" t="s">
        <v>6992</v>
      </c>
      <c r="C443" s="3" t="s">
        <v>6985</v>
      </c>
      <c r="D443" s="3" t="s">
        <v>1120</v>
      </c>
      <c r="E443" s="3">
        <v>442</v>
      </c>
      <c r="F443" s="3" t="s">
        <v>4210</v>
      </c>
      <c r="G443" s="3" t="s">
        <v>1101</v>
      </c>
      <c r="H443" s="3" t="str">
        <f t="shared" si="8"/>
        <v>Output Diesel Oil FS Mt NS LO, data relayed from Weight Management System.</v>
      </c>
    </row>
    <row r="444" spans="1:8" x14ac:dyDescent="0.25">
      <c r="A444" s="3" t="s">
        <v>6983</v>
      </c>
      <c r="B444" s="3" t="s">
        <v>6992</v>
      </c>
      <c r="C444" s="3" t="s">
        <v>6985</v>
      </c>
      <c r="D444" s="3" t="s">
        <v>1120</v>
      </c>
      <c r="E444" s="3">
        <v>443</v>
      </c>
      <c r="F444" s="3" t="s">
        <v>4211</v>
      </c>
      <c r="G444" s="3" t="s">
        <v>1100</v>
      </c>
      <c r="H444" s="3" t="str">
        <f t="shared" si="8"/>
        <v>Output Drill Water Weight, data relayed from Weight Management System.</v>
      </c>
    </row>
    <row r="445" spans="1:8" x14ac:dyDescent="0.25">
      <c r="A445" s="3" t="s">
        <v>6983</v>
      </c>
      <c r="B445" s="3" t="s">
        <v>6992</v>
      </c>
      <c r="C445" s="3" t="s">
        <v>6985</v>
      </c>
      <c r="D445" s="3" t="s">
        <v>1120</v>
      </c>
      <c r="E445" s="3">
        <v>444</v>
      </c>
      <c r="F445" s="3" t="s">
        <v>4212</v>
      </c>
      <c r="G445" s="3" t="s">
        <v>1093</v>
      </c>
      <c r="H445" s="3" t="str">
        <f t="shared" si="8"/>
        <v>Output Drill Water VCG, data relayed from Weight Management System.</v>
      </c>
    </row>
    <row r="446" spans="1:8" x14ac:dyDescent="0.25">
      <c r="A446" s="3" t="s">
        <v>6983</v>
      </c>
      <c r="B446" s="3" t="s">
        <v>6992</v>
      </c>
      <c r="C446" s="3" t="s">
        <v>6985</v>
      </c>
      <c r="D446" s="3" t="s">
        <v>1120</v>
      </c>
      <c r="E446" s="3">
        <v>445</v>
      </c>
      <c r="F446" s="3" t="s">
        <v>4213</v>
      </c>
      <c r="G446" s="3" t="s">
        <v>1093</v>
      </c>
      <c r="H446" s="3" t="str">
        <f t="shared" si="8"/>
        <v>Output Drill Water CG EW, data relayed from Weight Management System.</v>
      </c>
    </row>
    <row r="447" spans="1:8" x14ac:dyDescent="0.25">
      <c r="A447" s="3" t="s">
        <v>6983</v>
      </c>
      <c r="B447" s="3" t="s">
        <v>6992</v>
      </c>
      <c r="C447" s="3" t="s">
        <v>6985</v>
      </c>
      <c r="D447" s="3" t="s">
        <v>1120</v>
      </c>
      <c r="E447" s="3">
        <v>446</v>
      </c>
      <c r="F447" s="3" t="s">
        <v>4214</v>
      </c>
      <c r="G447" s="3" t="s">
        <v>1093</v>
      </c>
      <c r="H447" s="3" t="str">
        <f t="shared" si="8"/>
        <v>Output Drill Water CG NS, data relayed from Weight Management System.</v>
      </c>
    </row>
    <row r="448" spans="1:8" x14ac:dyDescent="0.25">
      <c r="A448" s="3" t="s">
        <v>6983</v>
      </c>
      <c r="B448" s="3" t="s">
        <v>6992</v>
      </c>
      <c r="C448" s="3" t="s">
        <v>6985</v>
      </c>
      <c r="D448" s="3" t="s">
        <v>1120</v>
      </c>
      <c r="E448" s="3">
        <v>447</v>
      </c>
      <c r="F448" s="3" t="s">
        <v>4215</v>
      </c>
      <c r="G448" s="3" t="s">
        <v>1101</v>
      </c>
      <c r="H448" s="3" t="str">
        <f t="shared" si="8"/>
        <v>Output Drill Water Mt Vert HI, data relayed from Weight Management System.</v>
      </c>
    </row>
    <row r="449" spans="1:8" x14ac:dyDescent="0.25">
      <c r="A449" s="3" t="s">
        <v>6983</v>
      </c>
      <c r="B449" s="3" t="s">
        <v>6992</v>
      </c>
      <c r="C449" s="3" t="s">
        <v>6985</v>
      </c>
      <c r="D449" s="3" t="s">
        <v>1120</v>
      </c>
      <c r="E449" s="3">
        <v>448</v>
      </c>
      <c r="F449" s="3" t="s">
        <v>4216</v>
      </c>
      <c r="G449" s="3" t="s">
        <v>1101</v>
      </c>
      <c r="H449" s="3" t="str">
        <f t="shared" si="8"/>
        <v>Output Drill Water Mt Vert LO, data relayed from Weight Management System.</v>
      </c>
    </row>
    <row r="450" spans="1:8" x14ac:dyDescent="0.25">
      <c r="A450" s="3" t="s">
        <v>6983</v>
      </c>
      <c r="B450" s="3" t="s">
        <v>6992</v>
      </c>
      <c r="C450" s="3" t="s">
        <v>6985</v>
      </c>
      <c r="D450" s="3" t="s">
        <v>1120</v>
      </c>
      <c r="E450" s="3">
        <v>449</v>
      </c>
      <c r="F450" s="3" t="s">
        <v>4217</v>
      </c>
      <c r="G450" s="3" t="s">
        <v>1101</v>
      </c>
      <c r="H450" s="3" t="str">
        <f t="shared" si="8"/>
        <v>Output Drill Water Mt EW HI, data relayed from Weight Management System.</v>
      </c>
    </row>
    <row r="451" spans="1:8" x14ac:dyDescent="0.25">
      <c r="A451" s="3" t="s">
        <v>6983</v>
      </c>
      <c r="B451" s="3" t="s">
        <v>6992</v>
      </c>
      <c r="C451" s="3" t="s">
        <v>6985</v>
      </c>
      <c r="D451" s="3" t="s">
        <v>1120</v>
      </c>
      <c r="E451" s="3">
        <v>450</v>
      </c>
      <c r="F451" s="3" t="s">
        <v>4218</v>
      </c>
      <c r="G451" s="3" t="s">
        <v>1101</v>
      </c>
      <c r="H451" s="3" t="str">
        <f t="shared" si="8"/>
        <v>Output Drill Water Mt EW LO, data relayed from Weight Management System.</v>
      </c>
    </row>
    <row r="452" spans="1:8" x14ac:dyDescent="0.25">
      <c r="A452" s="3" t="s">
        <v>6983</v>
      </c>
      <c r="B452" s="3" t="s">
        <v>6992</v>
      </c>
      <c r="C452" s="3" t="s">
        <v>6985</v>
      </c>
      <c r="D452" s="3" t="s">
        <v>1120</v>
      </c>
      <c r="E452" s="3">
        <v>451</v>
      </c>
      <c r="F452" s="3" t="s">
        <v>4219</v>
      </c>
      <c r="G452" s="3" t="s">
        <v>1101</v>
      </c>
      <c r="H452" s="3" t="str">
        <f t="shared" si="8"/>
        <v>Output Drill Water Mt NS HI, data relayed from Weight Management System.</v>
      </c>
    </row>
    <row r="453" spans="1:8" x14ac:dyDescent="0.25">
      <c r="A453" s="3" t="s">
        <v>6983</v>
      </c>
      <c r="B453" s="3" t="s">
        <v>6992</v>
      </c>
      <c r="C453" s="3" t="s">
        <v>6985</v>
      </c>
      <c r="D453" s="3" t="s">
        <v>1120</v>
      </c>
      <c r="E453" s="3">
        <v>452</v>
      </c>
      <c r="F453" s="3" t="s">
        <v>4220</v>
      </c>
      <c r="G453" s="3" t="s">
        <v>1101</v>
      </c>
      <c r="H453" s="3" t="str">
        <f t="shared" si="8"/>
        <v>Output Drill Water Mt NS LO, data relayed from Weight Management System.</v>
      </c>
    </row>
    <row r="454" spans="1:8" x14ac:dyDescent="0.25">
      <c r="A454" s="3" t="s">
        <v>6983</v>
      </c>
      <c r="B454" s="3" t="s">
        <v>6992</v>
      </c>
      <c r="C454" s="3" t="s">
        <v>6985</v>
      </c>
      <c r="D454" s="3" t="s">
        <v>1120</v>
      </c>
      <c r="E454" s="3">
        <v>453</v>
      </c>
      <c r="F454" s="3" t="s">
        <v>4221</v>
      </c>
      <c r="G454" s="3" t="s">
        <v>1101</v>
      </c>
      <c r="H454" s="3" t="str">
        <f t="shared" si="8"/>
        <v>Output Drill Water FS Mt EW HI, data relayed from Weight Management System.</v>
      </c>
    </row>
    <row r="455" spans="1:8" x14ac:dyDescent="0.25">
      <c r="A455" s="3" t="s">
        <v>6983</v>
      </c>
      <c r="B455" s="3" t="s">
        <v>6992</v>
      </c>
      <c r="C455" s="3" t="s">
        <v>6985</v>
      </c>
      <c r="D455" s="3" t="s">
        <v>1120</v>
      </c>
      <c r="E455" s="3">
        <v>454</v>
      </c>
      <c r="F455" s="3" t="s">
        <v>4222</v>
      </c>
      <c r="G455" s="3" t="s">
        <v>1101</v>
      </c>
      <c r="H455" s="3" t="str">
        <f t="shared" si="8"/>
        <v>Output Drill Water FS Mt EW LO, data relayed from Weight Management System.</v>
      </c>
    </row>
    <row r="456" spans="1:8" x14ac:dyDescent="0.25">
      <c r="A456" s="3" t="s">
        <v>6983</v>
      </c>
      <c r="B456" s="3" t="s">
        <v>6992</v>
      </c>
      <c r="C456" s="3" t="s">
        <v>6985</v>
      </c>
      <c r="D456" s="3" t="s">
        <v>1120</v>
      </c>
      <c r="E456" s="3">
        <v>455</v>
      </c>
      <c r="F456" s="3" t="s">
        <v>4223</v>
      </c>
      <c r="G456" s="3" t="s">
        <v>1101</v>
      </c>
      <c r="H456" s="3" t="str">
        <f t="shared" si="8"/>
        <v>Output Drill Water FS Mt NS HI, data relayed from Weight Management System.</v>
      </c>
    </row>
    <row r="457" spans="1:8" x14ac:dyDescent="0.25">
      <c r="A457" s="3" t="s">
        <v>6983</v>
      </c>
      <c r="B457" s="3" t="s">
        <v>6992</v>
      </c>
      <c r="C457" s="3" t="s">
        <v>6985</v>
      </c>
      <c r="D457" s="3" t="s">
        <v>1120</v>
      </c>
      <c r="E457" s="3">
        <v>456</v>
      </c>
      <c r="F457" s="3" t="s">
        <v>4224</v>
      </c>
      <c r="G457" s="3" t="s">
        <v>1101</v>
      </c>
      <c r="H457" s="3" t="str">
        <f t="shared" ref="H457:H520" si="9">_xlfn.CONCAT("Output ",F457, ", data relayed from Weight Management System.")</f>
        <v>Output Drill Water FS Mt NS LO, data relayed from Weight Management System.</v>
      </c>
    </row>
    <row r="458" spans="1:8" x14ac:dyDescent="0.25">
      <c r="A458" s="3" t="s">
        <v>6983</v>
      </c>
      <c r="B458" s="3" t="s">
        <v>6992</v>
      </c>
      <c r="C458" s="3" t="s">
        <v>6985</v>
      </c>
      <c r="D458" s="3" t="s">
        <v>1120</v>
      </c>
      <c r="E458" s="3">
        <v>457</v>
      </c>
      <c r="F458" s="3" t="s">
        <v>4225</v>
      </c>
      <c r="G458" s="3" t="s">
        <v>1100</v>
      </c>
      <c r="H458" s="3" t="str">
        <f t="shared" si="9"/>
        <v>Output Methanol Weight, data relayed from Weight Management System.</v>
      </c>
    </row>
    <row r="459" spans="1:8" x14ac:dyDescent="0.25">
      <c r="A459" s="3" t="s">
        <v>6983</v>
      </c>
      <c r="B459" s="3" t="s">
        <v>6992</v>
      </c>
      <c r="C459" s="3" t="s">
        <v>6985</v>
      </c>
      <c r="D459" s="3" t="s">
        <v>1120</v>
      </c>
      <c r="E459" s="3">
        <v>458</v>
      </c>
      <c r="F459" s="3" t="s">
        <v>4226</v>
      </c>
      <c r="G459" s="3" t="s">
        <v>1093</v>
      </c>
      <c r="H459" s="3" t="str">
        <f t="shared" si="9"/>
        <v>Output Methanol VCG, data relayed from Weight Management System.</v>
      </c>
    </row>
    <row r="460" spans="1:8" x14ac:dyDescent="0.25">
      <c r="A460" s="3" t="s">
        <v>6983</v>
      </c>
      <c r="B460" s="3" t="s">
        <v>6992</v>
      </c>
      <c r="C460" s="3" t="s">
        <v>6985</v>
      </c>
      <c r="D460" s="3" t="s">
        <v>1120</v>
      </c>
      <c r="E460" s="3">
        <v>459</v>
      </c>
      <c r="F460" s="3" t="s">
        <v>4227</v>
      </c>
      <c r="G460" s="3" t="s">
        <v>1093</v>
      </c>
      <c r="H460" s="3" t="str">
        <f t="shared" si="9"/>
        <v>Output Methanol CG EW, data relayed from Weight Management System.</v>
      </c>
    </row>
    <row r="461" spans="1:8" x14ac:dyDescent="0.25">
      <c r="A461" s="3" t="s">
        <v>6983</v>
      </c>
      <c r="B461" s="3" t="s">
        <v>6992</v>
      </c>
      <c r="C461" s="3" t="s">
        <v>6985</v>
      </c>
      <c r="D461" s="3" t="s">
        <v>1120</v>
      </c>
      <c r="E461" s="3">
        <v>460</v>
      </c>
      <c r="F461" s="3" t="s">
        <v>4228</v>
      </c>
      <c r="G461" s="3" t="s">
        <v>1093</v>
      </c>
      <c r="H461" s="3" t="str">
        <f t="shared" si="9"/>
        <v>Output Methanol CG NS, data relayed from Weight Management System.</v>
      </c>
    </row>
    <row r="462" spans="1:8" x14ac:dyDescent="0.25">
      <c r="A462" s="3" t="s">
        <v>6983</v>
      </c>
      <c r="B462" s="3" t="s">
        <v>6992</v>
      </c>
      <c r="C462" s="3" t="s">
        <v>6985</v>
      </c>
      <c r="D462" s="3" t="s">
        <v>1120</v>
      </c>
      <c r="E462" s="3">
        <v>461</v>
      </c>
      <c r="F462" s="3" t="s">
        <v>4229</v>
      </c>
      <c r="G462" s="3" t="s">
        <v>1101</v>
      </c>
      <c r="H462" s="3" t="str">
        <f t="shared" si="9"/>
        <v>Output Methanol Mt Vert HI, data relayed from Weight Management System.</v>
      </c>
    </row>
    <row r="463" spans="1:8" x14ac:dyDescent="0.25">
      <c r="A463" s="3" t="s">
        <v>6983</v>
      </c>
      <c r="B463" s="3" t="s">
        <v>6992</v>
      </c>
      <c r="C463" s="3" t="s">
        <v>6985</v>
      </c>
      <c r="D463" s="3" t="s">
        <v>1120</v>
      </c>
      <c r="E463" s="3">
        <v>462</v>
      </c>
      <c r="F463" s="3" t="s">
        <v>4230</v>
      </c>
      <c r="G463" s="3" t="s">
        <v>1101</v>
      </c>
      <c r="H463" s="3" t="str">
        <f t="shared" si="9"/>
        <v>Output Methanol Mt Vert LO, data relayed from Weight Management System.</v>
      </c>
    </row>
    <row r="464" spans="1:8" x14ac:dyDescent="0.25">
      <c r="A464" s="3" t="s">
        <v>6983</v>
      </c>
      <c r="B464" s="3" t="s">
        <v>6992</v>
      </c>
      <c r="C464" s="3" t="s">
        <v>6985</v>
      </c>
      <c r="D464" s="3" t="s">
        <v>1120</v>
      </c>
      <c r="E464" s="3">
        <v>463</v>
      </c>
      <c r="F464" s="3" t="s">
        <v>4231</v>
      </c>
      <c r="G464" s="3" t="s">
        <v>1101</v>
      </c>
      <c r="H464" s="3" t="str">
        <f t="shared" si="9"/>
        <v>Output Methanol Mt EW HI, data relayed from Weight Management System.</v>
      </c>
    </row>
    <row r="465" spans="1:8" x14ac:dyDescent="0.25">
      <c r="A465" s="3" t="s">
        <v>6983</v>
      </c>
      <c r="B465" s="3" t="s">
        <v>6992</v>
      </c>
      <c r="C465" s="3" t="s">
        <v>6985</v>
      </c>
      <c r="D465" s="3" t="s">
        <v>1120</v>
      </c>
      <c r="E465" s="3">
        <v>464</v>
      </c>
      <c r="F465" s="3" t="s">
        <v>4232</v>
      </c>
      <c r="G465" s="3" t="s">
        <v>1101</v>
      </c>
      <c r="H465" s="3" t="str">
        <f t="shared" si="9"/>
        <v>Output Methanol Mt EW LO, data relayed from Weight Management System.</v>
      </c>
    </row>
    <row r="466" spans="1:8" x14ac:dyDescent="0.25">
      <c r="A466" s="3" t="s">
        <v>6983</v>
      </c>
      <c r="B466" s="3" t="s">
        <v>6992</v>
      </c>
      <c r="C466" s="3" t="s">
        <v>6985</v>
      </c>
      <c r="D466" s="3" t="s">
        <v>1120</v>
      </c>
      <c r="E466" s="3">
        <v>465</v>
      </c>
      <c r="F466" s="3" t="s">
        <v>4233</v>
      </c>
      <c r="G466" s="3" t="s">
        <v>1101</v>
      </c>
      <c r="H466" s="3" t="str">
        <f t="shared" si="9"/>
        <v>Output Methanol Mt NS HI, data relayed from Weight Management System.</v>
      </c>
    </row>
    <row r="467" spans="1:8" x14ac:dyDescent="0.25">
      <c r="A467" s="3" t="s">
        <v>6983</v>
      </c>
      <c r="B467" s="3" t="s">
        <v>6992</v>
      </c>
      <c r="C467" s="3" t="s">
        <v>6985</v>
      </c>
      <c r="D467" s="3" t="s">
        <v>1120</v>
      </c>
      <c r="E467" s="3">
        <v>466</v>
      </c>
      <c r="F467" s="3" t="s">
        <v>4234</v>
      </c>
      <c r="G467" s="3" t="s">
        <v>1101</v>
      </c>
      <c r="H467" s="3" t="str">
        <f t="shared" si="9"/>
        <v>Output Methanol Mt NS LO, data relayed from Weight Management System.</v>
      </c>
    </row>
    <row r="468" spans="1:8" x14ac:dyDescent="0.25">
      <c r="A468" s="3" t="s">
        <v>6983</v>
      </c>
      <c r="B468" s="3" t="s">
        <v>6992</v>
      </c>
      <c r="C468" s="3" t="s">
        <v>6985</v>
      </c>
      <c r="D468" s="3" t="s">
        <v>1120</v>
      </c>
      <c r="E468" s="3">
        <v>467</v>
      </c>
      <c r="F468" s="3" t="s">
        <v>4235</v>
      </c>
      <c r="G468" s="3" t="s">
        <v>1101</v>
      </c>
      <c r="H468" s="3" t="str">
        <f t="shared" si="9"/>
        <v>Output Methanol FS Mt EW HI, data relayed from Weight Management System.</v>
      </c>
    </row>
    <row r="469" spans="1:8" x14ac:dyDescent="0.25">
      <c r="A469" s="3" t="s">
        <v>6983</v>
      </c>
      <c r="B469" s="3" t="s">
        <v>6992</v>
      </c>
      <c r="C469" s="3" t="s">
        <v>6985</v>
      </c>
      <c r="D469" s="3" t="s">
        <v>1120</v>
      </c>
      <c r="E469" s="3">
        <v>468</v>
      </c>
      <c r="F469" s="3" t="s">
        <v>4236</v>
      </c>
      <c r="G469" s="3" t="s">
        <v>1101</v>
      </c>
      <c r="H469" s="3" t="str">
        <f t="shared" si="9"/>
        <v>Output Methanol FS Mt EW LO, data relayed from Weight Management System.</v>
      </c>
    </row>
    <row r="470" spans="1:8" x14ac:dyDescent="0.25">
      <c r="A470" s="3" t="s">
        <v>6983</v>
      </c>
      <c r="B470" s="3" t="s">
        <v>6992</v>
      </c>
      <c r="C470" s="3" t="s">
        <v>6985</v>
      </c>
      <c r="D470" s="3" t="s">
        <v>1120</v>
      </c>
      <c r="E470" s="3">
        <v>469</v>
      </c>
      <c r="F470" s="3" t="s">
        <v>4237</v>
      </c>
      <c r="G470" s="3" t="s">
        <v>1101</v>
      </c>
      <c r="H470" s="3" t="str">
        <f t="shared" si="9"/>
        <v>Output Methanol FS Mt NS HI, data relayed from Weight Management System.</v>
      </c>
    </row>
    <row r="471" spans="1:8" x14ac:dyDescent="0.25">
      <c r="A471" s="3" t="s">
        <v>6983</v>
      </c>
      <c r="B471" s="3" t="s">
        <v>6992</v>
      </c>
      <c r="C471" s="3" t="s">
        <v>6985</v>
      </c>
      <c r="D471" s="3" t="s">
        <v>1120</v>
      </c>
      <c r="E471" s="3">
        <v>470</v>
      </c>
      <c r="F471" s="3" t="s">
        <v>4238</v>
      </c>
      <c r="G471" s="3" t="s">
        <v>1101</v>
      </c>
      <c r="H471" s="3" t="str">
        <f t="shared" si="9"/>
        <v>Output Methanol FS Mt NS LO, data relayed from Weight Management System.</v>
      </c>
    </row>
    <row r="472" spans="1:8" x14ac:dyDescent="0.25">
      <c r="A472" s="3" t="s">
        <v>6983</v>
      </c>
      <c r="B472" s="3" t="s">
        <v>6992</v>
      </c>
      <c r="C472" s="3" t="s">
        <v>6985</v>
      </c>
      <c r="D472" s="3" t="s">
        <v>1120</v>
      </c>
      <c r="E472" s="3">
        <v>471</v>
      </c>
      <c r="F472" s="3" t="s">
        <v>4239</v>
      </c>
      <c r="G472" s="3" t="s">
        <v>1100</v>
      </c>
      <c r="H472" s="3" t="str">
        <f t="shared" si="9"/>
        <v>Output DO LDHI Weight, data relayed from Weight Management System.</v>
      </c>
    </row>
    <row r="473" spans="1:8" x14ac:dyDescent="0.25">
      <c r="A473" s="3" t="s">
        <v>6983</v>
      </c>
      <c r="B473" s="3" t="s">
        <v>6992</v>
      </c>
      <c r="C473" s="3" t="s">
        <v>6985</v>
      </c>
      <c r="D473" s="3" t="s">
        <v>1120</v>
      </c>
      <c r="E473" s="3">
        <v>472</v>
      </c>
      <c r="F473" s="3" t="s">
        <v>4240</v>
      </c>
      <c r="G473" s="3" t="s">
        <v>1093</v>
      </c>
      <c r="H473" s="3" t="str">
        <f t="shared" si="9"/>
        <v>Output DO LDHI VCG, data relayed from Weight Management System.</v>
      </c>
    </row>
    <row r="474" spans="1:8" x14ac:dyDescent="0.25">
      <c r="A474" s="3" t="s">
        <v>6983</v>
      </c>
      <c r="B474" s="3" t="s">
        <v>6992</v>
      </c>
      <c r="C474" s="3" t="s">
        <v>6985</v>
      </c>
      <c r="D474" s="3" t="s">
        <v>1120</v>
      </c>
      <c r="E474" s="3">
        <v>473</v>
      </c>
      <c r="F474" s="3" t="s">
        <v>4241</v>
      </c>
      <c r="G474" s="3" t="s">
        <v>1093</v>
      </c>
      <c r="H474" s="3" t="str">
        <f t="shared" si="9"/>
        <v>Output DO LDHI CG EW, data relayed from Weight Management System.</v>
      </c>
    </row>
    <row r="475" spans="1:8" x14ac:dyDescent="0.25">
      <c r="A475" s="3" t="s">
        <v>6983</v>
      </c>
      <c r="B475" s="3" t="s">
        <v>6992</v>
      </c>
      <c r="C475" s="3" t="s">
        <v>6985</v>
      </c>
      <c r="D475" s="3" t="s">
        <v>1120</v>
      </c>
      <c r="E475" s="3">
        <v>474</v>
      </c>
      <c r="F475" s="3" t="s">
        <v>4242</v>
      </c>
      <c r="G475" s="3" t="s">
        <v>1093</v>
      </c>
      <c r="H475" s="3" t="str">
        <f t="shared" si="9"/>
        <v>Output DO LDHI CG NS, data relayed from Weight Management System.</v>
      </c>
    </row>
    <row r="476" spans="1:8" x14ac:dyDescent="0.25">
      <c r="A476" s="3" t="s">
        <v>6983</v>
      </c>
      <c r="B476" s="3" t="s">
        <v>6992</v>
      </c>
      <c r="C476" s="3" t="s">
        <v>6985</v>
      </c>
      <c r="D476" s="3" t="s">
        <v>1120</v>
      </c>
      <c r="E476" s="3">
        <v>475</v>
      </c>
      <c r="F476" s="3" t="s">
        <v>4243</v>
      </c>
      <c r="G476" s="3" t="s">
        <v>1101</v>
      </c>
      <c r="H476" s="3" t="str">
        <f t="shared" si="9"/>
        <v>Output DO LDHI Mt Vert HI, data relayed from Weight Management System.</v>
      </c>
    </row>
    <row r="477" spans="1:8" x14ac:dyDescent="0.25">
      <c r="A477" s="3" t="s">
        <v>6983</v>
      </c>
      <c r="B477" s="3" t="s">
        <v>6992</v>
      </c>
      <c r="C477" s="3" t="s">
        <v>6985</v>
      </c>
      <c r="D477" s="3" t="s">
        <v>1120</v>
      </c>
      <c r="E477" s="3">
        <v>476</v>
      </c>
      <c r="F477" s="3" t="s">
        <v>4244</v>
      </c>
      <c r="G477" s="3" t="s">
        <v>1101</v>
      </c>
      <c r="H477" s="3" t="str">
        <f t="shared" si="9"/>
        <v>Output DO LDHI Mt Vert LO, data relayed from Weight Management System.</v>
      </c>
    </row>
    <row r="478" spans="1:8" x14ac:dyDescent="0.25">
      <c r="A478" s="3" t="s">
        <v>6983</v>
      </c>
      <c r="B478" s="3" t="s">
        <v>6992</v>
      </c>
      <c r="C478" s="3" t="s">
        <v>6985</v>
      </c>
      <c r="D478" s="3" t="s">
        <v>1120</v>
      </c>
      <c r="E478" s="3">
        <v>477</v>
      </c>
      <c r="F478" s="3" t="s">
        <v>4245</v>
      </c>
      <c r="G478" s="3" t="s">
        <v>1101</v>
      </c>
      <c r="H478" s="3" t="str">
        <f t="shared" si="9"/>
        <v>Output DO LDHI Mt EW HI, data relayed from Weight Management System.</v>
      </c>
    </row>
    <row r="479" spans="1:8" x14ac:dyDescent="0.25">
      <c r="A479" s="3" t="s">
        <v>6983</v>
      </c>
      <c r="B479" s="3" t="s">
        <v>6992</v>
      </c>
      <c r="C479" s="3" t="s">
        <v>6985</v>
      </c>
      <c r="D479" s="3" t="s">
        <v>1120</v>
      </c>
      <c r="E479" s="3">
        <v>478</v>
      </c>
      <c r="F479" s="3" t="s">
        <v>4246</v>
      </c>
      <c r="G479" s="3" t="s">
        <v>1101</v>
      </c>
      <c r="H479" s="3" t="str">
        <f t="shared" si="9"/>
        <v>Output DO LDHI Mt EW LO, data relayed from Weight Management System.</v>
      </c>
    </row>
    <row r="480" spans="1:8" x14ac:dyDescent="0.25">
      <c r="A480" s="3" t="s">
        <v>6983</v>
      </c>
      <c r="B480" s="3" t="s">
        <v>6992</v>
      </c>
      <c r="C480" s="3" t="s">
        <v>6985</v>
      </c>
      <c r="D480" s="3" t="s">
        <v>1120</v>
      </c>
      <c r="E480" s="3">
        <v>479</v>
      </c>
      <c r="F480" s="3" t="s">
        <v>4247</v>
      </c>
      <c r="G480" s="3" t="s">
        <v>1101</v>
      </c>
      <c r="H480" s="3" t="str">
        <f t="shared" si="9"/>
        <v>Output DO LDHI Mt NS HI, data relayed from Weight Management System.</v>
      </c>
    </row>
    <row r="481" spans="1:8" x14ac:dyDescent="0.25">
      <c r="A481" s="3" t="s">
        <v>6983</v>
      </c>
      <c r="B481" s="3" t="s">
        <v>6992</v>
      </c>
      <c r="C481" s="3" t="s">
        <v>6985</v>
      </c>
      <c r="D481" s="3" t="s">
        <v>1120</v>
      </c>
      <c r="E481" s="3">
        <v>480</v>
      </c>
      <c r="F481" s="3" t="s">
        <v>4248</v>
      </c>
      <c r="G481" s="3" t="s">
        <v>1101</v>
      </c>
      <c r="H481" s="3" t="str">
        <f t="shared" si="9"/>
        <v>Output DO LDHI Mt NS LO, data relayed from Weight Management System.</v>
      </c>
    </row>
    <row r="482" spans="1:8" x14ac:dyDescent="0.25">
      <c r="A482" s="3" t="s">
        <v>6983</v>
      </c>
      <c r="B482" s="3" t="s">
        <v>6992</v>
      </c>
      <c r="C482" s="3" t="s">
        <v>6985</v>
      </c>
      <c r="D482" s="3" t="s">
        <v>1120</v>
      </c>
      <c r="E482" s="3">
        <v>481</v>
      </c>
      <c r="F482" s="3" t="s">
        <v>4249</v>
      </c>
      <c r="G482" s="3" t="s">
        <v>1101</v>
      </c>
      <c r="H482" s="3" t="str">
        <f t="shared" si="9"/>
        <v>Output DO LDHI FS Mt EW HI, data relayed from Weight Management System.</v>
      </c>
    </row>
    <row r="483" spans="1:8" x14ac:dyDescent="0.25">
      <c r="A483" s="3" t="s">
        <v>6983</v>
      </c>
      <c r="B483" s="3" t="s">
        <v>6992</v>
      </c>
      <c r="C483" s="3" t="s">
        <v>6985</v>
      </c>
      <c r="D483" s="3" t="s">
        <v>1120</v>
      </c>
      <c r="E483" s="3">
        <v>482</v>
      </c>
      <c r="F483" s="3" t="s">
        <v>4250</v>
      </c>
      <c r="G483" s="3" t="s">
        <v>1101</v>
      </c>
      <c r="H483" s="3" t="str">
        <f t="shared" si="9"/>
        <v>Output DO LDHI FS Mt EW LO, data relayed from Weight Management System.</v>
      </c>
    </row>
    <row r="484" spans="1:8" x14ac:dyDescent="0.25">
      <c r="A484" s="3" t="s">
        <v>6983</v>
      </c>
      <c r="B484" s="3" t="s">
        <v>6992</v>
      </c>
      <c r="C484" s="3" t="s">
        <v>6985</v>
      </c>
      <c r="D484" s="3" t="s">
        <v>1120</v>
      </c>
      <c r="E484" s="3">
        <v>483</v>
      </c>
      <c r="F484" s="3" t="s">
        <v>4251</v>
      </c>
      <c r="G484" s="3" t="s">
        <v>1101</v>
      </c>
      <c r="H484" s="3" t="str">
        <f t="shared" si="9"/>
        <v>Output DO LDHI FS Mt NS HI, data relayed from Weight Management System.</v>
      </c>
    </row>
    <row r="485" spans="1:8" x14ac:dyDescent="0.25">
      <c r="A485" s="3" t="s">
        <v>6983</v>
      </c>
      <c r="B485" s="3" t="s">
        <v>6992</v>
      </c>
      <c r="C485" s="3" t="s">
        <v>6985</v>
      </c>
      <c r="D485" s="3" t="s">
        <v>1120</v>
      </c>
      <c r="E485" s="3">
        <v>484</v>
      </c>
      <c r="F485" s="3" t="s">
        <v>4252</v>
      </c>
      <c r="G485" s="3" t="s">
        <v>1101</v>
      </c>
      <c r="H485" s="3" t="str">
        <f t="shared" si="9"/>
        <v>Output DO LDHI FS Mt NS LO, data relayed from Weight Management System.</v>
      </c>
    </row>
    <row r="486" spans="1:8" x14ac:dyDescent="0.25">
      <c r="A486" s="3" t="s">
        <v>6983</v>
      </c>
      <c r="B486" s="3" t="s">
        <v>6992</v>
      </c>
      <c r="C486" s="3" t="s">
        <v>6985</v>
      </c>
      <c r="D486" s="3" t="s">
        <v>1120</v>
      </c>
      <c r="E486" s="3">
        <v>485</v>
      </c>
      <c r="F486" s="3" t="s">
        <v>4253</v>
      </c>
      <c r="G486" s="3" t="s">
        <v>1100</v>
      </c>
      <c r="H486" s="3" t="str">
        <f t="shared" si="9"/>
        <v>Output Chain Locker Weight, data relayed from Weight Management System.</v>
      </c>
    </row>
    <row r="487" spans="1:8" x14ac:dyDescent="0.25">
      <c r="A487" s="3" t="s">
        <v>6983</v>
      </c>
      <c r="B487" s="3" t="s">
        <v>6992</v>
      </c>
      <c r="C487" s="3" t="s">
        <v>6985</v>
      </c>
      <c r="D487" s="3" t="s">
        <v>1120</v>
      </c>
      <c r="E487" s="3">
        <v>486</v>
      </c>
      <c r="F487" s="3" t="s">
        <v>4254</v>
      </c>
      <c r="G487" s="3" t="s">
        <v>1093</v>
      </c>
      <c r="H487" s="3" t="str">
        <f t="shared" si="9"/>
        <v>Output Chain Locker VCG, data relayed from Weight Management System.</v>
      </c>
    </row>
    <row r="488" spans="1:8" x14ac:dyDescent="0.25">
      <c r="A488" s="3" t="s">
        <v>6983</v>
      </c>
      <c r="B488" s="3" t="s">
        <v>6992</v>
      </c>
      <c r="C488" s="3" t="s">
        <v>6985</v>
      </c>
      <c r="D488" s="3" t="s">
        <v>1120</v>
      </c>
      <c r="E488" s="3">
        <v>487</v>
      </c>
      <c r="F488" s="3" t="s">
        <v>4255</v>
      </c>
      <c r="G488" s="3" t="s">
        <v>1093</v>
      </c>
      <c r="H488" s="3" t="str">
        <f t="shared" si="9"/>
        <v>Output Chain Locker CG EW, data relayed from Weight Management System.</v>
      </c>
    </row>
    <row r="489" spans="1:8" x14ac:dyDescent="0.25">
      <c r="A489" s="3" t="s">
        <v>6983</v>
      </c>
      <c r="B489" s="3" t="s">
        <v>6992</v>
      </c>
      <c r="C489" s="3" t="s">
        <v>6985</v>
      </c>
      <c r="D489" s="3" t="s">
        <v>1120</v>
      </c>
      <c r="E489" s="3">
        <v>488</v>
      </c>
      <c r="F489" s="3" t="s">
        <v>4256</v>
      </c>
      <c r="G489" s="3" t="s">
        <v>1093</v>
      </c>
      <c r="H489" s="3" t="str">
        <f t="shared" si="9"/>
        <v>Output Chain Locker CG NS, data relayed from Weight Management System.</v>
      </c>
    </row>
    <row r="490" spans="1:8" x14ac:dyDescent="0.25">
      <c r="A490" s="3" t="s">
        <v>6983</v>
      </c>
      <c r="B490" s="3" t="s">
        <v>6992</v>
      </c>
      <c r="C490" s="3" t="s">
        <v>6985</v>
      </c>
      <c r="D490" s="3" t="s">
        <v>1120</v>
      </c>
      <c r="E490" s="3">
        <v>489</v>
      </c>
      <c r="F490" s="3" t="s">
        <v>4257</v>
      </c>
      <c r="G490" s="3" t="s">
        <v>1101</v>
      </c>
      <c r="H490" s="3" t="str">
        <f t="shared" si="9"/>
        <v>Output Chain Locker Mt Vert HI, data relayed from Weight Management System.</v>
      </c>
    </row>
    <row r="491" spans="1:8" x14ac:dyDescent="0.25">
      <c r="A491" s="3" t="s">
        <v>6983</v>
      </c>
      <c r="B491" s="3" t="s">
        <v>6992</v>
      </c>
      <c r="C491" s="3" t="s">
        <v>6985</v>
      </c>
      <c r="D491" s="3" t="s">
        <v>1120</v>
      </c>
      <c r="E491" s="3">
        <v>490</v>
      </c>
      <c r="F491" s="3" t="s">
        <v>4258</v>
      </c>
      <c r="G491" s="3" t="s">
        <v>1101</v>
      </c>
      <c r="H491" s="3" t="str">
        <f t="shared" si="9"/>
        <v>Output Chain Locker Mt Vert LO, data relayed from Weight Management System.</v>
      </c>
    </row>
    <row r="492" spans="1:8" x14ac:dyDescent="0.25">
      <c r="A492" s="3" t="s">
        <v>6983</v>
      </c>
      <c r="B492" s="3" t="s">
        <v>6992</v>
      </c>
      <c r="C492" s="3" t="s">
        <v>6985</v>
      </c>
      <c r="D492" s="3" t="s">
        <v>1120</v>
      </c>
      <c r="E492" s="3">
        <v>491</v>
      </c>
      <c r="F492" s="3" t="s">
        <v>4259</v>
      </c>
      <c r="G492" s="3" t="s">
        <v>1101</v>
      </c>
      <c r="H492" s="3" t="str">
        <f t="shared" si="9"/>
        <v>Output Chain Locker Mt EW HI, data relayed from Weight Management System.</v>
      </c>
    </row>
    <row r="493" spans="1:8" x14ac:dyDescent="0.25">
      <c r="A493" s="3" t="s">
        <v>6983</v>
      </c>
      <c r="B493" s="3" t="s">
        <v>6992</v>
      </c>
      <c r="C493" s="3" t="s">
        <v>6985</v>
      </c>
      <c r="D493" s="3" t="s">
        <v>1120</v>
      </c>
      <c r="E493" s="3">
        <v>492</v>
      </c>
      <c r="F493" s="3" t="s">
        <v>4260</v>
      </c>
      <c r="G493" s="3" t="s">
        <v>1101</v>
      </c>
      <c r="H493" s="3" t="str">
        <f t="shared" si="9"/>
        <v>Output Chain Locker Mt EW LO, data relayed from Weight Management System.</v>
      </c>
    </row>
    <row r="494" spans="1:8" x14ac:dyDescent="0.25">
      <c r="A494" s="3" t="s">
        <v>6983</v>
      </c>
      <c r="B494" s="3" t="s">
        <v>6992</v>
      </c>
      <c r="C494" s="3" t="s">
        <v>6985</v>
      </c>
      <c r="D494" s="3" t="s">
        <v>1120</v>
      </c>
      <c r="E494" s="3">
        <v>493</v>
      </c>
      <c r="F494" s="3" t="s">
        <v>4261</v>
      </c>
      <c r="G494" s="3" t="s">
        <v>1101</v>
      </c>
      <c r="H494" s="3" t="str">
        <f t="shared" si="9"/>
        <v>Output Chain Locker Mt NS HI, data relayed from Weight Management System.</v>
      </c>
    </row>
    <row r="495" spans="1:8" x14ac:dyDescent="0.25">
      <c r="A495" s="3" t="s">
        <v>6983</v>
      </c>
      <c r="B495" s="3" t="s">
        <v>6992</v>
      </c>
      <c r="C495" s="3" t="s">
        <v>6985</v>
      </c>
      <c r="D495" s="3" t="s">
        <v>1120</v>
      </c>
      <c r="E495" s="3">
        <v>494</v>
      </c>
      <c r="F495" s="3" t="s">
        <v>4262</v>
      </c>
      <c r="G495" s="3" t="s">
        <v>1101</v>
      </c>
      <c r="H495" s="3" t="str">
        <f t="shared" si="9"/>
        <v>Output Chain Locker Mt NS LO, data relayed from Weight Management System.</v>
      </c>
    </row>
    <row r="496" spans="1:8" x14ac:dyDescent="0.25">
      <c r="A496" s="3" t="s">
        <v>6983</v>
      </c>
      <c r="B496" s="3" t="s">
        <v>6992</v>
      </c>
      <c r="C496" s="3" t="s">
        <v>6985</v>
      </c>
      <c r="D496" s="3" t="s">
        <v>1120</v>
      </c>
      <c r="E496" s="3">
        <v>495</v>
      </c>
      <c r="F496" s="3" t="s">
        <v>4263</v>
      </c>
      <c r="G496" s="3" t="s">
        <v>1100</v>
      </c>
      <c r="H496" s="3" t="str">
        <f t="shared" si="9"/>
        <v>Output Chain Weights Weight, data relayed from Weight Management System.</v>
      </c>
    </row>
    <row r="497" spans="1:8" x14ac:dyDescent="0.25">
      <c r="A497" s="3" t="s">
        <v>6983</v>
      </c>
      <c r="B497" s="3" t="s">
        <v>6992</v>
      </c>
      <c r="C497" s="3" t="s">
        <v>6985</v>
      </c>
      <c r="D497" s="3" t="s">
        <v>1120</v>
      </c>
      <c r="E497" s="3">
        <v>496</v>
      </c>
      <c r="F497" s="3" t="s">
        <v>4264</v>
      </c>
      <c r="G497" s="3" t="s">
        <v>1093</v>
      </c>
      <c r="H497" s="3" t="str">
        <f t="shared" si="9"/>
        <v>Output Chain Weights VCG, data relayed from Weight Management System.</v>
      </c>
    </row>
    <row r="498" spans="1:8" x14ac:dyDescent="0.25">
      <c r="A498" s="3" t="s">
        <v>6983</v>
      </c>
      <c r="B498" s="3" t="s">
        <v>6992</v>
      </c>
      <c r="C498" s="3" t="s">
        <v>6985</v>
      </c>
      <c r="D498" s="3" t="s">
        <v>1120</v>
      </c>
      <c r="E498" s="3">
        <v>497</v>
      </c>
      <c r="F498" s="3" t="s">
        <v>4265</v>
      </c>
      <c r="G498" s="3" t="s">
        <v>1093</v>
      </c>
      <c r="H498" s="3" t="str">
        <f t="shared" si="9"/>
        <v>Output Chain Weights CG EW, data relayed from Weight Management System.</v>
      </c>
    </row>
    <row r="499" spans="1:8" x14ac:dyDescent="0.25">
      <c r="A499" s="3" t="s">
        <v>6983</v>
      </c>
      <c r="B499" s="3" t="s">
        <v>6992</v>
      </c>
      <c r="C499" s="3" t="s">
        <v>6985</v>
      </c>
      <c r="D499" s="3" t="s">
        <v>1120</v>
      </c>
      <c r="E499" s="3">
        <v>498</v>
      </c>
      <c r="F499" s="3" t="s">
        <v>4266</v>
      </c>
      <c r="G499" s="3" t="s">
        <v>1093</v>
      </c>
      <c r="H499" s="3" t="str">
        <f t="shared" si="9"/>
        <v>Output Chain Weights CG NS, data relayed from Weight Management System.</v>
      </c>
    </row>
    <row r="500" spans="1:8" x14ac:dyDescent="0.25">
      <c r="A500" s="3" t="s">
        <v>6983</v>
      </c>
      <c r="B500" s="3" t="s">
        <v>6992</v>
      </c>
      <c r="C500" s="3" t="s">
        <v>6985</v>
      </c>
      <c r="D500" s="3" t="s">
        <v>1120</v>
      </c>
      <c r="E500" s="3">
        <v>499</v>
      </c>
      <c r="F500" s="3" t="s">
        <v>4267</v>
      </c>
      <c r="G500" s="3" t="s">
        <v>1101</v>
      </c>
      <c r="H500" s="3" t="str">
        <f t="shared" si="9"/>
        <v>Output Chain Weights Mt Vert HI, data relayed from Weight Management System.</v>
      </c>
    </row>
    <row r="501" spans="1:8" x14ac:dyDescent="0.25">
      <c r="A501" s="3" t="s">
        <v>6983</v>
      </c>
      <c r="B501" s="3" t="s">
        <v>6992</v>
      </c>
      <c r="C501" s="3" t="s">
        <v>6985</v>
      </c>
      <c r="D501" s="3" t="s">
        <v>1120</v>
      </c>
      <c r="E501" s="3">
        <v>500</v>
      </c>
      <c r="F501" s="3" t="s">
        <v>4268</v>
      </c>
      <c r="G501" s="3" t="s">
        <v>1101</v>
      </c>
      <c r="H501" s="3" t="str">
        <f t="shared" si="9"/>
        <v>Output Chain Weights Mt Vert LO, data relayed from Weight Management System.</v>
      </c>
    </row>
    <row r="502" spans="1:8" x14ac:dyDescent="0.25">
      <c r="A502" s="3" t="s">
        <v>6983</v>
      </c>
      <c r="B502" s="3" t="s">
        <v>6992</v>
      </c>
      <c r="C502" s="3" t="s">
        <v>6985</v>
      </c>
      <c r="D502" s="3" t="s">
        <v>1120</v>
      </c>
      <c r="E502" s="3">
        <v>501</v>
      </c>
      <c r="F502" s="3" t="s">
        <v>4269</v>
      </c>
      <c r="G502" s="3" t="s">
        <v>1101</v>
      </c>
      <c r="H502" s="3" t="str">
        <f t="shared" si="9"/>
        <v>Output Chain Weights Mt EW HI, data relayed from Weight Management System.</v>
      </c>
    </row>
    <row r="503" spans="1:8" x14ac:dyDescent="0.25">
      <c r="A503" s="3" t="s">
        <v>6983</v>
      </c>
      <c r="B503" s="3" t="s">
        <v>6992</v>
      </c>
      <c r="C503" s="3" t="s">
        <v>6985</v>
      </c>
      <c r="D503" s="3" t="s">
        <v>1120</v>
      </c>
      <c r="E503" s="3">
        <v>502</v>
      </c>
      <c r="F503" s="3" t="s">
        <v>4270</v>
      </c>
      <c r="G503" s="3" t="s">
        <v>1101</v>
      </c>
      <c r="H503" s="3" t="str">
        <f t="shared" si="9"/>
        <v>Output Chain Weights Mt EW LO, data relayed from Weight Management System.</v>
      </c>
    </row>
    <row r="504" spans="1:8" x14ac:dyDescent="0.25">
      <c r="A504" s="3" t="s">
        <v>6983</v>
      </c>
      <c r="B504" s="3" t="s">
        <v>6992</v>
      </c>
      <c r="C504" s="3" t="s">
        <v>6985</v>
      </c>
      <c r="D504" s="3" t="s">
        <v>1120</v>
      </c>
      <c r="E504" s="3">
        <v>503</v>
      </c>
      <c r="F504" s="3" t="s">
        <v>4271</v>
      </c>
      <c r="G504" s="3" t="s">
        <v>1101</v>
      </c>
      <c r="H504" s="3" t="str">
        <f t="shared" si="9"/>
        <v>Output Chain Weights Mt NS HI, data relayed from Weight Management System.</v>
      </c>
    </row>
    <row r="505" spans="1:8" x14ac:dyDescent="0.25">
      <c r="A505" s="3" t="s">
        <v>6983</v>
      </c>
      <c r="B505" s="3" t="s">
        <v>6992</v>
      </c>
      <c r="C505" s="3" t="s">
        <v>6985</v>
      </c>
      <c r="D505" s="3" t="s">
        <v>1120</v>
      </c>
      <c r="E505" s="3">
        <v>504</v>
      </c>
      <c r="F505" s="3" t="s">
        <v>4272</v>
      </c>
      <c r="G505" s="3" t="s">
        <v>1101</v>
      </c>
      <c r="H505" s="3" t="str">
        <f t="shared" si="9"/>
        <v>Output Chain Weights Mt NS LO, data relayed from Weight Management System.</v>
      </c>
    </row>
    <row r="506" spans="1:8" x14ac:dyDescent="0.25">
      <c r="A506" s="3" t="s">
        <v>6983</v>
      </c>
      <c r="B506" s="3" t="s">
        <v>6992</v>
      </c>
      <c r="C506" s="3" t="s">
        <v>6985</v>
      </c>
      <c r="D506" s="3" t="s">
        <v>1120</v>
      </c>
      <c r="E506" s="3">
        <v>505</v>
      </c>
      <c r="F506" s="3" t="s">
        <v>4273</v>
      </c>
      <c r="G506" s="3" t="s">
        <v>1100</v>
      </c>
      <c r="H506" s="3" t="str">
        <f t="shared" si="9"/>
        <v>Output Mooring Lines Weight, data relayed from Weight Management System.</v>
      </c>
    </row>
    <row r="507" spans="1:8" x14ac:dyDescent="0.25">
      <c r="A507" s="3" t="s">
        <v>6983</v>
      </c>
      <c r="B507" s="3" t="s">
        <v>6992</v>
      </c>
      <c r="C507" s="3" t="s">
        <v>6985</v>
      </c>
      <c r="D507" s="3" t="s">
        <v>1120</v>
      </c>
      <c r="E507" s="3">
        <v>506</v>
      </c>
      <c r="F507" s="3" t="s">
        <v>4274</v>
      </c>
      <c r="G507" s="3" t="s">
        <v>1093</v>
      </c>
      <c r="H507" s="3" t="str">
        <f t="shared" si="9"/>
        <v>Output Mooring Lines VCG, data relayed from Weight Management System.</v>
      </c>
    </row>
    <row r="508" spans="1:8" x14ac:dyDescent="0.25">
      <c r="A508" s="3" t="s">
        <v>6983</v>
      </c>
      <c r="B508" s="3" t="s">
        <v>6992</v>
      </c>
      <c r="C508" s="3" t="s">
        <v>6985</v>
      </c>
      <c r="D508" s="3" t="s">
        <v>1120</v>
      </c>
      <c r="E508" s="3">
        <v>507</v>
      </c>
      <c r="F508" s="3" t="s">
        <v>4275</v>
      </c>
      <c r="G508" s="3" t="s">
        <v>1093</v>
      </c>
      <c r="H508" s="3" t="str">
        <f t="shared" si="9"/>
        <v>Output Mooring Lines CG EW, data relayed from Weight Management System.</v>
      </c>
    </row>
    <row r="509" spans="1:8" x14ac:dyDescent="0.25">
      <c r="A509" s="3" t="s">
        <v>6983</v>
      </c>
      <c r="B509" s="3" t="s">
        <v>6992</v>
      </c>
      <c r="C509" s="3" t="s">
        <v>6985</v>
      </c>
      <c r="D509" s="3" t="s">
        <v>1120</v>
      </c>
      <c r="E509" s="3">
        <v>508</v>
      </c>
      <c r="F509" s="3" t="s">
        <v>4276</v>
      </c>
      <c r="G509" s="3" t="s">
        <v>1093</v>
      </c>
      <c r="H509" s="3" t="str">
        <f t="shared" si="9"/>
        <v>Output Mooring Lines CG NS, data relayed from Weight Management System.</v>
      </c>
    </row>
    <row r="510" spans="1:8" x14ac:dyDescent="0.25">
      <c r="A510" s="3" t="s">
        <v>6983</v>
      </c>
      <c r="B510" s="3" t="s">
        <v>6992</v>
      </c>
      <c r="C510" s="3" t="s">
        <v>6985</v>
      </c>
      <c r="D510" s="3" t="s">
        <v>1120</v>
      </c>
      <c r="E510" s="3">
        <v>509</v>
      </c>
      <c r="F510" s="3" t="s">
        <v>4277</v>
      </c>
      <c r="G510" s="3" t="s">
        <v>1101</v>
      </c>
      <c r="H510" s="3" t="str">
        <f t="shared" si="9"/>
        <v>Output Mooring Lines Mt Vert HI, data relayed from Weight Management System.</v>
      </c>
    </row>
    <row r="511" spans="1:8" x14ac:dyDescent="0.25">
      <c r="A511" s="3" t="s">
        <v>6983</v>
      </c>
      <c r="B511" s="3" t="s">
        <v>6992</v>
      </c>
      <c r="C511" s="3" t="s">
        <v>6985</v>
      </c>
      <c r="D511" s="3" t="s">
        <v>1120</v>
      </c>
      <c r="E511" s="3">
        <v>510</v>
      </c>
      <c r="F511" s="3" t="s">
        <v>4278</v>
      </c>
      <c r="G511" s="3" t="s">
        <v>1101</v>
      </c>
      <c r="H511" s="3" t="str">
        <f t="shared" si="9"/>
        <v>Output Mooring Lines Mt Vert LO, data relayed from Weight Management System.</v>
      </c>
    </row>
    <row r="512" spans="1:8" x14ac:dyDescent="0.25">
      <c r="A512" s="3" t="s">
        <v>6983</v>
      </c>
      <c r="B512" s="3" t="s">
        <v>6992</v>
      </c>
      <c r="C512" s="3" t="s">
        <v>6985</v>
      </c>
      <c r="D512" s="3" t="s">
        <v>1120</v>
      </c>
      <c r="E512" s="3">
        <v>511</v>
      </c>
      <c r="F512" s="3" t="s">
        <v>4279</v>
      </c>
      <c r="G512" s="3" t="s">
        <v>1101</v>
      </c>
      <c r="H512" s="3" t="str">
        <f t="shared" si="9"/>
        <v>Output Mooring Lines Mt EW HI, data relayed from Weight Management System.</v>
      </c>
    </row>
    <row r="513" spans="1:8" x14ac:dyDescent="0.25">
      <c r="A513" s="3" t="s">
        <v>6983</v>
      </c>
      <c r="B513" s="3" t="s">
        <v>6992</v>
      </c>
      <c r="C513" s="3" t="s">
        <v>6985</v>
      </c>
      <c r="D513" s="3" t="s">
        <v>1120</v>
      </c>
      <c r="E513" s="3">
        <v>512</v>
      </c>
      <c r="F513" s="3" t="s">
        <v>4280</v>
      </c>
      <c r="G513" s="3" t="s">
        <v>1101</v>
      </c>
      <c r="H513" s="3" t="str">
        <f t="shared" si="9"/>
        <v>Output Mooring Lines Mt EW LO, data relayed from Weight Management System.</v>
      </c>
    </row>
    <row r="514" spans="1:8" x14ac:dyDescent="0.25">
      <c r="A514" s="3" t="s">
        <v>6983</v>
      </c>
      <c r="B514" s="3" t="s">
        <v>6992</v>
      </c>
      <c r="C514" s="3" t="s">
        <v>6985</v>
      </c>
      <c r="D514" s="3" t="s">
        <v>1120</v>
      </c>
      <c r="E514" s="3">
        <v>513</v>
      </c>
      <c r="F514" s="3" t="s">
        <v>4281</v>
      </c>
      <c r="G514" s="3" t="s">
        <v>1101</v>
      </c>
      <c r="H514" s="3" t="str">
        <f t="shared" si="9"/>
        <v>Output Mooring Lines Mt NS HI, data relayed from Weight Management System.</v>
      </c>
    </row>
    <row r="515" spans="1:8" x14ac:dyDescent="0.25">
      <c r="A515" s="3" t="s">
        <v>6983</v>
      </c>
      <c r="B515" s="3" t="s">
        <v>6992</v>
      </c>
      <c r="C515" s="3" t="s">
        <v>6985</v>
      </c>
      <c r="D515" s="3" t="s">
        <v>1120</v>
      </c>
      <c r="E515" s="3">
        <v>514</v>
      </c>
      <c r="F515" s="3" t="s">
        <v>4282</v>
      </c>
      <c r="G515" s="3" t="s">
        <v>1101</v>
      </c>
      <c r="H515" s="3" t="str">
        <f t="shared" si="9"/>
        <v>Output Mooring Lines Mt NS LO, data relayed from Weight Management System.</v>
      </c>
    </row>
    <row r="516" spans="1:8" x14ac:dyDescent="0.25">
      <c r="A516" s="3" t="s">
        <v>6983</v>
      </c>
      <c r="B516" s="3" t="s">
        <v>6992</v>
      </c>
      <c r="C516" s="3" t="s">
        <v>6985</v>
      </c>
      <c r="D516" s="3" t="s">
        <v>1120</v>
      </c>
      <c r="E516" s="3">
        <v>515</v>
      </c>
      <c r="F516" s="3" t="s">
        <v>4283</v>
      </c>
      <c r="G516" s="3" t="s">
        <v>1100</v>
      </c>
      <c r="H516" s="3" t="str">
        <f t="shared" si="9"/>
        <v>Output Risers Weight, data relayed from Weight Management System.</v>
      </c>
    </row>
    <row r="517" spans="1:8" x14ac:dyDescent="0.25">
      <c r="A517" s="3" t="s">
        <v>6983</v>
      </c>
      <c r="B517" s="3" t="s">
        <v>6992</v>
      </c>
      <c r="C517" s="3" t="s">
        <v>6985</v>
      </c>
      <c r="D517" s="3" t="s">
        <v>1120</v>
      </c>
      <c r="E517" s="3">
        <v>516</v>
      </c>
      <c r="F517" s="3" t="s">
        <v>2333</v>
      </c>
      <c r="G517" s="3" t="s">
        <v>1093</v>
      </c>
      <c r="H517" s="3" t="str">
        <f t="shared" si="9"/>
        <v>Output Risers VCG, data relayed from Weight Management System.</v>
      </c>
    </row>
    <row r="518" spans="1:8" x14ac:dyDescent="0.25">
      <c r="A518" s="3" t="s">
        <v>6983</v>
      </c>
      <c r="B518" s="3" t="s">
        <v>6992</v>
      </c>
      <c r="C518" s="3" t="s">
        <v>6985</v>
      </c>
      <c r="D518" s="3" t="s">
        <v>1120</v>
      </c>
      <c r="E518" s="3">
        <v>517</v>
      </c>
      <c r="F518" s="3" t="s">
        <v>2334</v>
      </c>
      <c r="G518" s="3" t="s">
        <v>1093</v>
      </c>
      <c r="H518" s="3" t="str">
        <f t="shared" si="9"/>
        <v>Output Risers CG EW, data relayed from Weight Management System.</v>
      </c>
    </row>
    <row r="519" spans="1:8" x14ac:dyDescent="0.25">
      <c r="A519" s="3" t="s">
        <v>6983</v>
      </c>
      <c r="B519" s="3" t="s">
        <v>6992</v>
      </c>
      <c r="C519" s="3" t="s">
        <v>6985</v>
      </c>
      <c r="D519" s="3" t="s">
        <v>1120</v>
      </c>
      <c r="E519" s="3">
        <v>518</v>
      </c>
      <c r="F519" s="3" t="s">
        <v>2335</v>
      </c>
      <c r="G519" s="3" t="s">
        <v>1093</v>
      </c>
      <c r="H519" s="3" t="str">
        <f t="shared" si="9"/>
        <v>Output Risers CG NS, data relayed from Weight Management System.</v>
      </c>
    </row>
    <row r="520" spans="1:8" x14ac:dyDescent="0.25">
      <c r="A520" s="3" t="s">
        <v>6983</v>
      </c>
      <c r="B520" s="3" t="s">
        <v>6992</v>
      </c>
      <c r="C520" s="3" t="s">
        <v>6985</v>
      </c>
      <c r="D520" s="3" t="s">
        <v>1120</v>
      </c>
      <c r="E520" s="3">
        <v>519</v>
      </c>
      <c r="F520" s="3" t="s">
        <v>4284</v>
      </c>
      <c r="G520" s="3" t="s">
        <v>1101</v>
      </c>
      <c r="H520" s="3" t="str">
        <f t="shared" si="9"/>
        <v>Output Risers Mt Vert HI, data relayed from Weight Management System.</v>
      </c>
    </row>
    <row r="521" spans="1:8" x14ac:dyDescent="0.25">
      <c r="A521" s="3" t="s">
        <v>6983</v>
      </c>
      <c r="B521" s="3" t="s">
        <v>6992</v>
      </c>
      <c r="C521" s="3" t="s">
        <v>6985</v>
      </c>
      <c r="D521" s="3" t="s">
        <v>1120</v>
      </c>
      <c r="E521" s="3">
        <v>520</v>
      </c>
      <c r="F521" s="3" t="s">
        <v>4285</v>
      </c>
      <c r="G521" s="3" t="s">
        <v>1101</v>
      </c>
      <c r="H521" s="3" t="str">
        <f t="shared" ref="H521:H584" si="10">_xlfn.CONCAT("Output ",F521, ", data relayed from Weight Management System.")</f>
        <v>Output Risers Mt Vert LO, data relayed from Weight Management System.</v>
      </c>
    </row>
    <row r="522" spans="1:8" x14ac:dyDescent="0.25">
      <c r="A522" s="3" t="s">
        <v>6983</v>
      </c>
      <c r="B522" s="3" t="s">
        <v>6992</v>
      </c>
      <c r="C522" s="3" t="s">
        <v>6985</v>
      </c>
      <c r="D522" s="3" t="s">
        <v>1120</v>
      </c>
      <c r="E522" s="3">
        <v>521</v>
      </c>
      <c r="F522" s="3" t="s">
        <v>4286</v>
      </c>
      <c r="G522" s="3" t="s">
        <v>1101</v>
      </c>
      <c r="H522" s="3" t="str">
        <f t="shared" si="10"/>
        <v>Output Risers Mt EW HI, data relayed from Weight Management System.</v>
      </c>
    </row>
    <row r="523" spans="1:8" x14ac:dyDescent="0.25">
      <c r="A523" s="3" t="s">
        <v>6983</v>
      </c>
      <c r="B523" s="3" t="s">
        <v>6992</v>
      </c>
      <c r="C523" s="3" t="s">
        <v>6985</v>
      </c>
      <c r="D523" s="3" t="s">
        <v>1120</v>
      </c>
      <c r="E523" s="3">
        <v>522</v>
      </c>
      <c r="F523" s="3" t="s">
        <v>4287</v>
      </c>
      <c r="G523" s="3" t="s">
        <v>1101</v>
      </c>
      <c r="H523" s="3" t="str">
        <f t="shared" si="10"/>
        <v>Output Risers Mt EW LO, data relayed from Weight Management System.</v>
      </c>
    </row>
    <row r="524" spans="1:8" x14ac:dyDescent="0.25">
      <c r="A524" s="3" t="s">
        <v>6983</v>
      </c>
      <c r="B524" s="3" t="s">
        <v>6992</v>
      </c>
      <c r="C524" s="3" t="s">
        <v>6985</v>
      </c>
      <c r="D524" s="3" t="s">
        <v>1120</v>
      </c>
      <c r="E524" s="3">
        <v>523</v>
      </c>
      <c r="F524" s="3" t="s">
        <v>4288</v>
      </c>
      <c r="G524" s="3" t="s">
        <v>1101</v>
      </c>
      <c r="H524" s="3" t="str">
        <f t="shared" si="10"/>
        <v>Output Risers Mt NS HI, data relayed from Weight Management System.</v>
      </c>
    </row>
    <row r="525" spans="1:8" x14ac:dyDescent="0.25">
      <c r="A525" s="3" t="s">
        <v>6983</v>
      </c>
      <c r="B525" s="3" t="s">
        <v>6992</v>
      </c>
      <c r="C525" s="3" t="s">
        <v>6985</v>
      </c>
      <c r="D525" s="3" t="s">
        <v>1120</v>
      </c>
      <c r="E525" s="3">
        <v>524</v>
      </c>
      <c r="F525" s="3" t="s">
        <v>4289</v>
      </c>
      <c r="G525" s="3" t="s">
        <v>1101</v>
      </c>
      <c r="H525" s="3" t="str">
        <f t="shared" si="10"/>
        <v>Output Risers Mt NS LO, data relayed from Weight Management System.</v>
      </c>
    </row>
    <row r="526" spans="1:8" x14ac:dyDescent="0.25">
      <c r="A526" s="3" t="s">
        <v>6983</v>
      </c>
      <c r="B526" s="3" t="s">
        <v>6992</v>
      </c>
      <c r="C526" s="3" t="s">
        <v>6985</v>
      </c>
      <c r="D526" s="3" t="s">
        <v>1120</v>
      </c>
      <c r="E526" s="3">
        <v>525</v>
      </c>
      <c r="F526" s="3" t="s">
        <v>4290</v>
      </c>
      <c r="G526" s="3" t="s">
        <v>1100</v>
      </c>
      <c r="H526" s="3" t="str">
        <f t="shared" si="10"/>
        <v>Output Drilling Rig Weight, data relayed from Weight Management System.</v>
      </c>
    </row>
    <row r="527" spans="1:8" x14ac:dyDescent="0.25">
      <c r="A527" s="3" t="s">
        <v>6983</v>
      </c>
      <c r="B527" s="3" t="s">
        <v>6992</v>
      </c>
      <c r="C527" s="3" t="s">
        <v>6985</v>
      </c>
      <c r="D527" s="3" t="s">
        <v>1120</v>
      </c>
      <c r="E527" s="3">
        <v>526</v>
      </c>
      <c r="F527" s="3" t="s">
        <v>4291</v>
      </c>
      <c r="G527" s="3" t="s">
        <v>1093</v>
      </c>
      <c r="H527" s="3" t="str">
        <f t="shared" si="10"/>
        <v>Output Drilling Rig VCG, data relayed from Weight Management System.</v>
      </c>
    </row>
    <row r="528" spans="1:8" x14ac:dyDescent="0.25">
      <c r="A528" s="3" t="s">
        <v>6983</v>
      </c>
      <c r="B528" s="3" t="s">
        <v>6992</v>
      </c>
      <c r="C528" s="3" t="s">
        <v>6985</v>
      </c>
      <c r="D528" s="3" t="s">
        <v>1120</v>
      </c>
      <c r="E528" s="3">
        <v>527</v>
      </c>
      <c r="F528" s="3" t="s">
        <v>4292</v>
      </c>
      <c r="G528" s="3" t="s">
        <v>1093</v>
      </c>
      <c r="H528" s="3" t="str">
        <f t="shared" si="10"/>
        <v>Output Drilling Rig CG EW, data relayed from Weight Management System.</v>
      </c>
    </row>
    <row r="529" spans="1:8" x14ac:dyDescent="0.25">
      <c r="A529" s="3" t="s">
        <v>6983</v>
      </c>
      <c r="B529" s="3" t="s">
        <v>6992</v>
      </c>
      <c r="C529" s="3" t="s">
        <v>6985</v>
      </c>
      <c r="D529" s="3" t="s">
        <v>1120</v>
      </c>
      <c r="E529" s="3">
        <v>528</v>
      </c>
      <c r="F529" s="3" t="s">
        <v>4293</v>
      </c>
      <c r="G529" s="3" t="s">
        <v>1093</v>
      </c>
      <c r="H529" s="3" t="str">
        <f t="shared" si="10"/>
        <v>Output Drilling Rig CG NS, data relayed from Weight Management System.</v>
      </c>
    </row>
    <row r="530" spans="1:8" x14ac:dyDescent="0.25">
      <c r="A530" s="3" t="s">
        <v>6983</v>
      </c>
      <c r="B530" s="3" t="s">
        <v>6992</v>
      </c>
      <c r="C530" s="3" t="s">
        <v>6985</v>
      </c>
      <c r="D530" s="3" t="s">
        <v>1120</v>
      </c>
      <c r="E530" s="3">
        <v>529</v>
      </c>
      <c r="F530" s="3" t="s">
        <v>4294</v>
      </c>
      <c r="G530" s="3" t="s">
        <v>1101</v>
      </c>
      <c r="H530" s="3" t="str">
        <f t="shared" si="10"/>
        <v>Output Drilling Rig Mt Vert HI, data relayed from Weight Management System.</v>
      </c>
    </row>
    <row r="531" spans="1:8" x14ac:dyDescent="0.25">
      <c r="A531" s="3" t="s">
        <v>6983</v>
      </c>
      <c r="B531" s="3" t="s">
        <v>6992</v>
      </c>
      <c r="C531" s="3" t="s">
        <v>6985</v>
      </c>
      <c r="D531" s="3" t="s">
        <v>1120</v>
      </c>
      <c r="E531" s="3">
        <v>530</v>
      </c>
      <c r="F531" s="3" t="s">
        <v>4295</v>
      </c>
      <c r="G531" s="3" t="s">
        <v>1101</v>
      </c>
      <c r="H531" s="3" t="str">
        <f t="shared" si="10"/>
        <v>Output Drilling Rig Mt Vert LO, data relayed from Weight Management System.</v>
      </c>
    </row>
    <row r="532" spans="1:8" x14ac:dyDescent="0.25">
      <c r="A532" s="3" t="s">
        <v>6983</v>
      </c>
      <c r="B532" s="3" t="s">
        <v>6992</v>
      </c>
      <c r="C532" s="3" t="s">
        <v>6985</v>
      </c>
      <c r="D532" s="3" t="s">
        <v>1120</v>
      </c>
      <c r="E532" s="3">
        <v>531</v>
      </c>
      <c r="F532" s="3" t="s">
        <v>4296</v>
      </c>
      <c r="G532" s="3" t="s">
        <v>1101</v>
      </c>
      <c r="H532" s="3" t="str">
        <f t="shared" si="10"/>
        <v>Output Drilling Rig Mt EW HI, data relayed from Weight Management System.</v>
      </c>
    </row>
    <row r="533" spans="1:8" x14ac:dyDescent="0.25">
      <c r="A533" s="3" t="s">
        <v>6983</v>
      </c>
      <c r="B533" s="3" t="s">
        <v>6992</v>
      </c>
      <c r="C533" s="3" t="s">
        <v>6985</v>
      </c>
      <c r="D533" s="3" t="s">
        <v>1120</v>
      </c>
      <c r="E533" s="3">
        <v>532</v>
      </c>
      <c r="F533" s="3" t="s">
        <v>4297</v>
      </c>
      <c r="G533" s="3" t="s">
        <v>1101</v>
      </c>
      <c r="H533" s="3" t="str">
        <f t="shared" si="10"/>
        <v>Output Drilling Rig Mt EW LO, data relayed from Weight Management System.</v>
      </c>
    </row>
    <row r="534" spans="1:8" x14ac:dyDescent="0.25">
      <c r="A534" s="3" t="s">
        <v>6983</v>
      </c>
      <c r="B534" s="3" t="s">
        <v>6992</v>
      </c>
      <c r="C534" s="3" t="s">
        <v>6985</v>
      </c>
      <c r="D534" s="3" t="s">
        <v>1120</v>
      </c>
      <c r="E534" s="3">
        <v>533</v>
      </c>
      <c r="F534" s="3" t="s">
        <v>4298</v>
      </c>
      <c r="G534" s="3" t="s">
        <v>1101</v>
      </c>
      <c r="H534" s="3" t="str">
        <f t="shared" si="10"/>
        <v>Output Drilling Rig Mt NS HI, data relayed from Weight Management System.</v>
      </c>
    </row>
    <row r="535" spans="1:8" x14ac:dyDescent="0.25">
      <c r="A535" s="3" t="s">
        <v>6983</v>
      </c>
      <c r="B535" s="3" t="s">
        <v>6992</v>
      </c>
      <c r="C535" s="3" t="s">
        <v>6985</v>
      </c>
      <c r="D535" s="3" t="s">
        <v>1120</v>
      </c>
      <c r="E535" s="3">
        <v>534</v>
      </c>
      <c r="F535" s="3" t="s">
        <v>4299</v>
      </c>
      <c r="G535" s="3" t="s">
        <v>1101</v>
      </c>
      <c r="H535" s="3" t="str">
        <f t="shared" si="10"/>
        <v>Output Drilling Rig Mt NS LO, data relayed from Weight Management System.</v>
      </c>
    </row>
    <row r="536" spans="1:8" x14ac:dyDescent="0.25">
      <c r="A536" s="3" t="s">
        <v>6983</v>
      </c>
      <c r="B536" s="3" t="s">
        <v>6992</v>
      </c>
      <c r="C536" s="3" t="s">
        <v>6985</v>
      </c>
      <c r="D536" s="3" t="s">
        <v>1120</v>
      </c>
      <c r="E536" s="3">
        <v>535</v>
      </c>
      <c r="F536" s="3" t="s">
        <v>4300</v>
      </c>
      <c r="G536" s="3" t="s">
        <v>1100</v>
      </c>
      <c r="H536" s="3" t="str">
        <f t="shared" si="10"/>
        <v>Output Prod Dk LIQ Weight, data relayed from Weight Management System.</v>
      </c>
    </row>
    <row r="537" spans="1:8" x14ac:dyDescent="0.25">
      <c r="A537" s="3" t="s">
        <v>6983</v>
      </c>
      <c r="B537" s="3" t="s">
        <v>6992</v>
      </c>
      <c r="C537" s="3" t="s">
        <v>6985</v>
      </c>
      <c r="D537" s="3" t="s">
        <v>1120</v>
      </c>
      <c r="E537" s="3">
        <v>536</v>
      </c>
      <c r="F537" s="3" t="s">
        <v>4301</v>
      </c>
      <c r="G537" s="3" t="s">
        <v>1093</v>
      </c>
      <c r="H537" s="3" t="str">
        <f t="shared" si="10"/>
        <v>Output Prod Dk LIQ VCG, data relayed from Weight Management System.</v>
      </c>
    </row>
    <row r="538" spans="1:8" x14ac:dyDescent="0.25">
      <c r="A538" s="3" t="s">
        <v>6983</v>
      </c>
      <c r="B538" s="3" t="s">
        <v>6992</v>
      </c>
      <c r="C538" s="3" t="s">
        <v>6985</v>
      </c>
      <c r="D538" s="3" t="s">
        <v>1120</v>
      </c>
      <c r="E538" s="3">
        <v>537</v>
      </c>
      <c r="F538" s="3" t="s">
        <v>4302</v>
      </c>
      <c r="G538" s="3" t="s">
        <v>1093</v>
      </c>
      <c r="H538" s="3" t="str">
        <f t="shared" si="10"/>
        <v>Output Prod Dk LIQ CG EW, data relayed from Weight Management System.</v>
      </c>
    </row>
    <row r="539" spans="1:8" x14ac:dyDescent="0.25">
      <c r="A539" s="3" t="s">
        <v>6983</v>
      </c>
      <c r="B539" s="3" t="s">
        <v>6992</v>
      </c>
      <c r="C539" s="3" t="s">
        <v>6985</v>
      </c>
      <c r="D539" s="3" t="s">
        <v>1120</v>
      </c>
      <c r="E539" s="3">
        <v>538</v>
      </c>
      <c r="F539" s="3" t="s">
        <v>4303</v>
      </c>
      <c r="G539" s="3" t="s">
        <v>1093</v>
      </c>
      <c r="H539" s="3" t="str">
        <f t="shared" si="10"/>
        <v>Output Prod Dk LIQ CG NS, data relayed from Weight Management System.</v>
      </c>
    </row>
    <row r="540" spans="1:8" x14ac:dyDescent="0.25">
      <c r="A540" s="3" t="s">
        <v>6983</v>
      </c>
      <c r="B540" s="3" t="s">
        <v>6992</v>
      </c>
      <c r="C540" s="3" t="s">
        <v>6985</v>
      </c>
      <c r="D540" s="3" t="s">
        <v>1120</v>
      </c>
      <c r="E540" s="3">
        <v>539</v>
      </c>
      <c r="F540" s="3" t="s">
        <v>4304</v>
      </c>
      <c r="G540" s="3" t="s">
        <v>1101</v>
      </c>
      <c r="H540" s="3" t="str">
        <f t="shared" si="10"/>
        <v>Output Prod Dk LIQ Mt Vert HI, data relayed from Weight Management System.</v>
      </c>
    </row>
    <row r="541" spans="1:8" x14ac:dyDescent="0.25">
      <c r="A541" s="3" t="s">
        <v>6983</v>
      </c>
      <c r="B541" s="3" t="s">
        <v>6992</v>
      </c>
      <c r="C541" s="3" t="s">
        <v>6985</v>
      </c>
      <c r="D541" s="3" t="s">
        <v>1120</v>
      </c>
      <c r="E541" s="3">
        <v>540</v>
      </c>
      <c r="F541" s="3" t="s">
        <v>4305</v>
      </c>
      <c r="G541" s="3" t="s">
        <v>1101</v>
      </c>
      <c r="H541" s="3" t="str">
        <f t="shared" si="10"/>
        <v>Output Prod Dk LIQ Mt Vert LO, data relayed from Weight Management System.</v>
      </c>
    </row>
    <row r="542" spans="1:8" x14ac:dyDescent="0.25">
      <c r="A542" s="3" t="s">
        <v>6983</v>
      </c>
      <c r="B542" s="3" t="s">
        <v>6992</v>
      </c>
      <c r="C542" s="3" t="s">
        <v>6985</v>
      </c>
      <c r="D542" s="3" t="s">
        <v>1120</v>
      </c>
      <c r="E542" s="3">
        <v>541</v>
      </c>
      <c r="F542" s="3" t="s">
        <v>4306</v>
      </c>
      <c r="G542" s="3" t="s">
        <v>1101</v>
      </c>
      <c r="H542" s="3" t="str">
        <f t="shared" si="10"/>
        <v>Output Prod Dk LIQ Mt EW HI, data relayed from Weight Management System.</v>
      </c>
    </row>
    <row r="543" spans="1:8" x14ac:dyDescent="0.25">
      <c r="A543" s="3" t="s">
        <v>6983</v>
      </c>
      <c r="B543" s="3" t="s">
        <v>6992</v>
      </c>
      <c r="C543" s="3" t="s">
        <v>6985</v>
      </c>
      <c r="D543" s="3" t="s">
        <v>1120</v>
      </c>
      <c r="E543" s="3">
        <v>542</v>
      </c>
      <c r="F543" s="3" t="s">
        <v>4307</v>
      </c>
      <c r="G543" s="3" t="s">
        <v>1101</v>
      </c>
      <c r="H543" s="3" t="str">
        <f t="shared" si="10"/>
        <v>Output Prod Dk LIQ Mt EW LO, data relayed from Weight Management System.</v>
      </c>
    </row>
    <row r="544" spans="1:8" x14ac:dyDescent="0.25">
      <c r="A544" s="3" t="s">
        <v>6983</v>
      </c>
      <c r="B544" s="3" t="s">
        <v>6992</v>
      </c>
      <c r="C544" s="3" t="s">
        <v>6985</v>
      </c>
      <c r="D544" s="3" t="s">
        <v>1120</v>
      </c>
      <c r="E544" s="3">
        <v>543</v>
      </c>
      <c r="F544" s="3" t="s">
        <v>4308</v>
      </c>
      <c r="G544" s="3" t="s">
        <v>1101</v>
      </c>
      <c r="H544" s="3" t="str">
        <f t="shared" si="10"/>
        <v>Output Prod Dk LIQ Mt NS HI, data relayed from Weight Management System.</v>
      </c>
    </row>
    <row r="545" spans="1:8" x14ac:dyDescent="0.25">
      <c r="A545" s="3" t="s">
        <v>6983</v>
      </c>
      <c r="B545" s="3" t="s">
        <v>6992</v>
      </c>
      <c r="C545" s="3" t="s">
        <v>6985</v>
      </c>
      <c r="D545" s="3" t="s">
        <v>1120</v>
      </c>
      <c r="E545" s="3">
        <v>544</v>
      </c>
      <c r="F545" s="3" t="s">
        <v>4309</v>
      </c>
      <c r="G545" s="3" t="s">
        <v>1101</v>
      </c>
      <c r="H545" s="3" t="str">
        <f t="shared" si="10"/>
        <v>Output Prod Dk LIQ Mt NS LO, data relayed from Weight Management System.</v>
      </c>
    </row>
    <row r="546" spans="1:8" x14ac:dyDescent="0.25">
      <c r="A546" s="3" t="s">
        <v>6983</v>
      </c>
      <c r="B546" s="3" t="s">
        <v>6992</v>
      </c>
      <c r="C546" s="3" t="s">
        <v>6985</v>
      </c>
      <c r="D546" s="3" t="s">
        <v>1120</v>
      </c>
      <c r="E546" s="3">
        <v>545</v>
      </c>
      <c r="F546" s="3" t="s">
        <v>4310</v>
      </c>
      <c r="G546" s="3" t="s">
        <v>1101</v>
      </c>
      <c r="H546" s="3" t="str">
        <f t="shared" si="10"/>
        <v>Output Prod Dk LIQ FS Mt EW HI, data relayed from Weight Management System.</v>
      </c>
    </row>
    <row r="547" spans="1:8" x14ac:dyDescent="0.25">
      <c r="A547" s="3" t="s">
        <v>6983</v>
      </c>
      <c r="B547" s="3" t="s">
        <v>6992</v>
      </c>
      <c r="C547" s="3" t="s">
        <v>6985</v>
      </c>
      <c r="D547" s="3" t="s">
        <v>1120</v>
      </c>
      <c r="E547" s="3">
        <v>546</v>
      </c>
      <c r="F547" s="3" t="s">
        <v>4311</v>
      </c>
      <c r="G547" s="3" t="s">
        <v>1101</v>
      </c>
      <c r="H547" s="3" t="str">
        <f t="shared" si="10"/>
        <v>Output Prod Dk LIQ FS Mt EW LO, data relayed from Weight Management System.</v>
      </c>
    </row>
    <row r="548" spans="1:8" x14ac:dyDescent="0.25">
      <c r="A548" s="3" t="s">
        <v>6983</v>
      </c>
      <c r="B548" s="3" t="s">
        <v>6992</v>
      </c>
      <c r="C548" s="3" t="s">
        <v>6985</v>
      </c>
      <c r="D548" s="3" t="s">
        <v>1120</v>
      </c>
      <c r="E548" s="3">
        <v>547</v>
      </c>
      <c r="F548" s="3" t="s">
        <v>4312</v>
      </c>
      <c r="G548" s="3" t="s">
        <v>1101</v>
      </c>
      <c r="H548" s="3" t="str">
        <f t="shared" si="10"/>
        <v>Output Prod Dk LIQ FS Mt NS HI, data relayed from Weight Management System.</v>
      </c>
    </row>
    <row r="549" spans="1:8" x14ac:dyDescent="0.25">
      <c r="A549" s="3" t="s">
        <v>6983</v>
      </c>
      <c r="B549" s="3" t="s">
        <v>6992</v>
      </c>
      <c r="C549" s="3" t="s">
        <v>6985</v>
      </c>
      <c r="D549" s="3" t="s">
        <v>1120</v>
      </c>
      <c r="E549" s="3">
        <v>548</v>
      </c>
      <c r="F549" s="3" t="s">
        <v>4313</v>
      </c>
      <c r="G549" s="3" t="s">
        <v>1101</v>
      </c>
      <c r="H549" s="3" t="str">
        <f t="shared" si="10"/>
        <v>Output Prod Dk LIQ FS Mt NS LO, data relayed from Weight Management System.</v>
      </c>
    </row>
    <row r="550" spans="1:8" x14ac:dyDescent="0.25">
      <c r="A550" s="3" t="s">
        <v>6983</v>
      </c>
      <c r="B550" s="3" t="s">
        <v>6992</v>
      </c>
      <c r="C550" s="3" t="s">
        <v>6985</v>
      </c>
      <c r="D550" s="3" t="s">
        <v>1120</v>
      </c>
      <c r="E550" s="3">
        <v>549</v>
      </c>
      <c r="F550" s="3" t="s">
        <v>4314</v>
      </c>
      <c r="G550" s="3" t="s">
        <v>1100</v>
      </c>
      <c r="H550" s="3" t="str">
        <f t="shared" si="10"/>
        <v>Output Cellr Dk Liq Weight, data relayed from Weight Management System.</v>
      </c>
    </row>
    <row r="551" spans="1:8" x14ac:dyDescent="0.25">
      <c r="A551" s="3" t="s">
        <v>6983</v>
      </c>
      <c r="B551" s="3" t="s">
        <v>6992</v>
      </c>
      <c r="C551" s="3" t="s">
        <v>6985</v>
      </c>
      <c r="D551" s="3" t="s">
        <v>1120</v>
      </c>
      <c r="E551" s="3">
        <v>550</v>
      </c>
      <c r="F551" s="3" t="s">
        <v>4315</v>
      </c>
      <c r="G551" s="3" t="s">
        <v>1093</v>
      </c>
      <c r="H551" s="3" t="str">
        <f t="shared" si="10"/>
        <v>Output Cellr Dk Liq VCG, data relayed from Weight Management System.</v>
      </c>
    </row>
    <row r="552" spans="1:8" x14ac:dyDescent="0.25">
      <c r="A552" s="3" t="s">
        <v>6983</v>
      </c>
      <c r="B552" s="3" t="s">
        <v>6992</v>
      </c>
      <c r="C552" s="3" t="s">
        <v>6985</v>
      </c>
      <c r="D552" s="3" t="s">
        <v>1120</v>
      </c>
      <c r="E552" s="3">
        <v>551</v>
      </c>
      <c r="F552" s="3" t="s">
        <v>4316</v>
      </c>
      <c r="G552" s="3" t="s">
        <v>1093</v>
      </c>
      <c r="H552" s="3" t="str">
        <f t="shared" si="10"/>
        <v>Output Cellr Dk Liq CG EW, data relayed from Weight Management System.</v>
      </c>
    </row>
    <row r="553" spans="1:8" x14ac:dyDescent="0.25">
      <c r="A553" s="3" t="s">
        <v>6983</v>
      </c>
      <c r="B553" s="3" t="s">
        <v>6992</v>
      </c>
      <c r="C553" s="3" t="s">
        <v>6985</v>
      </c>
      <c r="D553" s="3" t="s">
        <v>1120</v>
      </c>
      <c r="E553" s="3">
        <v>552</v>
      </c>
      <c r="F553" s="3" t="s">
        <v>4317</v>
      </c>
      <c r="G553" s="3" t="s">
        <v>1093</v>
      </c>
      <c r="H553" s="3" t="str">
        <f t="shared" si="10"/>
        <v>Output Cellr Dk Liq CG NS, data relayed from Weight Management System.</v>
      </c>
    </row>
    <row r="554" spans="1:8" x14ac:dyDescent="0.25">
      <c r="A554" s="3" t="s">
        <v>6983</v>
      </c>
      <c r="B554" s="3" t="s">
        <v>6992</v>
      </c>
      <c r="C554" s="3" t="s">
        <v>6985</v>
      </c>
      <c r="D554" s="3" t="s">
        <v>1120</v>
      </c>
      <c r="E554" s="3">
        <v>553</v>
      </c>
      <c r="F554" s="3" t="s">
        <v>4318</v>
      </c>
      <c r="G554" s="3" t="s">
        <v>1101</v>
      </c>
      <c r="H554" s="3" t="str">
        <f t="shared" si="10"/>
        <v>Output Cellr Dk Liq Mt Vert HI, data relayed from Weight Management System.</v>
      </c>
    </row>
    <row r="555" spans="1:8" x14ac:dyDescent="0.25">
      <c r="A555" s="3" t="s">
        <v>6983</v>
      </c>
      <c r="B555" s="3" t="s">
        <v>6992</v>
      </c>
      <c r="C555" s="3" t="s">
        <v>6985</v>
      </c>
      <c r="D555" s="3" t="s">
        <v>1120</v>
      </c>
      <c r="E555" s="3">
        <v>554</v>
      </c>
      <c r="F555" s="3" t="s">
        <v>4319</v>
      </c>
      <c r="G555" s="3" t="s">
        <v>1101</v>
      </c>
      <c r="H555" s="3" t="str">
        <f t="shared" si="10"/>
        <v>Output Cellr Dk Liq Mt Vert LO, data relayed from Weight Management System.</v>
      </c>
    </row>
    <row r="556" spans="1:8" x14ac:dyDescent="0.25">
      <c r="A556" s="3" t="s">
        <v>6983</v>
      </c>
      <c r="B556" s="3" t="s">
        <v>6992</v>
      </c>
      <c r="C556" s="3" t="s">
        <v>6985</v>
      </c>
      <c r="D556" s="3" t="s">
        <v>1120</v>
      </c>
      <c r="E556" s="3">
        <v>555</v>
      </c>
      <c r="F556" s="3" t="s">
        <v>4320</v>
      </c>
      <c r="G556" s="3" t="s">
        <v>1101</v>
      </c>
      <c r="H556" s="3" t="str">
        <f t="shared" si="10"/>
        <v>Output Cellr Dk Liq Mt EW HI, data relayed from Weight Management System.</v>
      </c>
    </row>
    <row r="557" spans="1:8" x14ac:dyDescent="0.25">
      <c r="A557" s="3" t="s">
        <v>6983</v>
      </c>
      <c r="B557" s="3" t="s">
        <v>6992</v>
      </c>
      <c r="C557" s="3" t="s">
        <v>6985</v>
      </c>
      <c r="D557" s="3" t="s">
        <v>1120</v>
      </c>
      <c r="E557" s="3">
        <v>556</v>
      </c>
      <c r="F557" s="3" t="s">
        <v>4321</v>
      </c>
      <c r="G557" s="3" t="s">
        <v>1101</v>
      </c>
      <c r="H557" s="3" t="str">
        <f t="shared" si="10"/>
        <v>Output Cellr Dk Liq Mt EW LO, data relayed from Weight Management System.</v>
      </c>
    </row>
    <row r="558" spans="1:8" x14ac:dyDescent="0.25">
      <c r="A558" s="3" t="s">
        <v>6983</v>
      </c>
      <c r="B558" s="3" t="s">
        <v>6992</v>
      </c>
      <c r="C558" s="3" t="s">
        <v>6985</v>
      </c>
      <c r="D558" s="3" t="s">
        <v>1120</v>
      </c>
      <c r="E558" s="3">
        <v>557</v>
      </c>
      <c r="F558" s="3" t="s">
        <v>4322</v>
      </c>
      <c r="G558" s="3" t="s">
        <v>1101</v>
      </c>
      <c r="H558" s="3" t="str">
        <f t="shared" si="10"/>
        <v>Output Cellr Dk Liq Mt NS HI, data relayed from Weight Management System.</v>
      </c>
    </row>
    <row r="559" spans="1:8" x14ac:dyDescent="0.25">
      <c r="A559" s="3" t="s">
        <v>6983</v>
      </c>
      <c r="B559" s="3" t="s">
        <v>6992</v>
      </c>
      <c r="C559" s="3" t="s">
        <v>6985</v>
      </c>
      <c r="D559" s="3" t="s">
        <v>1120</v>
      </c>
      <c r="E559" s="3">
        <v>558</v>
      </c>
      <c r="F559" s="3" t="s">
        <v>4323</v>
      </c>
      <c r="G559" s="3" t="s">
        <v>1101</v>
      </c>
      <c r="H559" s="3" t="str">
        <f t="shared" si="10"/>
        <v>Output Cellr Dk Liq Mt NS LO, data relayed from Weight Management System.</v>
      </c>
    </row>
    <row r="560" spans="1:8" x14ac:dyDescent="0.25">
      <c r="A560" s="3" t="s">
        <v>6983</v>
      </c>
      <c r="B560" s="3" t="s">
        <v>6992</v>
      </c>
      <c r="C560" s="3" t="s">
        <v>6985</v>
      </c>
      <c r="D560" s="3" t="s">
        <v>1120</v>
      </c>
      <c r="E560" s="3">
        <v>559</v>
      </c>
      <c r="F560" s="3" t="s">
        <v>4324</v>
      </c>
      <c r="G560" s="3" t="s">
        <v>1101</v>
      </c>
      <c r="H560" s="3" t="str">
        <f t="shared" si="10"/>
        <v>Output Cellr Dk Liq FS Mt EW HI, data relayed from Weight Management System.</v>
      </c>
    </row>
    <row r="561" spans="1:8" x14ac:dyDescent="0.25">
      <c r="A561" s="3" t="s">
        <v>6983</v>
      </c>
      <c r="B561" s="3" t="s">
        <v>6992</v>
      </c>
      <c r="C561" s="3" t="s">
        <v>6985</v>
      </c>
      <c r="D561" s="3" t="s">
        <v>1120</v>
      </c>
      <c r="E561" s="3">
        <v>560</v>
      </c>
      <c r="F561" s="3" t="s">
        <v>4325</v>
      </c>
      <c r="G561" s="3" t="s">
        <v>1101</v>
      </c>
      <c r="H561" s="3" t="str">
        <f t="shared" si="10"/>
        <v>Output Cellr Dk Liq FS Mt EW LO, data relayed from Weight Management System.</v>
      </c>
    </row>
    <row r="562" spans="1:8" x14ac:dyDescent="0.25">
      <c r="A562" s="3" t="s">
        <v>6983</v>
      </c>
      <c r="B562" s="3" t="s">
        <v>6992</v>
      </c>
      <c r="C562" s="3" t="s">
        <v>6985</v>
      </c>
      <c r="D562" s="3" t="s">
        <v>1120</v>
      </c>
      <c r="E562" s="3">
        <v>561</v>
      </c>
      <c r="F562" s="3" t="s">
        <v>4326</v>
      </c>
      <c r="G562" s="3" t="s">
        <v>1101</v>
      </c>
      <c r="H562" s="3" t="str">
        <f t="shared" si="10"/>
        <v>Output Cellr Dk Liq FS Mt NS HI, data relayed from Weight Management System.</v>
      </c>
    </row>
    <row r="563" spans="1:8" x14ac:dyDescent="0.25">
      <c r="A563" s="3" t="s">
        <v>6983</v>
      </c>
      <c r="B563" s="3" t="s">
        <v>6992</v>
      </c>
      <c r="C563" s="3" t="s">
        <v>6985</v>
      </c>
      <c r="D563" s="3" t="s">
        <v>1120</v>
      </c>
      <c r="E563" s="3">
        <v>562</v>
      </c>
      <c r="F563" s="3" t="s">
        <v>4327</v>
      </c>
      <c r="G563" s="3" t="s">
        <v>1101</v>
      </c>
      <c r="H563" s="3" t="str">
        <f t="shared" si="10"/>
        <v>Output Cellr Dk Liq FS Mt NS LO, data relayed from Weight Management System.</v>
      </c>
    </row>
    <row r="564" spans="1:8" x14ac:dyDescent="0.25">
      <c r="A564" s="3" t="s">
        <v>6983</v>
      </c>
      <c r="B564" s="3" t="s">
        <v>6992</v>
      </c>
      <c r="C564" s="3" t="s">
        <v>6985</v>
      </c>
      <c r="D564" s="3" t="s">
        <v>1120</v>
      </c>
      <c r="E564" s="3">
        <v>563</v>
      </c>
      <c r="F564" s="3" t="s">
        <v>4328</v>
      </c>
      <c r="G564" s="3" t="s">
        <v>1100</v>
      </c>
      <c r="H564" s="3" t="str">
        <f t="shared" si="10"/>
        <v>Output Drilling Fluids Weight, data relayed from Weight Management System.</v>
      </c>
    </row>
    <row r="565" spans="1:8" x14ac:dyDescent="0.25">
      <c r="A565" s="3" t="s">
        <v>6983</v>
      </c>
      <c r="B565" s="3" t="s">
        <v>6992</v>
      </c>
      <c r="C565" s="3" t="s">
        <v>6985</v>
      </c>
      <c r="D565" s="3" t="s">
        <v>1120</v>
      </c>
      <c r="E565" s="3">
        <v>564</v>
      </c>
      <c r="F565" s="3" t="s">
        <v>4329</v>
      </c>
      <c r="G565" s="3" t="s">
        <v>1093</v>
      </c>
      <c r="H565" s="3" t="str">
        <f t="shared" si="10"/>
        <v>Output Drilling Fluids VCG, data relayed from Weight Management System.</v>
      </c>
    </row>
    <row r="566" spans="1:8" x14ac:dyDescent="0.25">
      <c r="A566" s="3" t="s">
        <v>6983</v>
      </c>
      <c r="B566" s="3" t="s">
        <v>6992</v>
      </c>
      <c r="C566" s="3" t="s">
        <v>6985</v>
      </c>
      <c r="D566" s="3" t="s">
        <v>1120</v>
      </c>
      <c r="E566" s="3">
        <v>565</v>
      </c>
      <c r="F566" s="3" t="s">
        <v>4330</v>
      </c>
      <c r="G566" s="3" t="s">
        <v>1093</v>
      </c>
      <c r="H566" s="3" t="str">
        <f t="shared" si="10"/>
        <v>Output Drilling Fluids CG EW, data relayed from Weight Management System.</v>
      </c>
    </row>
    <row r="567" spans="1:8" x14ac:dyDescent="0.25">
      <c r="A567" s="3" t="s">
        <v>6983</v>
      </c>
      <c r="B567" s="3" t="s">
        <v>6992</v>
      </c>
      <c r="C567" s="3" t="s">
        <v>6985</v>
      </c>
      <c r="D567" s="3" t="s">
        <v>1120</v>
      </c>
      <c r="E567" s="3">
        <v>566</v>
      </c>
      <c r="F567" s="3" t="s">
        <v>4331</v>
      </c>
      <c r="G567" s="3" t="s">
        <v>1093</v>
      </c>
      <c r="H567" s="3" t="str">
        <f t="shared" si="10"/>
        <v>Output Drilling Fluids CG NS, data relayed from Weight Management System.</v>
      </c>
    </row>
    <row r="568" spans="1:8" x14ac:dyDescent="0.25">
      <c r="A568" s="3" t="s">
        <v>6983</v>
      </c>
      <c r="B568" s="3" t="s">
        <v>6992</v>
      </c>
      <c r="C568" s="3" t="s">
        <v>6985</v>
      </c>
      <c r="D568" s="3" t="s">
        <v>1120</v>
      </c>
      <c r="E568" s="3">
        <v>567</v>
      </c>
      <c r="F568" s="3" t="s">
        <v>4332</v>
      </c>
      <c r="G568" s="3" t="s">
        <v>1101</v>
      </c>
      <c r="H568" s="3" t="str">
        <f t="shared" si="10"/>
        <v>Output Drilling Flds Mt Vert HI, data relayed from Weight Management System.</v>
      </c>
    </row>
    <row r="569" spans="1:8" x14ac:dyDescent="0.25">
      <c r="A569" s="3" t="s">
        <v>6983</v>
      </c>
      <c r="B569" s="3" t="s">
        <v>6992</v>
      </c>
      <c r="C569" s="3" t="s">
        <v>6985</v>
      </c>
      <c r="D569" s="3" t="s">
        <v>1120</v>
      </c>
      <c r="E569" s="3">
        <v>568</v>
      </c>
      <c r="F569" s="3" t="s">
        <v>4333</v>
      </c>
      <c r="G569" s="3" t="s">
        <v>1101</v>
      </c>
      <c r="H569" s="3" t="str">
        <f t="shared" si="10"/>
        <v>Output Drilling Flds Mt Vert LO, data relayed from Weight Management System.</v>
      </c>
    </row>
    <row r="570" spans="1:8" x14ac:dyDescent="0.25">
      <c r="A570" s="3" t="s">
        <v>6983</v>
      </c>
      <c r="B570" s="3" t="s">
        <v>6992</v>
      </c>
      <c r="C570" s="3" t="s">
        <v>6985</v>
      </c>
      <c r="D570" s="3" t="s">
        <v>1120</v>
      </c>
      <c r="E570" s="3">
        <v>569</v>
      </c>
      <c r="F570" s="3" t="s">
        <v>4334</v>
      </c>
      <c r="G570" s="3" t="s">
        <v>1101</v>
      </c>
      <c r="H570" s="3" t="str">
        <f t="shared" si="10"/>
        <v>Output Drilling Fluids Mt EW HI, data relayed from Weight Management System.</v>
      </c>
    </row>
    <row r="571" spans="1:8" x14ac:dyDescent="0.25">
      <c r="A571" s="3" t="s">
        <v>6983</v>
      </c>
      <c r="B571" s="3" t="s">
        <v>6992</v>
      </c>
      <c r="C571" s="3" t="s">
        <v>6985</v>
      </c>
      <c r="D571" s="3" t="s">
        <v>1120</v>
      </c>
      <c r="E571" s="3">
        <v>570</v>
      </c>
      <c r="F571" s="3" t="s">
        <v>4335</v>
      </c>
      <c r="G571" s="3" t="s">
        <v>1101</v>
      </c>
      <c r="H571" s="3" t="str">
        <f t="shared" si="10"/>
        <v>Output Drilling Fluids Mt EW LO, data relayed from Weight Management System.</v>
      </c>
    </row>
    <row r="572" spans="1:8" x14ac:dyDescent="0.25">
      <c r="A572" s="3" t="s">
        <v>6983</v>
      </c>
      <c r="B572" s="3" t="s">
        <v>6992</v>
      </c>
      <c r="C572" s="3" t="s">
        <v>6985</v>
      </c>
      <c r="D572" s="3" t="s">
        <v>1120</v>
      </c>
      <c r="E572" s="3">
        <v>571</v>
      </c>
      <c r="F572" s="3" t="s">
        <v>4336</v>
      </c>
      <c r="G572" s="3" t="s">
        <v>1101</v>
      </c>
      <c r="H572" s="3" t="str">
        <f t="shared" si="10"/>
        <v>Output Drilling Fluids Mt NS HI, data relayed from Weight Management System.</v>
      </c>
    </row>
    <row r="573" spans="1:8" x14ac:dyDescent="0.25">
      <c r="A573" s="3" t="s">
        <v>6983</v>
      </c>
      <c r="B573" s="3" t="s">
        <v>6992</v>
      </c>
      <c r="C573" s="3" t="s">
        <v>6985</v>
      </c>
      <c r="D573" s="3" t="s">
        <v>1120</v>
      </c>
      <c r="E573" s="3">
        <v>572</v>
      </c>
      <c r="F573" s="3" t="s">
        <v>4337</v>
      </c>
      <c r="G573" s="3" t="s">
        <v>1101</v>
      </c>
      <c r="H573" s="3" t="str">
        <f t="shared" si="10"/>
        <v>Output Drilling Fluids Mt NS LO, data relayed from Weight Management System.</v>
      </c>
    </row>
    <row r="574" spans="1:8" x14ac:dyDescent="0.25">
      <c r="A574" s="3" t="s">
        <v>6983</v>
      </c>
      <c r="B574" s="3" t="s">
        <v>6992</v>
      </c>
      <c r="C574" s="3" t="s">
        <v>6985</v>
      </c>
      <c r="D574" s="3" t="s">
        <v>1120</v>
      </c>
      <c r="E574" s="3">
        <v>573</v>
      </c>
      <c r="F574" s="3" t="s">
        <v>4338</v>
      </c>
      <c r="G574" s="3" t="s">
        <v>1101</v>
      </c>
      <c r="H574" s="3" t="str">
        <f t="shared" si="10"/>
        <v>Output Drilling Flds FS Mt EW HI, data relayed from Weight Management System.</v>
      </c>
    </row>
    <row r="575" spans="1:8" x14ac:dyDescent="0.25">
      <c r="A575" s="3" t="s">
        <v>6983</v>
      </c>
      <c r="B575" s="3" t="s">
        <v>6992</v>
      </c>
      <c r="C575" s="3" t="s">
        <v>6985</v>
      </c>
      <c r="D575" s="3" t="s">
        <v>1120</v>
      </c>
      <c r="E575" s="3">
        <v>574</v>
      </c>
      <c r="F575" s="3" t="s">
        <v>4339</v>
      </c>
      <c r="G575" s="3" t="s">
        <v>1101</v>
      </c>
      <c r="H575" s="3" t="str">
        <f t="shared" si="10"/>
        <v>Output Drilling Flds FS Mt EW LO, data relayed from Weight Management System.</v>
      </c>
    </row>
    <row r="576" spans="1:8" x14ac:dyDescent="0.25">
      <c r="A576" s="3" t="s">
        <v>6983</v>
      </c>
      <c r="B576" s="3" t="s">
        <v>6992</v>
      </c>
      <c r="C576" s="3" t="s">
        <v>6985</v>
      </c>
      <c r="D576" s="3" t="s">
        <v>1120</v>
      </c>
      <c r="E576" s="3">
        <v>575</v>
      </c>
      <c r="F576" s="3" t="s">
        <v>4340</v>
      </c>
      <c r="G576" s="3" t="s">
        <v>1101</v>
      </c>
      <c r="H576" s="3" t="str">
        <f t="shared" si="10"/>
        <v>Output Drilling Flds FS Mt NS HI, data relayed from Weight Management System.</v>
      </c>
    </row>
    <row r="577" spans="1:8" x14ac:dyDescent="0.25">
      <c r="A577" s="3" t="s">
        <v>6983</v>
      </c>
      <c r="B577" s="3" t="s">
        <v>6992</v>
      </c>
      <c r="C577" s="3" t="s">
        <v>6985</v>
      </c>
      <c r="D577" s="3" t="s">
        <v>1120</v>
      </c>
      <c r="E577" s="3">
        <v>576</v>
      </c>
      <c r="F577" s="3" t="s">
        <v>4341</v>
      </c>
      <c r="G577" s="3" t="s">
        <v>1101</v>
      </c>
      <c r="H577" s="3" t="str">
        <f t="shared" si="10"/>
        <v>Output Drilling Flds FS Mt NS LO, data relayed from Weight Management System.</v>
      </c>
    </row>
    <row r="578" spans="1:8" x14ac:dyDescent="0.25">
      <c r="A578" s="3" t="s">
        <v>6983</v>
      </c>
      <c r="B578" s="3" t="s">
        <v>6992</v>
      </c>
      <c r="C578" s="3" t="s">
        <v>6985</v>
      </c>
      <c r="D578" s="3" t="s">
        <v>1120</v>
      </c>
      <c r="E578" s="3">
        <v>577</v>
      </c>
      <c r="F578" s="3" t="s">
        <v>4342</v>
      </c>
      <c r="G578" s="3" t="s">
        <v>1100</v>
      </c>
      <c r="H578" s="3" t="str">
        <f t="shared" si="10"/>
        <v>Output Spaces Weight, data relayed from Weight Management System.</v>
      </c>
    </row>
    <row r="579" spans="1:8" x14ac:dyDescent="0.25">
      <c r="A579" s="3" t="s">
        <v>6983</v>
      </c>
      <c r="B579" s="3" t="s">
        <v>6992</v>
      </c>
      <c r="C579" s="3" t="s">
        <v>6985</v>
      </c>
      <c r="D579" s="3" t="s">
        <v>1120</v>
      </c>
      <c r="E579" s="3">
        <v>578</v>
      </c>
      <c r="F579" s="3" t="s">
        <v>4343</v>
      </c>
      <c r="G579" s="3" t="s">
        <v>1093</v>
      </c>
      <c r="H579" s="3" t="str">
        <f t="shared" si="10"/>
        <v>Output Spaces VCG, data relayed from Weight Management System.</v>
      </c>
    </row>
    <row r="580" spans="1:8" x14ac:dyDescent="0.25">
      <c r="A580" s="3" t="s">
        <v>6983</v>
      </c>
      <c r="B580" s="3" t="s">
        <v>6992</v>
      </c>
      <c r="C580" s="3" t="s">
        <v>6985</v>
      </c>
      <c r="D580" s="3" t="s">
        <v>1120</v>
      </c>
      <c r="E580" s="3">
        <v>579</v>
      </c>
      <c r="F580" s="3" t="s">
        <v>4344</v>
      </c>
      <c r="G580" s="3" t="s">
        <v>1093</v>
      </c>
      <c r="H580" s="3" t="str">
        <f t="shared" si="10"/>
        <v>Output Spaces CG EW, data relayed from Weight Management System.</v>
      </c>
    </row>
    <row r="581" spans="1:8" x14ac:dyDescent="0.25">
      <c r="A581" s="3" t="s">
        <v>6983</v>
      </c>
      <c r="B581" s="3" t="s">
        <v>6992</v>
      </c>
      <c r="C581" s="3" t="s">
        <v>6985</v>
      </c>
      <c r="D581" s="3" t="s">
        <v>1120</v>
      </c>
      <c r="E581" s="3">
        <v>580</v>
      </c>
      <c r="F581" s="3" t="s">
        <v>4345</v>
      </c>
      <c r="G581" s="3" t="s">
        <v>1093</v>
      </c>
      <c r="H581" s="3" t="str">
        <f t="shared" si="10"/>
        <v>Output Spaces CG NS, data relayed from Weight Management System.</v>
      </c>
    </row>
    <row r="582" spans="1:8" x14ac:dyDescent="0.25">
      <c r="A582" s="3" t="s">
        <v>6983</v>
      </c>
      <c r="B582" s="3" t="s">
        <v>6992</v>
      </c>
      <c r="C582" s="3" t="s">
        <v>6985</v>
      </c>
      <c r="D582" s="3" t="s">
        <v>1120</v>
      </c>
      <c r="E582" s="3">
        <v>581</v>
      </c>
      <c r="F582" s="3" t="s">
        <v>4346</v>
      </c>
      <c r="G582" s="3" t="s">
        <v>1101</v>
      </c>
      <c r="H582" s="3" t="str">
        <f t="shared" si="10"/>
        <v>Output Spaces Mt Vert HI, data relayed from Weight Management System.</v>
      </c>
    </row>
    <row r="583" spans="1:8" x14ac:dyDescent="0.25">
      <c r="A583" s="3" t="s">
        <v>6983</v>
      </c>
      <c r="B583" s="3" t="s">
        <v>6992</v>
      </c>
      <c r="C583" s="3" t="s">
        <v>6985</v>
      </c>
      <c r="D583" s="3" t="s">
        <v>1120</v>
      </c>
      <c r="E583" s="3">
        <v>582</v>
      </c>
      <c r="F583" s="3" t="s">
        <v>4347</v>
      </c>
      <c r="G583" s="3" t="s">
        <v>1101</v>
      </c>
      <c r="H583" s="3" t="str">
        <f t="shared" si="10"/>
        <v>Output Spaces Mt Vert LO, data relayed from Weight Management System.</v>
      </c>
    </row>
    <row r="584" spans="1:8" x14ac:dyDescent="0.25">
      <c r="A584" s="3" t="s">
        <v>6983</v>
      </c>
      <c r="B584" s="3" t="s">
        <v>6992</v>
      </c>
      <c r="C584" s="3" t="s">
        <v>6985</v>
      </c>
      <c r="D584" s="3" t="s">
        <v>1120</v>
      </c>
      <c r="E584" s="3">
        <v>583</v>
      </c>
      <c r="F584" s="3" t="s">
        <v>4348</v>
      </c>
      <c r="G584" s="3" t="s">
        <v>1101</v>
      </c>
      <c r="H584" s="3" t="str">
        <f t="shared" si="10"/>
        <v>Output Spaces Mt EW HI, data relayed from Weight Management System.</v>
      </c>
    </row>
    <row r="585" spans="1:8" x14ac:dyDescent="0.25">
      <c r="A585" s="3" t="s">
        <v>6983</v>
      </c>
      <c r="B585" s="3" t="s">
        <v>6992</v>
      </c>
      <c r="C585" s="3" t="s">
        <v>6985</v>
      </c>
      <c r="D585" s="3" t="s">
        <v>1120</v>
      </c>
      <c r="E585" s="3">
        <v>584</v>
      </c>
      <c r="F585" s="3" t="s">
        <v>4349</v>
      </c>
      <c r="G585" s="3" t="s">
        <v>1101</v>
      </c>
      <c r="H585" s="3" t="str">
        <f t="shared" ref="H585:H648" si="11">_xlfn.CONCAT("Output ",F585, ", data relayed from Weight Management System.")</f>
        <v>Output Spaces Mt EW LO, data relayed from Weight Management System.</v>
      </c>
    </row>
    <row r="586" spans="1:8" x14ac:dyDescent="0.25">
      <c r="A586" s="3" t="s">
        <v>6983</v>
      </c>
      <c r="B586" s="3" t="s">
        <v>6992</v>
      </c>
      <c r="C586" s="3" t="s">
        <v>6985</v>
      </c>
      <c r="D586" s="3" t="s">
        <v>1120</v>
      </c>
      <c r="E586" s="3">
        <v>585</v>
      </c>
      <c r="F586" s="3" t="s">
        <v>4350</v>
      </c>
      <c r="G586" s="3" t="s">
        <v>1101</v>
      </c>
      <c r="H586" s="3" t="str">
        <f t="shared" si="11"/>
        <v>Output Spaces Mt NS HI, data relayed from Weight Management System.</v>
      </c>
    </row>
    <row r="587" spans="1:8" x14ac:dyDescent="0.25">
      <c r="A587" s="3" t="s">
        <v>6983</v>
      </c>
      <c r="B587" s="3" t="s">
        <v>6992</v>
      </c>
      <c r="C587" s="3" t="s">
        <v>6985</v>
      </c>
      <c r="D587" s="3" t="s">
        <v>1120</v>
      </c>
      <c r="E587" s="3">
        <v>586</v>
      </c>
      <c r="F587" s="3" t="s">
        <v>4351</v>
      </c>
      <c r="G587" s="3" t="s">
        <v>1101</v>
      </c>
      <c r="H587" s="3" t="str">
        <f t="shared" si="11"/>
        <v>Output Spaces Mt NS LO, data relayed from Weight Management System.</v>
      </c>
    </row>
    <row r="588" spans="1:8" x14ac:dyDescent="0.25">
      <c r="A588" s="3" t="s">
        <v>6983</v>
      </c>
      <c r="B588" s="3" t="s">
        <v>6992</v>
      </c>
      <c r="C588" s="3" t="s">
        <v>6985</v>
      </c>
      <c r="D588" s="3" t="s">
        <v>1120</v>
      </c>
      <c r="E588" s="3">
        <v>587</v>
      </c>
      <c r="F588" s="3" t="s">
        <v>4352</v>
      </c>
      <c r="G588" s="3" t="s">
        <v>1100</v>
      </c>
      <c r="H588" s="3" t="str">
        <f t="shared" si="11"/>
        <v>Output Main Dk Weight, data relayed from Weight Management System.</v>
      </c>
    </row>
    <row r="589" spans="1:8" x14ac:dyDescent="0.25">
      <c r="A589" s="3" t="s">
        <v>6983</v>
      </c>
      <c r="B589" s="3" t="s">
        <v>6992</v>
      </c>
      <c r="C589" s="3" t="s">
        <v>6985</v>
      </c>
      <c r="D589" s="3" t="s">
        <v>1120</v>
      </c>
      <c r="E589" s="3">
        <v>588</v>
      </c>
      <c r="F589" s="3" t="s">
        <v>4353</v>
      </c>
      <c r="G589" s="3" t="s">
        <v>1093</v>
      </c>
      <c r="H589" s="3" t="str">
        <f t="shared" si="11"/>
        <v>Output Main Dk VCG, data relayed from Weight Management System.</v>
      </c>
    </row>
    <row r="590" spans="1:8" x14ac:dyDescent="0.25">
      <c r="A590" s="3" t="s">
        <v>6983</v>
      </c>
      <c r="B590" s="3" t="s">
        <v>6992</v>
      </c>
      <c r="C590" s="3" t="s">
        <v>6985</v>
      </c>
      <c r="D590" s="3" t="s">
        <v>1120</v>
      </c>
      <c r="E590" s="3">
        <v>589</v>
      </c>
      <c r="F590" s="3" t="s">
        <v>4354</v>
      </c>
      <c r="G590" s="3" t="s">
        <v>1093</v>
      </c>
      <c r="H590" s="3" t="str">
        <f t="shared" si="11"/>
        <v>Output Main Dk CG EW, data relayed from Weight Management System.</v>
      </c>
    </row>
    <row r="591" spans="1:8" x14ac:dyDescent="0.25">
      <c r="A591" s="3" t="s">
        <v>6983</v>
      </c>
      <c r="B591" s="3" t="s">
        <v>6992</v>
      </c>
      <c r="C591" s="3" t="s">
        <v>6985</v>
      </c>
      <c r="D591" s="3" t="s">
        <v>1120</v>
      </c>
      <c r="E591" s="3">
        <v>590</v>
      </c>
      <c r="F591" s="3" t="s">
        <v>4355</v>
      </c>
      <c r="G591" s="3" t="s">
        <v>1093</v>
      </c>
      <c r="H591" s="3" t="str">
        <f t="shared" si="11"/>
        <v>Output Main Dk CG NS, data relayed from Weight Management System.</v>
      </c>
    </row>
    <row r="592" spans="1:8" x14ac:dyDescent="0.25">
      <c r="A592" s="3" t="s">
        <v>6983</v>
      </c>
      <c r="B592" s="3" t="s">
        <v>6992</v>
      </c>
      <c r="C592" s="3" t="s">
        <v>6985</v>
      </c>
      <c r="D592" s="3" t="s">
        <v>1120</v>
      </c>
      <c r="E592" s="3">
        <v>591</v>
      </c>
      <c r="F592" s="3" t="s">
        <v>4356</v>
      </c>
      <c r="G592" s="3" t="s">
        <v>1101</v>
      </c>
      <c r="H592" s="3" t="str">
        <f t="shared" si="11"/>
        <v>Output Main Dk Mt Vert HI, data relayed from Weight Management System.</v>
      </c>
    </row>
    <row r="593" spans="1:8" x14ac:dyDescent="0.25">
      <c r="A593" s="3" t="s">
        <v>6983</v>
      </c>
      <c r="B593" s="3" t="s">
        <v>6992</v>
      </c>
      <c r="C593" s="3" t="s">
        <v>6985</v>
      </c>
      <c r="D593" s="3" t="s">
        <v>1120</v>
      </c>
      <c r="E593" s="3">
        <v>592</v>
      </c>
      <c r="F593" s="3" t="s">
        <v>4357</v>
      </c>
      <c r="G593" s="3" t="s">
        <v>1101</v>
      </c>
      <c r="H593" s="3" t="str">
        <f t="shared" si="11"/>
        <v>Output Main Dk Mt Vert LO, data relayed from Weight Management System.</v>
      </c>
    </row>
    <row r="594" spans="1:8" x14ac:dyDescent="0.25">
      <c r="A594" s="3" t="s">
        <v>6983</v>
      </c>
      <c r="B594" s="3" t="s">
        <v>6992</v>
      </c>
      <c r="C594" s="3" t="s">
        <v>6985</v>
      </c>
      <c r="D594" s="3" t="s">
        <v>1120</v>
      </c>
      <c r="E594" s="3">
        <v>593</v>
      </c>
      <c r="F594" s="3" t="s">
        <v>4358</v>
      </c>
      <c r="G594" s="3" t="s">
        <v>1101</v>
      </c>
      <c r="H594" s="3" t="str">
        <f t="shared" si="11"/>
        <v>Output Main Dk Mt EW HI, data relayed from Weight Management System.</v>
      </c>
    </row>
    <row r="595" spans="1:8" x14ac:dyDescent="0.25">
      <c r="A595" s="3" t="s">
        <v>6983</v>
      </c>
      <c r="B595" s="3" t="s">
        <v>6992</v>
      </c>
      <c r="C595" s="3" t="s">
        <v>6985</v>
      </c>
      <c r="D595" s="3" t="s">
        <v>1120</v>
      </c>
      <c r="E595" s="3">
        <v>594</v>
      </c>
      <c r="F595" s="3" t="s">
        <v>4359</v>
      </c>
      <c r="G595" s="3" t="s">
        <v>1101</v>
      </c>
      <c r="H595" s="3" t="str">
        <f t="shared" si="11"/>
        <v>Output Main Dk Mt EW LO, data relayed from Weight Management System.</v>
      </c>
    </row>
    <row r="596" spans="1:8" x14ac:dyDescent="0.25">
      <c r="A596" s="3" t="s">
        <v>6983</v>
      </c>
      <c r="B596" s="3" t="s">
        <v>6992</v>
      </c>
      <c r="C596" s="3" t="s">
        <v>6985</v>
      </c>
      <c r="D596" s="3" t="s">
        <v>1120</v>
      </c>
      <c r="E596" s="3">
        <v>595</v>
      </c>
      <c r="F596" s="3" t="s">
        <v>4360</v>
      </c>
      <c r="G596" s="3" t="s">
        <v>1101</v>
      </c>
      <c r="H596" s="3" t="str">
        <f t="shared" si="11"/>
        <v>Output Main Dk Mt NS HI, data relayed from Weight Management System.</v>
      </c>
    </row>
    <row r="597" spans="1:8" x14ac:dyDescent="0.25">
      <c r="A597" s="3" t="s">
        <v>6983</v>
      </c>
      <c r="B597" s="3" t="s">
        <v>6992</v>
      </c>
      <c r="C597" s="3" t="s">
        <v>6985</v>
      </c>
      <c r="D597" s="3" t="s">
        <v>1120</v>
      </c>
      <c r="E597" s="3">
        <v>596</v>
      </c>
      <c r="F597" s="3" t="s">
        <v>4361</v>
      </c>
      <c r="G597" s="3" t="s">
        <v>1101</v>
      </c>
      <c r="H597" s="3" t="str">
        <f t="shared" si="11"/>
        <v>Output Main Dk Mt NS LO, data relayed from Weight Management System.</v>
      </c>
    </row>
    <row r="598" spans="1:8" x14ac:dyDescent="0.25">
      <c r="A598" s="3" t="s">
        <v>6983</v>
      </c>
      <c r="B598" s="3" t="s">
        <v>6992</v>
      </c>
      <c r="C598" s="3" t="s">
        <v>6985</v>
      </c>
      <c r="D598" s="3" t="s">
        <v>1120</v>
      </c>
      <c r="E598" s="3">
        <v>597</v>
      </c>
      <c r="F598" s="3" t="s">
        <v>4362</v>
      </c>
      <c r="G598" s="3" t="s">
        <v>1100</v>
      </c>
      <c r="H598" s="3" t="str">
        <f t="shared" si="11"/>
        <v>Output Prod Dk Weight, data relayed from Weight Management System.</v>
      </c>
    </row>
    <row r="599" spans="1:8" x14ac:dyDescent="0.25">
      <c r="A599" s="3" t="s">
        <v>6983</v>
      </c>
      <c r="B599" s="3" t="s">
        <v>6992</v>
      </c>
      <c r="C599" s="3" t="s">
        <v>6985</v>
      </c>
      <c r="D599" s="3" t="s">
        <v>1120</v>
      </c>
      <c r="E599" s="3">
        <v>598</v>
      </c>
      <c r="F599" s="3" t="s">
        <v>4363</v>
      </c>
      <c r="G599" s="3" t="s">
        <v>1093</v>
      </c>
      <c r="H599" s="3" t="str">
        <f t="shared" si="11"/>
        <v>Output Prod Dk VCG, data relayed from Weight Management System.</v>
      </c>
    </row>
    <row r="600" spans="1:8" x14ac:dyDescent="0.25">
      <c r="A600" s="3" t="s">
        <v>6983</v>
      </c>
      <c r="B600" s="3" t="s">
        <v>6992</v>
      </c>
      <c r="C600" s="3" t="s">
        <v>6985</v>
      </c>
      <c r="D600" s="3" t="s">
        <v>1120</v>
      </c>
      <c r="E600" s="3">
        <v>599</v>
      </c>
      <c r="F600" s="3" t="s">
        <v>4364</v>
      </c>
      <c r="G600" s="3" t="s">
        <v>1093</v>
      </c>
      <c r="H600" s="3" t="str">
        <f t="shared" si="11"/>
        <v>Output Prod Dk CG EW, data relayed from Weight Management System.</v>
      </c>
    </row>
    <row r="601" spans="1:8" x14ac:dyDescent="0.25">
      <c r="A601" s="3" t="s">
        <v>6983</v>
      </c>
      <c r="B601" s="3" t="s">
        <v>6992</v>
      </c>
      <c r="C601" s="3" t="s">
        <v>6985</v>
      </c>
      <c r="D601" s="3" t="s">
        <v>1120</v>
      </c>
      <c r="E601" s="3">
        <v>600</v>
      </c>
      <c r="F601" s="3" t="s">
        <v>4365</v>
      </c>
      <c r="G601" s="3" t="s">
        <v>1093</v>
      </c>
      <c r="H601" s="3" t="str">
        <f t="shared" si="11"/>
        <v>Output Prod Dk CG NS, data relayed from Weight Management System.</v>
      </c>
    </row>
    <row r="602" spans="1:8" x14ac:dyDescent="0.25">
      <c r="A602" s="3" t="s">
        <v>6983</v>
      </c>
      <c r="B602" s="3" t="s">
        <v>6992</v>
      </c>
      <c r="C602" s="3" t="s">
        <v>6985</v>
      </c>
      <c r="D602" s="3" t="s">
        <v>1120</v>
      </c>
      <c r="E602" s="3">
        <v>601</v>
      </c>
      <c r="F602" s="3" t="s">
        <v>4366</v>
      </c>
      <c r="G602" s="3" t="s">
        <v>1101</v>
      </c>
      <c r="H602" s="3" t="str">
        <f t="shared" si="11"/>
        <v>Output Prod Dk Mt Vert HI, data relayed from Weight Management System.</v>
      </c>
    </row>
    <row r="603" spans="1:8" x14ac:dyDescent="0.25">
      <c r="A603" s="3" t="s">
        <v>6983</v>
      </c>
      <c r="B603" s="3" t="s">
        <v>6992</v>
      </c>
      <c r="C603" s="3" t="s">
        <v>6985</v>
      </c>
      <c r="D603" s="3" t="s">
        <v>1120</v>
      </c>
      <c r="E603" s="3">
        <v>602</v>
      </c>
      <c r="F603" s="3" t="s">
        <v>4367</v>
      </c>
      <c r="G603" s="3" t="s">
        <v>1101</v>
      </c>
      <c r="H603" s="3" t="str">
        <f t="shared" si="11"/>
        <v>Output Prod Dk Mt Vert LO, data relayed from Weight Management System.</v>
      </c>
    </row>
    <row r="604" spans="1:8" x14ac:dyDescent="0.25">
      <c r="A604" s="3" t="s">
        <v>6983</v>
      </c>
      <c r="B604" s="3" t="s">
        <v>6992</v>
      </c>
      <c r="C604" s="3" t="s">
        <v>6985</v>
      </c>
      <c r="D604" s="3" t="s">
        <v>1120</v>
      </c>
      <c r="E604" s="3">
        <v>603</v>
      </c>
      <c r="F604" s="3" t="s">
        <v>4368</v>
      </c>
      <c r="G604" s="3" t="s">
        <v>1101</v>
      </c>
      <c r="H604" s="3" t="str">
        <f t="shared" si="11"/>
        <v>Output Prod Dk Mt EW HI, data relayed from Weight Management System.</v>
      </c>
    </row>
    <row r="605" spans="1:8" x14ac:dyDescent="0.25">
      <c r="A605" s="3" t="s">
        <v>6983</v>
      </c>
      <c r="B605" s="3" t="s">
        <v>6992</v>
      </c>
      <c r="C605" s="3" t="s">
        <v>6985</v>
      </c>
      <c r="D605" s="3" t="s">
        <v>1120</v>
      </c>
      <c r="E605" s="3">
        <v>604</v>
      </c>
      <c r="F605" s="3" t="s">
        <v>4369</v>
      </c>
      <c r="G605" s="3" t="s">
        <v>1101</v>
      </c>
      <c r="H605" s="3" t="str">
        <f t="shared" si="11"/>
        <v>Output Prod Dk Mt EW LO, data relayed from Weight Management System.</v>
      </c>
    </row>
    <row r="606" spans="1:8" x14ac:dyDescent="0.25">
      <c r="A606" s="3" t="s">
        <v>6983</v>
      </c>
      <c r="B606" s="3" t="s">
        <v>6992</v>
      </c>
      <c r="C606" s="3" t="s">
        <v>6985</v>
      </c>
      <c r="D606" s="3" t="s">
        <v>1120</v>
      </c>
      <c r="E606" s="3">
        <v>605</v>
      </c>
      <c r="F606" s="3" t="s">
        <v>4370</v>
      </c>
      <c r="G606" s="3" t="s">
        <v>1101</v>
      </c>
      <c r="H606" s="3" t="str">
        <f t="shared" si="11"/>
        <v>Output Prod Dk Mt NS HI, data relayed from Weight Management System.</v>
      </c>
    </row>
    <row r="607" spans="1:8" x14ac:dyDescent="0.25">
      <c r="A607" s="3" t="s">
        <v>6983</v>
      </c>
      <c r="B607" s="3" t="s">
        <v>6992</v>
      </c>
      <c r="C607" s="3" t="s">
        <v>6985</v>
      </c>
      <c r="D607" s="3" t="s">
        <v>1120</v>
      </c>
      <c r="E607" s="3">
        <v>606</v>
      </c>
      <c r="F607" s="3" t="s">
        <v>4371</v>
      </c>
      <c r="G607" s="3" t="s">
        <v>1101</v>
      </c>
      <c r="H607" s="3" t="str">
        <f t="shared" si="11"/>
        <v>Output Prod Dk Mt NS LO, data relayed from Weight Management System.</v>
      </c>
    </row>
    <row r="608" spans="1:8" x14ac:dyDescent="0.25">
      <c r="A608" s="3" t="s">
        <v>6983</v>
      </c>
      <c r="B608" s="3" t="s">
        <v>6992</v>
      </c>
      <c r="C608" s="3" t="s">
        <v>6985</v>
      </c>
      <c r="D608" s="3" t="s">
        <v>1120</v>
      </c>
      <c r="E608" s="3">
        <v>607</v>
      </c>
      <c r="F608" s="3" t="s">
        <v>4372</v>
      </c>
      <c r="G608" s="3" t="s">
        <v>1100</v>
      </c>
      <c r="H608" s="3" t="str">
        <f t="shared" si="11"/>
        <v>Output Cllr Dk Weight, data relayed from Weight Management System.</v>
      </c>
    </row>
    <row r="609" spans="1:8" x14ac:dyDescent="0.25">
      <c r="A609" s="3" t="s">
        <v>6983</v>
      </c>
      <c r="B609" s="3" t="s">
        <v>6992</v>
      </c>
      <c r="C609" s="3" t="s">
        <v>6985</v>
      </c>
      <c r="D609" s="3" t="s">
        <v>1120</v>
      </c>
      <c r="E609" s="3">
        <v>608</v>
      </c>
      <c r="F609" s="3" t="s">
        <v>4373</v>
      </c>
      <c r="G609" s="3" t="s">
        <v>1093</v>
      </c>
      <c r="H609" s="3" t="str">
        <f t="shared" si="11"/>
        <v>Output Cllr Dk VCG, data relayed from Weight Management System.</v>
      </c>
    </row>
    <row r="610" spans="1:8" x14ac:dyDescent="0.25">
      <c r="A610" s="3" t="s">
        <v>6983</v>
      </c>
      <c r="B610" s="3" t="s">
        <v>6992</v>
      </c>
      <c r="C610" s="3" t="s">
        <v>6985</v>
      </c>
      <c r="D610" s="3" t="s">
        <v>1120</v>
      </c>
      <c r="E610" s="3">
        <v>609</v>
      </c>
      <c r="F610" s="3" t="s">
        <v>4374</v>
      </c>
      <c r="G610" s="3" t="s">
        <v>1093</v>
      </c>
      <c r="H610" s="3" t="str">
        <f t="shared" si="11"/>
        <v>Output Cllr Dk CG EW, data relayed from Weight Management System.</v>
      </c>
    </row>
    <row r="611" spans="1:8" x14ac:dyDescent="0.25">
      <c r="A611" s="3" t="s">
        <v>6983</v>
      </c>
      <c r="B611" s="3" t="s">
        <v>6992</v>
      </c>
      <c r="C611" s="3" t="s">
        <v>6985</v>
      </c>
      <c r="D611" s="3" t="s">
        <v>1120</v>
      </c>
      <c r="E611" s="3">
        <v>610</v>
      </c>
      <c r="F611" s="3" t="s">
        <v>4375</v>
      </c>
      <c r="G611" s="3" t="s">
        <v>1093</v>
      </c>
      <c r="H611" s="3" t="str">
        <f t="shared" si="11"/>
        <v>Output Cllr Dk CG NS, data relayed from Weight Management System.</v>
      </c>
    </row>
    <row r="612" spans="1:8" x14ac:dyDescent="0.25">
      <c r="A612" s="3" t="s">
        <v>6983</v>
      </c>
      <c r="B612" s="3" t="s">
        <v>6992</v>
      </c>
      <c r="C612" s="3" t="s">
        <v>6985</v>
      </c>
      <c r="D612" s="3" t="s">
        <v>1120</v>
      </c>
      <c r="E612" s="3">
        <v>611</v>
      </c>
      <c r="F612" s="3" t="s">
        <v>4376</v>
      </c>
      <c r="G612" s="3" t="s">
        <v>1101</v>
      </c>
      <c r="H612" s="3" t="str">
        <f t="shared" si="11"/>
        <v>Output Cllr Dk Mt Vert HI, data relayed from Weight Management System.</v>
      </c>
    </row>
    <row r="613" spans="1:8" x14ac:dyDescent="0.25">
      <c r="A613" s="3" t="s">
        <v>6983</v>
      </c>
      <c r="B613" s="3" t="s">
        <v>6992</v>
      </c>
      <c r="C613" s="3" t="s">
        <v>6985</v>
      </c>
      <c r="D613" s="3" t="s">
        <v>1120</v>
      </c>
      <c r="E613" s="3">
        <v>612</v>
      </c>
      <c r="F613" s="3" t="s">
        <v>4377</v>
      </c>
      <c r="G613" s="3" t="s">
        <v>1101</v>
      </c>
      <c r="H613" s="3" t="str">
        <f t="shared" si="11"/>
        <v>Output Cllr Dk Mt Vert LO, data relayed from Weight Management System.</v>
      </c>
    </row>
    <row r="614" spans="1:8" x14ac:dyDescent="0.25">
      <c r="A614" s="3" t="s">
        <v>6983</v>
      </c>
      <c r="B614" s="3" t="s">
        <v>6992</v>
      </c>
      <c r="C614" s="3" t="s">
        <v>6985</v>
      </c>
      <c r="D614" s="3" t="s">
        <v>1120</v>
      </c>
      <c r="E614" s="3">
        <v>613</v>
      </c>
      <c r="F614" s="3" t="s">
        <v>4378</v>
      </c>
      <c r="G614" s="3" t="s">
        <v>1101</v>
      </c>
      <c r="H614" s="3" t="str">
        <f t="shared" si="11"/>
        <v>Output Cllr Dk Mt EW HI, data relayed from Weight Management System.</v>
      </c>
    </row>
    <row r="615" spans="1:8" x14ac:dyDescent="0.25">
      <c r="A615" s="3" t="s">
        <v>6983</v>
      </c>
      <c r="B615" s="3" t="s">
        <v>6992</v>
      </c>
      <c r="C615" s="3" t="s">
        <v>6985</v>
      </c>
      <c r="D615" s="3" t="s">
        <v>1120</v>
      </c>
      <c r="E615" s="3">
        <v>614</v>
      </c>
      <c r="F615" s="3" t="s">
        <v>4379</v>
      </c>
      <c r="G615" s="3" t="s">
        <v>1101</v>
      </c>
      <c r="H615" s="3" t="str">
        <f t="shared" si="11"/>
        <v>Output Cllr Dk Mt EW LO, data relayed from Weight Management System.</v>
      </c>
    </row>
    <row r="616" spans="1:8" x14ac:dyDescent="0.25">
      <c r="A616" s="3" t="s">
        <v>6983</v>
      </c>
      <c r="B616" s="3" t="s">
        <v>6992</v>
      </c>
      <c r="C616" s="3" t="s">
        <v>6985</v>
      </c>
      <c r="D616" s="3" t="s">
        <v>1120</v>
      </c>
      <c r="E616" s="3">
        <v>615</v>
      </c>
      <c r="F616" s="3" t="s">
        <v>4380</v>
      </c>
      <c r="G616" s="3" t="s">
        <v>1101</v>
      </c>
      <c r="H616" s="3" t="str">
        <f t="shared" si="11"/>
        <v>Output Cllr Dk Mt NS HI, data relayed from Weight Management System.</v>
      </c>
    </row>
    <row r="617" spans="1:8" x14ac:dyDescent="0.25">
      <c r="A617" s="3" t="s">
        <v>6983</v>
      </c>
      <c r="B617" s="3" t="s">
        <v>6992</v>
      </c>
      <c r="C617" s="3" t="s">
        <v>6985</v>
      </c>
      <c r="D617" s="3" t="s">
        <v>1120</v>
      </c>
      <c r="E617" s="3">
        <v>616</v>
      </c>
      <c r="F617" s="3" t="s">
        <v>4381</v>
      </c>
      <c r="G617" s="3" t="s">
        <v>1101</v>
      </c>
      <c r="H617" s="3" t="str">
        <f t="shared" si="11"/>
        <v>Output Cllr Dk Mt NS LO, data relayed from Weight Management System.</v>
      </c>
    </row>
    <row r="618" spans="1:8" x14ac:dyDescent="0.25">
      <c r="A618" s="3" t="s">
        <v>6983</v>
      </c>
      <c r="B618" s="3" t="s">
        <v>6992</v>
      </c>
      <c r="C618" s="3" t="s">
        <v>6985</v>
      </c>
      <c r="D618" s="3" t="s">
        <v>1120</v>
      </c>
      <c r="E618" s="3">
        <v>617</v>
      </c>
      <c r="F618" s="3" t="s">
        <v>4382</v>
      </c>
      <c r="G618" s="3" t="s">
        <v>1100</v>
      </c>
      <c r="H618" s="3" t="str">
        <f t="shared" si="11"/>
        <v>Output Spar Dk Weight, data relayed from Weight Management System.</v>
      </c>
    </row>
    <row r="619" spans="1:8" x14ac:dyDescent="0.25">
      <c r="A619" s="3" t="s">
        <v>6983</v>
      </c>
      <c r="B619" s="3" t="s">
        <v>6992</v>
      </c>
      <c r="C619" s="3" t="s">
        <v>6985</v>
      </c>
      <c r="D619" s="3" t="s">
        <v>1120</v>
      </c>
      <c r="E619" s="3">
        <v>618</v>
      </c>
      <c r="F619" s="3" t="s">
        <v>4383</v>
      </c>
      <c r="G619" s="3" t="s">
        <v>1093</v>
      </c>
      <c r="H619" s="3" t="str">
        <f t="shared" si="11"/>
        <v>Output Spar Dk VCG, data relayed from Weight Management System.</v>
      </c>
    </row>
    <row r="620" spans="1:8" x14ac:dyDescent="0.25">
      <c r="A620" s="3" t="s">
        <v>6983</v>
      </c>
      <c r="B620" s="3" t="s">
        <v>6992</v>
      </c>
      <c r="C620" s="3" t="s">
        <v>6985</v>
      </c>
      <c r="D620" s="3" t="s">
        <v>1120</v>
      </c>
      <c r="E620" s="3">
        <v>619</v>
      </c>
      <c r="F620" s="3" t="s">
        <v>4384</v>
      </c>
      <c r="G620" s="3" t="s">
        <v>1093</v>
      </c>
      <c r="H620" s="3" t="str">
        <f t="shared" si="11"/>
        <v>Output Spar Dk CG EW, data relayed from Weight Management System.</v>
      </c>
    </row>
    <row r="621" spans="1:8" x14ac:dyDescent="0.25">
      <c r="A621" s="3" t="s">
        <v>6983</v>
      </c>
      <c r="B621" s="3" t="s">
        <v>6992</v>
      </c>
      <c r="C621" s="3" t="s">
        <v>6985</v>
      </c>
      <c r="D621" s="3" t="s">
        <v>1120</v>
      </c>
      <c r="E621" s="3">
        <v>620</v>
      </c>
      <c r="F621" s="3" t="s">
        <v>4385</v>
      </c>
      <c r="G621" s="3" t="s">
        <v>1093</v>
      </c>
      <c r="H621" s="3" t="str">
        <f t="shared" si="11"/>
        <v>Output Spar Dk CG NS, data relayed from Weight Management System.</v>
      </c>
    </row>
    <row r="622" spans="1:8" x14ac:dyDescent="0.25">
      <c r="A622" s="3" t="s">
        <v>6983</v>
      </c>
      <c r="B622" s="3" t="s">
        <v>6992</v>
      </c>
      <c r="C622" s="3" t="s">
        <v>6985</v>
      </c>
      <c r="D622" s="3" t="s">
        <v>1120</v>
      </c>
      <c r="E622" s="3">
        <v>621</v>
      </c>
      <c r="F622" s="3" t="s">
        <v>4386</v>
      </c>
      <c r="G622" s="3" t="s">
        <v>1101</v>
      </c>
      <c r="H622" s="3" t="str">
        <f t="shared" si="11"/>
        <v>Output Spar Dk Mt Vert HI, data relayed from Weight Management System.</v>
      </c>
    </row>
    <row r="623" spans="1:8" x14ac:dyDescent="0.25">
      <c r="A623" s="3" t="s">
        <v>6983</v>
      </c>
      <c r="B623" s="3" t="s">
        <v>6992</v>
      </c>
      <c r="C623" s="3" t="s">
        <v>6985</v>
      </c>
      <c r="D623" s="3" t="s">
        <v>1120</v>
      </c>
      <c r="E623" s="3">
        <v>622</v>
      </c>
      <c r="F623" s="3" t="s">
        <v>4387</v>
      </c>
      <c r="G623" s="3" t="s">
        <v>1101</v>
      </c>
      <c r="H623" s="3" t="str">
        <f t="shared" si="11"/>
        <v>Output Spar Dk Mt Vert LO, data relayed from Weight Management System.</v>
      </c>
    </row>
    <row r="624" spans="1:8" x14ac:dyDescent="0.25">
      <c r="A624" s="3" t="s">
        <v>6983</v>
      </c>
      <c r="B624" s="3" t="s">
        <v>6992</v>
      </c>
      <c r="C624" s="3" t="s">
        <v>6985</v>
      </c>
      <c r="D624" s="3" t="s">
        <v>1120</v>
      </c>
      <c r="E624" s="3">
        <v>623</v>
      </c>
      <c r="F624" s="3" t="s">
        <v>4388</v>
      </c>
      <c r="G624" s="3" t="s">
        <v>1101</v>
      </c>
      <c r="H624" s="3" t="str">
        <f t="shared" si="11"/>
        <v>Output Spar Dk Mt EW HI, data relayed from Weight Management System.</v>
      </c>
    </row>
    <row r="625" spans="1:8" x14ac:dyDescent="0.25">
      <c r="A625" s="3" t="s">
        <v>6983</v>
      </c>
      <c r="B625" s="3" t="s">
        <v>6992</v>
      </c>
      <c r="C625" s="3" t="s">
        <v>6985</v>
      </c>
      <c r="D625" s="3" t="s">
        <v>1120</v>
      </c>
      <c r="E625" s="3">
        <v>624</v>
      </c>
      <c r="F625" s="3" t="s">
        <v>4389</v>
      </c>
      <c r="G625" s="3" t="s">
        <v>1101</v>
      </c>
      <c r="H625" s="3" t="str">
        <f t="shared" si="11"/>
        <v>Output Spar Dk Mt EW LO, data relayed from Weight Management System.</v>
      </c>
    </row>
    <row r="626" spans="1:8" x14ac:dyDescent="0.25">
      <c r="A626" s="3" t="s">
        <v>6983</v>
      </c>
      <c r="B626" s="3" t="s">
        <v>6992</v>
      </c>
      <c r="C626" s="3" t="s">
        <v>6985</v>
      </c>
      <c r="D626" s="3" t="s">
        <v>1120</v>
      </c>
      <c r="E626" s="3">
        <v>625</v>
      </c>
      <c r="F626" s="3" t="s">
        <v>4390</v>
      </c>
      <c r="G626" s="3" t="s">
        <v>1101</v>
      </c>
      <c r="H626" s="3" t="str">
        <f t="shared" si="11"/>
        <v>Output Spar Dk Mt NS HI, data relayed from Weight Management System.</v>
      </c>
    </row>
    <row r="627" spans="1:8" x14ac:dyDescent="0.25">
      <c r="A627" s="3" t="s">
        <v>6983</v>
      </c>
      <c r="B627" s="3" t="s">
        <v>6992</v>
      </c>
      <c r="C627" s="3" t="s">
        <v>6985</v>
      </c>
      <c r="D627" s="3" t="s">
        <v>1120</v>
      </c>
      <c r="E627" s="3">
        <v>626</v>
      </c>
      <c r="F627" s="3" t="s">
        <v>4391</v>
      </c>
      <c r="G627" s="3" t="s">
        <v>1101</v>
      </c>
      <c r="H627" s="3" t="str">
        <f t="shared" si="11"/>
        <v>Output Spar Dk Mt NS LO, data relayed from Weight Management System.</v>
      </c>
    </row>
    <row r="628" spans="1:8" x14ac:dyDescent="0.25">
      <c r="A628" s="3" t="s">
        <v>6983</v>
      </c>
      <c r="B628" s="3" t="s">
        <v>6992</v>
      </c>
      <c r="C628" s="3" t="s">
        <v>6985</v>
      </c>
      <c r="D628" s="3" t="s">
        <v>1120</v>
      </c>
      <c r="E628" s="3">
        <v>627</v>
      </c>
      <c r="F628" s="3" t="s">
        <v>4392</v>
      </c>
      <c r="G628" s="3" t="s">
        <v>1100</v>
      </c>
      <c r="H628" s="3" t="str">
        <f t="shared" si="11"/>
        <v>Output Voids Weight, data relayed from Weight Management System.</v>
      </c>
    </row>
    <row r="629" spans="1:8" x14ac:dyDescent="0.25">
      <c r="A629" s="3" t="s">
        <v>6983</v>
      </c>
      <c r="B629" s="3" t="s">
        <v>6992</v>
      </c>
      <c r="C629" s="3" t="s">
        <v>6985</v>
      </c>
      <c r="D629" s="3" t="s">
        <v>1120</v>
      </c>
      <c r="E629" s="3">
        <v>628</v>
      </c>
      <c r="F629" s="3" t="s">
        <v>4393</v>
      </c>
      <c r="G629" s="3" t="s">
        <v>1093</v>
      </c>
      <c r="H629" s="3" t="str">
        <f t="shared" si="11"/>
        <v>Output Voids VCG, data relayed from Weight Management System.</v>
      </c>
    </row>
    <row r="630" spans="1:8" x14ac:dyDescent="0.25">
      <c r="A630" s="3" t="s">
        <v>6983</v>
      </c>
      <c r="B630" s="3" t="s">
        <v>6992</v>
      </c>
      <c r="C630" s="3" t="s">
        <v>6985</v>
      </c>
      <c r="D630" s="3" t="s">
        <v>1120</v>
      </c>
      <c r="E630" s="3">
        <v>629</v>
      </c>
      <c r="F630" s="3" t="s">
        <v>4394</v>
      </c>
      <c r="G630" s="3" t="s">
        <v>1093</v>
      </c>
      <c r="H630" s="3" t="str">
        <f t="shared" si="11"/>
        <v>Output Voids CG EW, data relayed from Weight Management System.</v>
      </c>
    </row>
    <row r="631" spans="1:8" x14ac:dyDescent="0.25">
      <c r="A631" s="3" t="s">
        <v>6983</v>
      </c>
      <c r="B631" s="3" t="s">
        <v>6992</v>
      </c>
      <c r="C631" s="3" t="s">
        <v>6985</v>
      </c>
      <c r="D631" s="3" t="s">
        <v>1120</v>
      </c>
      <c r="E631" s="3">
        <v>630</v>
      </c>
      <c r="F631" s="3" t="s">
        <v>4395</v>
      </c>
      <c r="G631" s="3" t="s">
        <v>1093</v>
      </c>
      <c r="H631" s="3" t="str">
        <f t="shared" si="11"/>
        <v>Output Voids CG NS, data relayed from Weight Management System.</v>
      </c>
    </row>
    <row r="632" spans="1:8" x14ac:dyDescent="0.25">
      <c r="A632" s="3" t="s">
        <v>6983</v>
      </c>
      <c r="B632" s="3" t="s">
        <v>6992</v>
      </c>
      <c r="C632" s="3" t="s">
        <v>6985</v>
      </c>
      <c r="D632" s="3" t="s">
        <v>1120</v>
      </c>
      <c r="E632" s="3">
        <v>631</v>
      </c>
      <c r="F632" s="3" t="s">
        <v>4396</v>
      </c>
      <c r="G632" s="3" t="s">
        <v>1101</v>
      </c>
      <c r="H632" s="3" t="str">
        <f t="shared" si="11"/>
        <v>Output Voids Mt Vert HI, data relayed from Weight Management System.</v>
      </c>
    </row>
    <row r="633" spans="1:8" x14ac:dyDescent="0.25">
      <c r="A633" s="3" t="s">
        <v>6983</v>
      </c>
      <c r="B633" s="3" t="s">
        <v>6992</v>
      </c>
      <c r="C633" s="3" t="s">
        <v>6985</v>
      </c>
      <c r="D633" s="3" t="s">
        <v>1120</v>
      </c>
      <c r="E633" s="3">
        <v>632</v>
      </c>
      <c r="F633" s="3" t="s">
        <v>4397</v>
      </c>
      <c r="G633" s="3" t="s">
        <v>1101</v>
      </c>
      <c r="H633" s="3" t="str">
        <f t="shared" si="11"/>
        <v>Output Voids Mt Vert LO, data relayed from Weight Management System.</v>
      </c>
    </row>
    <row r="634" spans="1:8" x14ac:dyDescent="0.25">
      <c r="A634" s="3" t="s">
        <v>6983</v>
      </c>
      <c r="B634" s="3" t="s">
        <v>6992</v>
      </c>
      <c r="C634" s="3" t="s">
        <v>6985</v>
      </c>
      <c r="D634" s="3" t="s">
        <v>1120</v>
      </c>
      <c r="E634" s="3">
        <v>633</v>
      </c>
      <c r="F634" s="3" t="s">
        <v>4398</v>
      </c>
      <c r="G634" s="3" t="s">
        <v>1101</v>
      </c>
      <c r="H634" s="3" t="str">
        <f t="shared" si="11"/>
        <v>Output Voids Mt EW HI, data relayed from Weight Management System.</v>
      </c>
    </row>
    <row r="635" spans="1:8" x14ac:dyDescent="0.25">
      <c r="A635" s="3" t="s">
        <v>6983</v>
      </c>
      <c r="B635" s="3" t="s">
        <v>6992</v>
      </c>
      <c r="C635" s="3" t="s">
        <v>6985</v>
      </c>
      <c r="D635" s="3" t="s">
        <v>1120</v>
      </c>
      <c r="E635" s="3">
        <v>634</v>
      </c>
      <c r="F635" s="3" t="s">
        <v>4399</v>
      </c>
      <c r="G635" s="3" t="s">
        <v>1101</v>
      </c>
      <c r="H635" s="3" t="str">
        <f t="shared" si="11"/>
        <v>Output Voids Mt EW LO, data relayed from Weight Management System.</v>
      </c>
    </row>
    <row r="636" spans="1:8" x14ac:dyDescent="0.25">
      <c r="A636" s="3" t="s">
        <v>6983</v>
      </c>
      <c r="B636" s="3" t="s">
        <v>6992</v>
      </c>
      <c r="C636" s="3" t="s">
        <v>6985</v>
      </c>
      <c r="D636" s="3" t="s">
        <v>1120</v>
      </c>
      <c r="E636" s="3">
        <v>635</v>
      </c>
      <c r="F636" s="3" t="s">
        <v>4400</v>
      </c>
      <c r="G636" s="3" t="s">
        <v>1101</v>
      </c>
      <c r="H636" s="3" t="str">
        <f t="shared" si="11"/>
        <v>Output Voids Mt NS HI, data relayed from Weight Management System.</v>
      </c>
    </row>
    <row r="637" spans="1:8" x14ac:dyDescent="0.25">
      <c r="A637" s="3" t="s">
        <v>6983</v>
      </c>
      <c r="B637" s="3" t="s">
        <v>6992</v>
      </c>
      <c r="C637" s="3" t="s">
        <v>6985</v>
      </c>
      <c r="D637" s="3" t="s">
        <v>1120</v>
      </c>
      <c r="E637" s="3">
        <v>636</v>
      </c>
      <c r="F637" s="3" t="s">
        <v>4401</v>
      </c>
      <c r="G637" s="3" t="s">
        <v>1101</v>
      </c>
      <c r="H637" s="3" t="str">
        <f t="shared" si="11"/>
        <v>Output Voids Mt NS LO, data relayed from Weight Management System.</v>
      </c>
    </row>
    <row r="638" spans="1:8" x14ac:dyDescent="0.25">
      <c r="A638" s="3" t="s">
        <v>6983</v>
      </c>
      <c r="B638" s="3" t="s">
        <v>6992</v>
      </c>
      <c r="C638" s="3" t="s">
        <v>6985</v>
      </c>
      <c r="D638" s="3" t="s">
        <v>1120</v>
      </c>
      <c r="E638" s="3">
        <v>637</v>
      </c>
      <c r="F638" s="3" t="s">
        <v>4402</v>
      </c>
      <c r="G638" s="3" t="s">
        <v>1101</v>
      </c>
      <c r="H638" s="3" t="str">
        <f t="shared" si="11"/>
        <v>Output Voids FS Mt EW HI, data relayed from Weight Management System.</v>
      </c>
    </row>
    <row r="639" spans="1:8" x14ac:dyDescent="0.25">
      <c r="A639" s="3" t="s">
        <v>6983</v>
      </c>
      <c r="B639" s="3" t="s">
        <v>6992</v>
      </c>
      <c r="C639" s="3" t="s">
        <v>6985</v>
      </c>
      <c r="D639" s="3" t="s">
        <v>1120</v>
      </c>
      <c r="E639" s="3">
        <v>638</v>
      </c>
      <c r="F639" s="3" t="s">
        <v>4403</v>
      </c>
      <c r="G639" s="3" t="s">
        <v>1101</v>
      </c>
      <c r="H639" s="3" t="str">
        <f t="shared" si="11"/>
        <v>Output Voids FS Mt EW LO, data relayed from Weight Management System.</v>
      </c>
    </row>
    <row r="640" spans="1:8" x14ac:dyDescent="0.25">
      <c r="A640" s="3" t="s">
        <v>6983</v>
      </c>
      <c r="B640" s="3" t="s">
        <v>6992</v>
      </c>
      <c r="C640" s="3" t="s">
        <v>6985</v>
      </c>
      <c r="D640" s="3" t="s">
        <v>1120</v>
      </c>
      <c r="E640" s="3">
        <v>639</v>
      </c>
      <c r="F640" s="3" t="s">
        <v>4404</v>
      </c>
      <c r="G640" s="3" t="s">
        <v>1101</v>
      </c>
      <c r="H640" s="3" t="str">
        <f t="shared" si="11"/>
        <v>Output Voids FS Mt NS HI, data relayed from Weight Management System.</v>
      </c>
    </row>
    <row r="641" spans="1:8" x14ac:dyDescent="0.25">
      <c r="A641" s="3" t="s">
        <v>6983</v>
      </c>
      <c r="B641" s="3" t="s">
        <v>6992</v>
      </c>
      <c r="C641" s="3" t="s">
        <v>6985</v>
      </c>
      <c r="D641" s="3" t="s">
        <v>1120</v>
      </c>
      <c r="E641" s="3">
        <v>640</v>
      </c>
      <c r="F641" s="3" t="s">
        <v>4405</v>
      </c>
      <c r="G641" s="3" t="s">
        <v>1101</v>
      </c>
      <c r="H641" s="3" t="str">
        <f t="shared" si="11"/>
        <v>Output Voids FS Mt NS LO, data relayed from Weight Management System.</v>
      </c>
    </row>
    <row r="642" spans="1:8" x14ac:dyDescent="0.25">
      <c r="A642" s="3" t="s">
        <v>6983</v>
      </c>
      <c r="B642" s="3" t="s">
        <v>6992</v>
      </c>
      <c r="C642" s="3" t="s">
        <v>6985</v>
      </c>
      <c r="D642" s="3" t="s">
        <v>1120</v>
      </c>
      <c r="E642" s="3">
        <v>641</v>
      </c>
      <c r="F642" s="3" t="s">
        <v>4406</v>
      </c>
      <c r="G642" s="3" t="s">
        <v>1100</v>
      </c>
      <c r="H642" s="3" t="str">
        <f t="shared" si="11"/>
        <v>Output HFM Weight, data relayed from Weight Management System.</v>
      </c>
    </row>
    <row r="643" spans="1:8" x14ac:dyDescent="0.25">
      <c r="A643" s="3" t="s">
        <v>6983</v>
      </c>
      <c r="B643" s="3" t="s">
        <v>6992</v>
      </c>
      <c r="C643" s="3" t="s">
        <v>6985</v>
      </c>
      <c r="D643" s="3" t="s">
        <v>1120</v>
      </c>
      <c r="E643" s="3">
        <v>642</v>
      </c>
      <c r="F643" s="3" t="s">
        <v>4407</v>
      </c>
      <c r="G643" s="3" t="s">
        <v>1093</v>
      </c>
      <c r="H643" s="3" t="str">
        <f t="shared" si="11"/>
        <v>Output HFM VCG, data relayed from Weight Management System.</v>
      </c>
    </row>
    <row r="644" spans="1:8" x14ac:dyDescent="0.25">
      <c r="A644" s="3" t="s">
        <v>6983</v>
      </c>
      <c r="B644" s="3" t="s">
        <v>6992</v>
      </c>
      <c r="C644" s="3" t="s">
        <v>6985</v>
      </c>
      <c r="D644" s="3" t="s">
        <v>1120</v>
      </c>
      <c r="E644" s="3">
        <v>643</v>
      </c>
      <c r="F644" s="3" t="s">
        <v>4408</v>
      </c>
      <c r="G644" s="3" t="s">
        <v>1093</v>
      </c>
      <c r="H644" s="3" t="str">
        <f t="shared" si="11"/>
        <v>Output HFM CG EW, data relayed from Weight Management System.</v>
      </c>
    </row>
    <row r="645" spans="1:8" x14ac:dyDescent="0.25">
      <c r="A645" s="3" t="s">
        <v>6983</v>
      </c>
      <c r="B645" s="3" t="s">
        <v>6992</v>
      </c>
      <c r="C645" s="3" t="s">
        <v>6985</v>
      </c>
      <c r="D645" s="3" t="s">
        <v>1120</v>
      </c>
      <c r="E645" s="3">
        <v>644</v>
      </c>
      <c r="F645" s="3" t="s">
        <v>4409</v>
      </c>
      <c r="G645" s="3" t="s">
        <v>1093</v>
      </c>
      <c r="H645" s="3" t="str">
        <f t="shared" si="11"/>
        <v>Output HFM CG NS, data relayed from Weight Management System.</v>
      </c>
    </row>
    <row r="646" spans="1:8" x14ac:dyDescent="0.25">
      <c r="A646" s="3" t="s">
        <v>6983</v>
      </c>
      <c r="B646" s="3" t="s">
        <v>6992</v>
      </c>
      <c r="C646" s="3" t="s">
        <v>6985</v>
      </c>
      <c r="D646" s="3" t="s">
        <v>1120</v>
      </c>
      <c r="E646" s="3">
        <v>645</v>
      </c>
      <c r="F646" s="3" t="s">
        <v>4410</v>
      </c>
      <c r="G646" s="3" t="s">
        <v>1101</v>
      </c>
      <c r="H646" s="3" t="str">
        <f t="shared" si="11"/>
        <v>Output HFM Mt Vert HI, data relayed from Weight Management System.</v>
      </c>
    </row>
    <row r="647" spans="1:8" x14ac:dyDescent="0.25">
      <c r="A647" s="3" t="s">
        <v>6983</v>
      </c>
      <c r="B647" s="3" t="s">
        <v>6992</v>
      </c>
      <c r="C647" s="3" t="s">
        <v>6985</v>
      </c>
      <c r="D647" s="3" t="s">
        <v>1120</v>
      </c>
      <c r="E647" s="3">
        <v>646</v>
      </c>
      <c r="F647" s="3" t="s">
        <v>4411</v>
      </c>
      <c r="G647" s="3" t="s">
        <v>1101</v>
      </c>
      <c r="H647" s="3" t="str">
        <f t="shared" si="11"/>
        <v>Output HFM Mt Vert LO, data relayed from Weight Management System.</v>
      </c>
    </row>
    <row r="648" spans="1:8" x14ac:dyDescent="0.25">
      <c r="A648" s="3" t="s">
        <v>6983</v>
      </c>
      <c r="B648" s="3" t="s">
        <v>6992</v>
      </c>
      <c r="C648" s="3" t="s">
        <v>6985</v>
      </c>
      <c r="D648" s="3" t="s">
        <v>1120</v>
      </c>
      <c r="E648" s="3">
        <v>647</v>
      </c>
      <c r="F648" s="3" t="s">
        <v>4412</v>
      </c>
      <c r="G648" s="3" t="s">
        <v>1101</v>
      </c>
      <c r="H648" s="3" t="str">
        <f t="shared" si="11"/>
        <v>Output HFM Mt EW HI, data relayed from Weight Management System.</v>
      </c>
    </row>
    <row r="649" spans="1:8" x14ac:dyDescent="0.25">
      <c r="A649" s="3" t="s">
        <v>6983</v>
      </c>
      <c r="B649" s="3" t="s">
        <v>6992</v>
      </c>
      <c r="C649" s="3" t="s">
        <v>6985</v>
      </c>
      <c r="D649" s="3" t="s">
        <v>1120</v>
      </c>
      <c r="E649" s="3">
        <v>648</v>
      </c>
      <c r="F649" s="3" t="s">
        <v>4413</v>
      </c>
      <c r="G649" s="3" t="s">
        <v>1101</v>
      </c>
      <c r="H649" s="3" t="str">
        <f t="shared" ref="H649:H677" si="12">_xlfn.CONCAT("Output ",F649, ", data relayed from Weight Management System.")</f>
        <v>Output HFM Mt EW LO, data relayed from Weight Management System.</v>
      </c>
    </row>
    <row r="650" spans="1:8" x14ac:dyDescent="0.25">
      <c r="A650" s="3" t="s">
        <v>6983</v>
      </c>
      <c r="B650" s="3" t="s">
        <v>6992</v>
      </c>
      <c r="C650" s="3" t="s">
        <v>6985</v>
      </c>
      <c r="D650" s="3" t="s">
        <v>1120</v>
      </c>
      <c r="E650" s="3">
        <v>649</v>
      </c>
      <c r="F650" s="3" t="s">
        <v>4414</v>
      </c>
      <c r="G650" s="3" t="s">
        <v>1101</v>
      </c>
      <c r="H650" s="3" t="str">
        <f t="shared" si="12"/>
        <v>Output HFM Mt NS HI, data relayed from Weight Management System.</v>
      </c>
    </row>
    <row r="651" spans="1:8" x14ac:dyDescent="0.25">
      <c r="A651" s="3" t="s">
        <v>6983</v>
      </c>
      <c r="B651" s="3" t="s">
        <v>6992</v>
      </c>
      <c r="C651" s="3" t="s">
        <v>6985</v>
      </c>
      <c r="D651" s="3" t="s">
        <v>1120</v>
      </c>
      <c r="E651" s="3">
        <v>650</v>
      </c>
      <c r="F651" s="3" t="s">
        <v>4415</v>
      </c>
      <c r="G651" s="3" t="s">
        <v>1101</v>
      </c>
      <c r="H651" s="3" t="str">
        <f t="shared" si="12"/>
        <v>Output HFM Mt NS LO, data relayed from Weight Management System.</v>
      </c>
    </row>
    <row r="652" spans="1:8" x14ac:dyDescent="0.25">
      <c r="A652" s="3" t="s">
        <v>6983</v>
      </c>
      <c r="B652" s="3" t="s">
        <v>6992</v>
      </c>
      <c r="C652" s="3" t="s">
        <v>6985</v>
      </c>
      <c r="D652" s="3" t="s">
        <v>1120</v>
      </c>
      <c r="E652" s="3">
        <v>651</v>
      </c>
      <c r="F652" s="3" t="s">
        <v>4416</v>
      </c>
      <c r="G652" s="3" t="s">
        <v>1100</v>
      </c>
      <c r="H652" s="3" t="str">
        <f t="shared" si="12"/>
        <v>Output Disc Weight, data relayed from Weight Management System.</v>
      </c>
    </row>
    <row r="653" spans="1:8" x14ac:dyDescent="0.25">
      <c r="A653" s="3" t="s">
        <v>6983</v>
      </c>
      <c r="B653" s="3" t="s">
        <v>6992</v>
      </c>
      <c r="C653" s="3" t="s">
        <v>6985</v>
      </c>
      <c r="D653" s="3" t="s">
        <v>1120</v>
      </c>
      <c r="E653" s="3">
        <v>652</v>
      </c>
      <c r="F653" s="3" t="s">
        <v>4417</v>
      </c>
      <c r="G653" s="3" t="s">
        <v>1093</v>
      </c>
      <c r="H653" s="3" t="str">
        <f t="shared" si="12"/>
        <v>Output Disc Weight VCG, data relayed from Weight Management System.</v>
      </c>
    </row>
    <row r="654" spans="1:8" x14ac:dyDescent="0.25">
      <c r="A654" s="3" t="s">
        <v>6983</v>
      </c>
      <c r="B654" s="3" t="s">
        <v>6992</v>
      </c>
      <c r="C654" s="3" t="s">
        <v>6985</v>
      </c>
      <c r="D654" s="3" t="s">
        <v>1120</v>
      </c>
      <c r="E654" s="3">
        <v>653</v>
      </c>
      <c r="F654" s="3" t="s">
        <v>4418</v>
      </c>
      <c r="G654" s="3" t="s">
        <v>1093</v>
      </c>
      <c r="H654" s="3" t="str">
        <f t="shared" si="12"/>
        <v>Output Disc Weight CG EW, data relayed from Weight Management System.</v>
      </c>
    </row>
    <row r="655" spans="1:8" x14ac:dyDescent="0.25">
      <c r="A655" s="3" t="s">
        <v>6983</v>
      </c>
      <c r="B655" s="3" t="s">
        <v>6992</v>
      </c>
      <c r="C655" s="3" t="s">
        <v>6985</v>
      </c>
      <c r="D655" s="3" t="s">
        <v>1120</v>
      </c>
      <c r="E655" s="3">
        <v>654</v>
      </c>
      <c r="F655" s="3" t="s">
        <v>4419</v>
      </c>
      <c r="G655" s="3" t="s">
        <v>1093</v>
      </c>
      <c r="H655" s="3" t="str">
        <f t="shared" si="12"/>
        <v>Output Disc Weight CG NS, data relayed from Weight Management System.</v>
      </c>
    </row>
    <row r="656" spans="1:8" x14ac:dyDescent="0.25">
      <c r="A656" s="3" t="s">
        <v>6983</v>
      </c>
      <c r="B656" s="3" t="s">
        <v>6992</v>
      </c>
      <c r="C656" s="3" t="s">
        <v>6985</v>
      </c>
      <c r="D656" s="3" t="s">
        <v>1120</v>
      </c>
      <c r="E656" s="3">
        <v>655</v>
      </c>
      <c r="F656" s="3" t="s">
        <v>1659</v>
      </c>
      <c r="G656" s="3" t="s">
        <v>1100</v>
      </c>
      <c r="H656" s="3" t="str">
        <f t="shared" si="12"/>
        <v>Output Lateral Phantom Force EW, data relayed from Weight Management System.</v>
      </c>
    </row>
    <row r="657" spans="1:8" x14ac:dyDescent="0.25">
      <c r="A657" s="3" t="s">
        <v>6983</v>
      </c>
      <c r="B657" s="3" t="s">
        <v>6992</v>
      </c>
      <c r="C657" s="3" t="s">
        <v>6985</v>
      </c>
      <c r="D657" s="3" t="s">
        <v>1120</v>
      </c>
      <c r="E657" s="3">
        <v>656</v>
      </c>
      <c r="F657" s="3" t="s">
        <v>1660</v>
      </c>
      <c r="G657" s="3" t="s">
        <v>1100</v>
      </c>
      <c r="H657" s="3" t="str">
        <f t="shared" si="12"/>
        <v>Output Lateral Phantom Force NS, data relayed from Weight Management System.</v>
      </c>
    </row>
    <row r="658" spans="1:8" x14ac:dyDescent="0.25">
      <c r="A658" s="3" t="s">
        <v>6983</v>
      </c>
      <c r="B658" s="3" t="s">
        <v>6992</v>
      </c>
      <c r="C658" s="3" t="s">
        <v>6985</v>
      </c>
      <c r="D658" s="3" t="s">
        <v>1120</v>
      </c>
      <c r="E658" s="3">
        <v>657</v>
      </c>
      <c r="F658" s="3" t="s">
        <v>4420</v>
      </c>
      <c r="G658" s="3" t="s">
        <v>1101</v>
      </c>
      <c r="H658" s="3" t="str">
        <f t="shared" si="12"/>
        <v>Output LPF Mt EW HI, data relayed from Weight Management System.</v>
      </c>
    </row>
    <row r="659" spans="1:8" x14ac:dyDescent="0.25">
      <c r="A659" s="3" t="s">
        <v>6983</v>
      </c>
      <c r="B659" s="3" t="s">
        <v>6992</v>
      </c>
      <c r="C659" s="3" t="s">
        <v>6985</v>
      </c>
      <c r="D659" s="3" t="s">
        <v>1120</v>
      </c>
      <c r="E659" s="3">
        <v>658</v>
      </c>
      <c r="F659" s="3" t="s">
        <v>4421</v>
      </c>
      <c r="G659" s="3" t="s">
        <v>1101</v>
      </c>
      <c r="H659" s="3" t="str">
        <f t="shared" si="12"/>
        <v>Output LPF Mt EW LO, data relayed from Weight Management System.</v>
      </c>
    </row>
    <row r="660" spans="1:8" x14ac:dyDescent="0.25">
      <c r="A660" s="3" t="s">
        <v>6983</v>
      </c>
      <c r="B660" s="3" t="s">
        <v>6992</v>
      </c>
      <c r="C660" s="3" t="s">
        <v>6985</v>
      </c>
      <c r="D660" s="3" t="s">
        <v>1120</v>
      </c>
      <c r="E660" s="3">
        <v>659</v>
      </c>
      <c r="F660" s="3" t="s">
        <v>4422</v>
      </c>
      <c r="G660" s="3" t="s">
        <v>1101</v>
      </c>
      <c r="H660" s="3" t="str">
        <f t="shared" si="12"/>
        <v>Output LPF Mt NS HI, data relayed from Weight Management System.</v>
      </c>
    </row>
    <row r="661" spans="1:8" x14ac:dyDescent="0.25">
      <c r="A661" s="3" t="s">
        <v>6983</v>
      </c>
      <c r="B661" s="3" t="s">
        <v>6992</v>
      </c>
      <c r="C661" s="3" t="s">
        <v>6985</v>
      </c>
      <c r="D661" s="3" t="s">
        <v>1120</v>
      </c>
      <c r="E661" s="3">
        <v>660</v>
      </c>
      <c r="F661" s="3" t="s">
        <v>4423</v>
      </c>
      <c r="G661" s="3" t="s">
        <v>1101</v>
      </c>
      <c r="H661" s="3" t="str">
        <f t="shared" si="12"/>
        <v>Output LPF Mt NS LO, data relayed from Weight Management System.</v>
      </c>
    </row>
    <row r="662" spans="1:8" x14ac:dyDescent="0.25">
      <c r="A662" s="3" t="s">
        <v>6983</v>
      </c>
      <c r="B662" s="3" t="s">
        <v>6992</v>
      </c>
      <c r="C662" s="3" t="s">
        <v>6985</v>
      </c>
      <c r="D662" s="3" t="s">
        <v>1120</v>
      </c>
      <c r="E662" s="3">
        <v>661</v>
      </c>
      <c r="F662" s="3" t="s">
        <v>1663</v>
      </c>
      <c r="G662" s="3" t="s">
        <v>1093</v>
      </c>
      <c r="H662" s="3" t="str">
        <f>_xlfn.CONCAT("Calculated ", _xlfn.TEXTAFTER(F662,"Apparent "), ", from 3rd party Herbert-ABS LMP system.")</f>
        <v>Calculated Draft, from 3rd party Herbert-ABS LMP system.</v>
      </c>
    </row>
    <row r="663" spans="1:8" x14ac:dyDescent="0.25">
      <c r="A663" s="3" t="s">
        <v>6983</v>
      </c>
      <c r="B663" s="3" t="s">
        <v>6992</v>
      </c>
      <c r="C663" s="3" t="s">
        <v>6985</v>
      </c>
      <c r="D663" s="3" t="s">
        <v>1120</v>
      </c>
      <c r="E663" s="3">
        <v>662</v>
      </c>
      <c r="F663" s="3" t="s">
        <v>4424</v>
      </c>
      <c r="G663" s="3" t="s">
        <v>4</v>
      </c>
      <c r="H663" s="3" t="str">
        <f t="shared" ref="H663:H664" si="13">_xlfn.CONCAT("Calculated ", _xlfn.TEXTAFTER(F663,"Apparent "), ", from 3rd party Herbert-ABS LMP system.")</f>
        <v>Calculated Inclination EW, from 3rd party Herbert-ABS LMP system.</v>
      </c>
    </row>
    <row r="664" spans="1:8" x14ac:dyDescent="0.25">
      <c r="A664" s="3" t="s">
        <v>6983</v>
      </c>
      <c r="B664" s="3" t="s">
        <v>6992</v>
      </c>
      <c r="C664" s="3" t="s">
        <v>6985</v>
      </c>
      <c r="D664" s="3" t="s">
        <v>1120</v>
      </c>
      <c r="E664" s="3">
        <v>663</v>
      </c>
      <c r="F664" s="3" t="s">
        <v>4425</v>
      </c>
      <c r="G664" s="3" t="s">
        <v>4</v>
      </c>
      <c r="H664" s="3" t="str">
        <f t="shared" si="13"/>
        <v>Calculated Inclination NS, from 3rd party Herbert-ABS LMP system.</v>
      </c>
    </row>
    <row r="665" spans="1:8" x14ac:dyDescent="0.25">
      <c r="A665" s="3" t="s">
        <v>6983</v>
      </c>
      <c r="B665" s="3" t="s">
        <v>6992</v>
      </c>
      <c r="C665" s="3" t="s">
        <v>6985</v>
      </c>
      <c r="D665" s="3" t="s">
        <v>1120</v>
      </c>
      <c r="E665" s="3">
        <v>664</v>
      </c>
      <c r="F665" s="3" t="s">
        <v>4426</v>
      </c>
      <c r="G665" s="3" t="s">
        <v>1093</v>
      </c>
      <c r="H665" s="3" t="str">
        <f t="shared" si="12"/>
        <v>Output Total Platform KG, data relayed from Weight Management System.</v>
      </c>
    </row>
    <row r="666" spans="1:8" x14ac:dyDescent="0.25">
      <c r="A666" s="3" t="s">
        <v>6983</v>
      </c>
      <c r="B666" s="3" t="s">
        <v>6992</v>
      </c>
      <c r="C666" s="3" t="s">
        <v>6985</v>
      </c>
      <c r="D666" s="3" t="s">
        <v>1120</v>
      </c>
      <c r="E666" s="3">
        <v>665</v>
      </c>
      <c r="F666" s="3" t="s">
        <v>4427</v>
      </c>
      <c r="G666" s="3" t="s">
        <v>1093</v>
      </c>
      <c r="H666" s="3" t="str">
        <f t="shared" si="12"/>
        <v>Output Operating KG Allow, data relayed from Weight Management System.</v>
      </c>
    </row>
    <row r="667" spans="1:8" x14ac:dyDescent="0.25">
      <c r="A667" s="3" t="s">
        <v>6983</v>
      </c>
      <c r="B667" s="3" t="s">
        <v>6992</v>
      </c>
      <c r="C667" s="3" t="s">
        <v>6985</v>
      </c>
      <c r="D667" s="3" t="s">
        <v>1120</v>
      </c>
      <c r="E667" s="3">
        <v>666</v>
      </c>
      <c r="F667" s="3" t="s">
        <v>4428</v>
      </c>
      <c r="G667" s="3" t="s">
        <v>1093</v>
      </c>
      <c r="H667" s="3" t="str">
        <f t="shared" si="12"/>
        <v>Output Storm KG Allow, data relayed from Weight Management System.</v>
      </c>
    </row>
    <row r="668" spans="1:8" x14ac:dyDescent="0.25">
      <c r="A668" s="3" t="s">
        <v>6983</v>
      </c>
      <c r="B668" s="3" t="s">
        <v>6992</v>
      </c>
      <c r="C668" s="3" t="s">
        <v>6985</v>
      </c>
      <c r="D668" s="3" t="s">
        <v>1120</v>
      </c>
      <c r="E668" s="3">
        <v>667</v>
      </c>
      <c r="F668" s="3" t="s">
        <v>1669</v>
      </c>
      <c r="G668" s="3" t="s">
        <v>1093</v>
      </c>
      <c r="H668" s="3" t="str">
        <f t="shared" si="12"/>
        <v>Output Rig Location EW, data relayed from Weight Management System.</v>
      </c>
    </row>
    <row r="669" spans="1:8" x14ac:dyDescent="0.25">
      <c r="A669" s="3" t="s">
        <v>6983</v>
      </c>
      <c r="B669" s="3" t="s">
        <v>6992</v>
      </c>
      <c r="C669" s="3" t="s">
        <v>6985</v>
      </c>
      <c r="D669" s="3" t="s">
        <v>1120</v>
      </c>
      <c r="E669" s="3">
        <v>668</v>
      </c>
      <c r="F669" s="3" t="s">
        <v>1670</v>
      </c>
      <c r="G669" s="3" t="s">
        <v>1093</v>
      </c>
      <c r="H669" s="3" t="str">
        <f t="shared" si="12"/>
        <v>Output Rig Location NS, data relayed from Weight Management System.</v>
      </c>
    </row>
    <row r="670" spans="1:8" x14ac:dyDescent="0.25">
      <c r="A670" s="3" t="s">
        <v>6983</v>
      </c>
      <c r="B670" s="3" t="s">
        <v>6992</v>
      </c>
      <c r="C670" s="3" t="s">
        <v>6985</v>
      </c>
      <c r="D670" s="3" t="s">
        <v>1120</v>
      </c>
      <c r="E670" s="3">
        <v>669</v>
      </c>
      <c r="F670" s="3" t="s">
        <v>4429</v>
      </c>
      <c r="G670" s="3" t="s">
        <v>1100</v>
      </c>
      <c r="H670" s="3" t="str">
        <f t="shared" si="12"/>
        <v>Output Total Weight Weight, data relayed from Weight Management System.</v>
      </c>
    </row>
    <row r="671" spans="1:8" x14ac:dyDescent="0.25">
      <c r="A671" s="3" t="s">
        <v>6983</v>
      </c>
      <c r="B671" s="3" t="s">
        <v>6992</v>
      </c>
      <c r="C671" s="3" t="s">
        <v>6985</v>
      </c>
      <c r="D671" s="3" t="s">
        <v>1120</v>
      </c>
      <c r="E671" s="3">
        <v>670</v>
      </c>
      <c r="F671" s="3" t="s">
        <v>4430</v>
      </c>
      <c r="G671" s="3" t="s">
        <v>1093</v>
      </c>
      <c r="H671" s="3" t="str">
        <f t="shared" si="12"/>
        <v>Output Total Weight VCG, data relayed from Weight Management System.</v>
      </c>
    </row>
    <row r="672" spans="1:8" x14ac:dyDescent="0.25">
      <c r="A672" s="3" t="s">
        <v>6983</v>
      </c>
      <c r="B672" s="3" t="s">
        <v>6992</v>
      </c>
      <c r="C672" s="3" t="s">
        <v>6985</v>
      </c>
      <c r="D672" s="3" t="s">
        <v>1120</v>
      </c>
      <c r="E672" s="3">
        <v>671</v>
      </c>
      <c r="F672" s="3" t="s">
        <v>4431</v>
      </c>
      <c r="G672" s="3" t="s">
        <v>1093</v>
      </c>
      <c r="H672" s="3" t="str">
        <f t="shared" si="12"/>
        <v>Output Total Weight CG EW, data relayed from Weight Management System.</v>
      </c>
    </row>
    <row r="673" spans="1:8" x14ac:dyDescent="0.25">
      <c r="A673" s="3" t="s">
        <v>6983</v>
      </c>
      <c r="B673" s="3" t="s">
        <v>6992</v>
      </c>
      <c r="C673" s="3" t="s">
        <v>6985</v>
      </c>
      <c r="D673" s="3" t="s">
        <v>1120</v>
      </c>
      <c r="E673" s="3">
        <v>672</v>
      </c>
      <c r="F673" s="3" t="s">
        <v>4432</v>
      </c>
      <c r="G673" s="3" t="s">
        <v>1093</v>
      </c>
      <c r="H673" s="3" t="str">
        <f t="shared" si="12"/>
        <v>Output Total Weight CG NS, data relayed from Weight Management System.</v>
      </c>
    </row>
    <row r="674" spans="1:8" x14ac:dyDescent="0.25">
      <c r="A674" s="3" t="s">
        <v>6983</v>
      </c>
      <c r="B674" s="3" t="s">
        <v>6992</v>
      </c>
      <c r="C674" s="3" t="s">
        <v>6985</v>
      </c>
      <c r="D674" s="3" t="s">
        <v>1120</v>
      </c>
      <c r="E674" s="3">
        <v>673</v>
      </c>
      <c r="F674" s="3" t="s">
        <v>4433</v>
      </c>
      <c r="G674" s="3" t="s">
        <v>1101</v>
      </c>
      <c r="H674" s="3" t="str">
        <f t="shared" si="12"/>
        <v>Output Total Weight FS Mt EW HI, data relayed from Weight Management System.</v>
      </c>
    </row>
    <row r="675" spans="1:8" x14ac:dyDescent="0.25">
      <c r="A675" s="3" t="s">
        <v>6983</v>
      </c>
      <c r="B675" s="3" t="s">
        <v>6992</v>
      </c>
      <c r="C675" s="3" t="s">
        <v>6985</v>
      </c>
      <c r="D675" s="3" t="s">
        <v>1120</v>
      </c>
      <c r="E675" s="3">
        <v>674</v>
      </c>
      <c r="F675" s="3" t="s">
        <v>4434</v>
      </c>
      <c r="G675" s="3" t="s">
        <v>1101</v>
      </c>
      <c r="H675" s="3" t="str">
        <f t="shared" si="12"/>
        <v>Output Total Weight FS Mt EW LO, data relayed from Weight Management System.</v>
      </c>
    </row>
    <row r="676" spans="1:8" x14ac:dyDescent="0.25">
      <c r="A676" s="3" t="s">
        <v>6983</v>
      </c>
      <c r="B676" s="3" t="s">
        <v>6992</v>
      </c>
      <c r="C676" s="3" t="s">
        <v>6985</v>
      </c>
      <c r="D676" s="3" t="s">
        <v>1120</v>
      </c>
      <c r="E676" s="3">
        <v>675</v>
      </c>
      <c r="F676" s="3" t="s">
        <v>4435</v>
      </c>
      <c r="G676" s="3" t="s">
        <v>1101</v>
      </c>
      <c r="H676" s="3" t="str">
        <f t="shared" si="12"/>
        <v>Output Total Weight FS Mt NS HI, data relayed from Weight Management System.</v>
      </c>
    </row>
    <row r="677" spans="1:8" x14ac:dyDescent="0.25">
      <c r="A677" s="3" t="s">
        <v>6983</v>
      </c>
      <c r="B677" s="3" t="s">
        <v>6992</v>
      </c>
      <c r="C677" s="3" t="s">
        <v>6985</v>
      </c>
      <c r="D677" s="3" t="s">
        <v>1120</v>
      </c>
      <c r="E677" s="3">
        <v>676</v>
      </c>
      <c r="F677" s="3" t="s">
        <v>4436</v>
      </c>
      <c r="G677" s="3" t="s">
        <v>1101</v>
      </c>
      <c r="H677" s="3" t="str">
        <f t="shared" si="12"/>
        <v>Output Total Weight FS Mt NS LO, data relayed from Weight Management System.</v>
      </c>
    </row>
    <row r="678" spans="1:8" x14ac:dyDescent="0.25">
      <c r="A678" s="3" t="s">
        <v>6983</v>
      </c>
      <c r="B678" s="3" t="s">
        <v>6992</v>
      </c>
      <c r="C678" s="3" t="s">
        <v>6985</v>
      </c>
      <c r="D678" s="3" t="s">
        <v>6321</v>
      </c>
      <c r="E678" s="3">
        <v>677</v>
      </c>
      <c r="F678" s="3" t="s">
        <v>4437</v>
      </c>
      <c r="G678" s="3" t="s">
        <v>1093</v>
      </c>
      <c r="H678" s="3" t="s">
        <v>40</v>
      </c>
    </row>
    <row r="679" spans="1:8" x14ac:dyDescent="0.25">
      <c r="A679" s="3" t="s">
        <v>6983</v>
      </c>
      <c r="B679" s="3" t="s">
        <v>6992</v>
      </c>
      <c r="C679" s="3" t="s">
        <v>6985</v>
      </c>
      <c r="D679" s="3" t="s">
        <v>6321</v>
      </c>
      <c r="E679" s="3">
        <v>678</v>
      </c>
      <c r="F679" s="3" t="s">
        <v>4438</v>
      </c>
      <c r="G679" s="3" t="s">
        <v>1093</v>
      </c>
      <c r="H679" s="3" t="s">
        <v>41</v>
      </c>
    </row>
    <row r="680" spans="1:8" x14ac:dyDescent="0.25">
      <c r="A680" s="3" t="s">
        <v>6983</v>
      </c>
      <c r="B680" s="3" t="s">
        <v>6992</v>
      </c>
      <c r="C680" s="3" t="s">
        <v>6985</v>
      </c>
      <c r="D680" s="3" t="s">
        <v>6321</v>
      </c>
      <c r="E680" s="3">
        <v>679</v>
      </c>
      <c r="F680" s="3" t="s">
        <v>4439</v>
      </c>
      <c r="G680" s="3" t="s">
        <v>17</v>
      </c>
      <c r="H680" s="4" t="s">
        <v>6614</v>
      </c>
    </row>
    <row r="681" spans="1:8" x14ac:dyDescent="0.25">
      <c r="A681" s="3" t="s">
        <v>6983</v>
      </c>
      <c r="B681" s="3" t="s">
        <v>6992</v>
      </c>
      <c r="C681" s="3" t="s">
        <v>6985</v>
      </c>
      <c r="D681" s="3" t="s">
        <v>6321</v>
      </c>
      <c r="E681" s="3">
        <v>680</v>
      </c>
      <c r="F681" s="3" t="s">
        <v>4440</v>
      </c>
      <c r="G681" s="3" t="s">
        <v>4</v>
      </c>
      <c r="H681" s="3" t="s">
        <v>7008</v>
      </c>
    </row>
    <row r="682" spans="1:8" x14ac:dyDescent="0.25">
      <c r="A682" s="3" t="s">
        <v>6983</v>
      </c>
      <c r="B682" s="3" t="s">
        <v>6992</v>
      </c>
      <c r="C682" s="3" t="s">
        <v>6985</v>
      </c>
      <c r="D682" s="3" t="s">
        <v>6321</v>
      </c>
      <c r="E682" s="3">
        <v>681</v>
      </c>
      <c r="F682" s="3" t="s">
        <v>4441</v>
      </c>
      <c r="G682" s="3" t="s">
        <v>4</v>
      </c>
      <c r="H682" s="3" t="s">
        <v>7009</v>
      </c>
    </row>
    <row r="683" spans="1:8" x14ac:dyDescent="0.25">
      <c r="A683" s="3" t="s">
        <v>6983</v>
      </c>
      <c r="B683" s="3" t="s">
        <v>6992</v>
      </c>
      <c r="C683" s="3" t="s">
        <v>6985</v>
      </c>
      <c r="D683" s="3" t="s">
        <v>6321</v>
      </c>
      <c r="E683" s="3">
        <v>682</v>
      </c>
      <c r="F683" s="3" t="s">
        <v>4442</v>
      </c>
      <c r="G683" s="3" t="s">
        <v>19</v>
      </c>
      <c r="H683" s="3" t="s">
        <v>39</v>
      </c>
    </row>
    <row r="684" spans="1:8" x14ac:dyDescent="0.25">
      <c r="A684" s="3" t="s">
        <v>6983</v>
      </c>
      <c r="B684" s="3" t="s">
        <v>6992</v>
      </c>
      <c r="C684" s="3" t="s">
        <v>6985</v>
      </c>
      <c r="D684" s="3" t="s">
        <v>6321</v>
      </c>
      <c r="E684" s="3">
        <v>683</v>
      </c>
      <c r="F684" s="3" t="s">
        <v>614</v>
      </c>
      <c r="G684" s="3" t="s">
        <v>17</v>
      </c>
      <c r="H684" s="3" t="s">
        <v>43</v>
      </c>
    </row>
    <row r="685" spans="1:8" x14ac:dyDescent="0.25">
      <c r="A685" s="3" t="s">
        <v>6983</v>
      </c>
      <c r="B685" s="3" t="s">
        <v>6992</v>
      </c>
      <c r="C685" s="3" t="s">
        <v>6985</v>
      </c>
      <c r="D685" s="3" t="s">
        <v>6321</v>
      </c>
      <c r="E685" s="3">
        <v>684</v>
      </c>
      <c r="F685" s="3" t="s">
        <v>4443</v>
      </c>
      <c r="G685" s="3" t="s">
        <v>4</v>
      </c>
      <c r="H685" s="3" t="s">
        <v>7010</v>
      </c>
    </row>
    <row r="686" spans="1:8" x14ac:dyDescent="0.25">
      <c r="A686" s="3" t="s">
        <v>6983</v>
      </c>
      <c r="B686" s="3" t="s">
        <v>6992</v>
      </c>
      <c r="C686" s="3" t="s">
        <v>6985</v>
      </c>
      <c r="D686" s="3" t="s">
        <v>6321</v>
      </c>
      <c r="E686" s="3">
        <v>685</v>
      </c>
      <c r="F686" s="3" t="s">
        <v>4444</v>
      </c>
      <c r="G686" s="3" t="s">
        <v>17</v>
      </c>
      <c r="H686" s="3" t="s">
        <v>6942</v>
      </c>
    </row>
    <row r="687" spans="1:8" x14ac:dyDescent="0.25">
      <c r="A687" s="3" t="s">
        <v>6983</v>
      </c>
      <c r="B687" s="3" t="s">
        <v>6992</v>
      </c>
      <c r="C687" s="3" t="s">
        <v>6985</v>
      </c>
      <c r="D687" s="3" t="s">
        <v>6321</v>
      </c>
      <c r="E687" s="3">
        <v>686</v>
      </c>
      <c r="F687" s="3" t="s">
        <v>4445</v>
      </c>
      <c r="G687" s="3" t="s">
        <v>17</v>
      </c>
      <c r="H687" s="3" t="s">
        <v>6942</v>
      </c>
    </row>
    <row r="688" spans="1:8" x14ac:dyDescent="0.25">
      <c r="A688" s="3" t="s">
        <v>6983</v>
      </c>
      <c r="B688" s="3" t="s">
        <v>6992</v>
      </c>
      <c r="C688" s="3" t="s">
        <v>6985</v>
      </c>
      <c r="D688" s="3" t="s">
        <v>6321</v>
      </c>
      <c r="E688" s="3">
        <v>687</v>
      </c>
      <c r="F688" s="3" t="s">
        <v>4446</v>
      </c>
      <c r="G688" s="3" t="s">
        <v>13</v>
      </c>
      <c r="H688" s="3" t="s">
        <v>1140</v>
      </c>
    </row>
    <row r="689" spans="1:8" x14ac:dyDescent="0.25">
      <c r="A689" s="3" t="s">
        <v>6983</v>
      </c>
      <c r="B689" s="3" t="s">
        <v>6992</v>
      </c>
      <c r="C689" s="3" t="s">
        <v>6985</v>
      </c>
      <c r="D689" s="3" t="s">
        <v>6321</v>
      </c>
      <c r="E689" s="3">
        <v>688</v>
      </c>
      <c r="F689" s="3" t="s">
        <v>4447</v>
      </c>
      <c r="G689" s="3" t="s">
        <v>4</v>
      </c>
      <c r="H689" s="3" t="s">
        <v>7011</v>
      </c>
    </row>
    <row r="690" spans="1:8" x14ac:dyDescent="0.25">
      <c r="A690" s="3" t="s">
        <v>6983</v>
      </c>
      <c r="B690" s="3" t="s">
        <v>6992</v>
      </c>
      <c r="C690" s="3" t="s">
        <v>6985</v>
      </c>
      <c r="D690" s="3" t="s">
        <v>6321</v>
      </c>
      <c r="E690" s="3">
        <v>689</v>
      </c>
      <c r="F690" s="3" t="s">
        <v>4448</v>
      </c>
      <c r="G690" s="3" t="s">
        <v>17</v>
      </c>
      <c r="H690" s="3" t="s">
        <v>6943</v>
      </c>
    </row>
    <row r="691" spans="1:8" x14ac:dyDescent="0.25">
      <c r="A691" s="3" t="s">
        <v>6983</v>
      </c>
      <c r="B691" s="3" t="s">
        <v>6992</v>
      </c>
      <c r="C691" s="3" t="s">
        <v>6985</v>
      </c>
      <c r="D691" s="3" t="s">
        <v>6321</v>
      </c>
      <c r="E691" s="3">
        <v>690</v>
      </c>
      <c r="F691" s="3" t="s">
        <v>4449</v>
      </c>
      <c r="G691" s="3" t="s">
        <v>17</v>
      </c>
      <c r="H691" s="3" t="s">
        <v>6943</v>
      </c>
    </row>
    <row r="692" spans="1:8" x14ac:dyDescent="0.25">
      <c r="A692" s="3" t="s">
        <v>6983</v>
      </c>
      <c r="B692" s="3" t="s">
        <v>6992</v>
      </c>
      <c r="C692" s="3" t="s">
        <v>6985</v>
      </c>
      <c r="D692" s="3" t="s">
        <v>6322</v>
      </c>
      <c r="E692" s="3">
        <v>691</v>
      </c>
      <c r="F692" s="3" t="s">
        <v>622</v>
      </c>
      <c r="G692" s="3" t="s">
        <v>13</v>
      </c>
      <c r="H692" s="3" t="s">
        <v>1145</v>
      </c>
    </row>
    <row r="693" spans="1:8" x14ac:dyDescent="0.25">
      <c r="A693" s="3" t="s">
        <v>6983</v>
      </c>
      <c r="B693" s="3" t="s">
        <v>6992</v>
      </c>
      <c r="C693" s="3" t="s">
        <v>6985</v>
      </c>
      <c r="D693" s="3" t="s">
        <v>6322</v>
      </c>
      <c r="E693" s="3">
        <v>692</v>
      </c>
      <c r="F693" s="3" t="s">
        <v>623</v>
      </c>
      <c r="G693" s="3" t="s">
        <v>13</v>
      </c>
      <c r="H693" s="3" t="s">
        <v>1146</v>
      </c>
    </row>
    <row r="694" spans="1:8" x14ac:dyDescent="0.25">
      <c r="A694" s="3" t="s">
        <v>6983</v>
      </c>
      <c r="B694" s="3" t="s">
        <v>6992</v>
      </c>
      <c r="C694" s="3" t="s">
        <v>6985</v>
      </c>
      <c r="D694" s="3" t="s">
        <v>6322</v>
      </c>
      <c r="E694" s="3">
        <v>693</v>
      </c>
      <c r="F694" s="3" t="s">
        <v>624</v>
      </c>
      <c r="G694" s="3" t="s">
        <v>9</v>
      </c>
      <c r="H694" s="3" t="s">
        <v>7012</v>
      </c>
    </row>
    <row r="695" spans="1:8" x14ac:dyDescent="0.25">
      <c r="A695" s="3" t="s">
        <v>6983</v>
      </c>
      <c r="B695" s="3" t="s">
        <v>6992</v>
      </c>
      <c r="C695" s="3" t="s">
        <v>6985</v>
      </c>
      <c r="D695" s="3" t="s">
        <v>6322</v>
      </c>
      <c r="E695" s="3">
        <v>694</v>
      </c>
      <c r="F695" s="3" t="s">
        <v>625</v>
      </c>
      <c r="G695" s="3" t="s">
        <v>1093</v>
      </c>
      <c r="H695" s="3" t="s">
        <v>1147</v>
      </c>
    </row>
    <row r="696" spans="1:8" x14ac:dyDescent="0.25">
      <c r="A696" s="3" t="s">
        <v>6983</v>
      </c>
      <c r="B696" s="3" t="s">
        <v>6992</v>
      </c>
      <c r="C696" s="3" t="s">
        <v>6985</v>
      </c>
      <c r="D696" s="3" t="s">
        <v>6322</v>
      </c>
      <c r="E696" s="3">
        <v>695</v>
      </c>
      <c r="F696" s="3" t="s">
        <v>626</v>
      </c>
      <c r="G696" s="3" t="s">
        <v>13</v>
      </c>
      <c r="H696" s="3" t="s">
        <v>1148</v>
      </c>
    </row>
    <row r="697" spans="1:8" x14ac:dyDescent="0.25">
      <c r="A697" s="3" t="s">
        <v>6983</v>
      </c>
      <c r="B697" s="3" t="s">
        <v>6992</v>
      </c>
      <c r="C697" s="3" t="s">
        <v>6985</v>
      </c>
      <c r="D697" s="3" t="s">
        <v>6322</v>
      </c>
      <c r="E697" s="3">
        <v>696</v>
      </c>
      <c r="F697" s="3" t="s">
        <v>627</v>
      </c>
      <c r="G697" s="3" t="s">
        <v>13</v>
      </c>
      <c r="H697" s="3" t="s">
        <v>1149</v>
      </c>
    </row>
    <row r="698" spans="1:8" x14ac:dyDescent="0.25">
      <c r="A698" s="3" t="s">
        <v>6983</v>
      </c>
      <c r="B698" s="3" t="s">
        <v>6992</v>
      </c>
      <c r="C698" s="3" t="s">
        <v>6985</v>
      </c>
      <c r="D698" s="3" t="s">
        <v>6322</v>
      </c>
      <c r="E698" s="3">
        <v>697</v>
      </c>
      <c r="F698" s="3" t="s">
        <v>628</v>
      </c>
      <c r="G698" s="3" t="s">
        <v>9</v>
      </c>
      <c r="H698" s="3" t="s">
        <v>7013</v>
      </c>
    </row>
    <row r="699" spans="1:8" x14ac:dyDescent="0.25">
      <c r="A699" s="3" t="s">
        <v>6983</v>
      </c>
      <c r="B699" s="3" t="s">
        <v>6992</v>
      </c>
      <c r="C699" s="3" t="s">
        <v>6985</v>
      </c>
      <c r="D699" s="3" t="s">
        <v>6322</v>
      </c>
      <c r="E699" s="3">
        <v>698</v>
      </c>
      <c r="F699" s="3" t="s">
        <v>629</v>
      </c>
      <c r="G699" s="3" t="s">
        <v>1093</v>
      </c>
      <c r="H699" s="3" t="s">
        <v>1150</v>
      </c>
    </row>
    <row r="700" spans="1:8" x14ac:dyDescent="0.25">
      <c r="A700" s="3" t="s">
        <v>6983</v>
      </c>
      <c r="B700" s="3" t="s">
        <v>6992</v>
      </c>
      <c r="C700" s="3" t="s">
        <v>6985</v>
      </c>
      <c r="D700" s="3" t="s">
        <v>6322</v>
      </c>
      <c r="E700" s="3">
        <v>699</v>
      </c>
      <c r="F700" s="3" t="s">
        <v>630</v>
      </c>
      <c r="G700" s="3" t="s">
        <v>13</v>
      </c>
      <c r="H700" s="3" t="s">
        <v>1151</v>
      </c>
    </row>
    <row r="701" spans="1:8" x14ac:dyDescent="0.25">
      <c r="A701" s="3" t="s">
        <v>6983</v>
      </c>
      <c r="B701" s="3" t="s">
        <v>6992</v>
      </c>
      <c r="C701" s="3" t="s">
        <v>6985</v>
      </c>
      <c r="D701" s="3" t="s">
        <v>6322</v>
      </c>
      <c r="E701" s="3">
        <v>700</v>
      </c>
      <c r="F701" s="3" t="s">
        <v>631</v>
      </c>
      <c r="G701" s="3" t="s">
        <v>13</v>
      </c>
      <c r="H701" s="3" t="s">
        <v>1152</v>
      </c>
    </row>
    <row r="702" spans="1:8" x14ac:dyDescent="0.25">
      <c r="A702" s="3" t="s">
        <v>6983</v>
      </c>
      <c r="B702" s="3" t="s">
        <v>6992</v>
      </c>
      <c r="C702" s="3" t="s">
        <v>6985</v>
      </c>
      <c r="D702" s="3" t="s">
        <v>6322</v>
      </c>
      <c r="E702" s="3">
        <v>701</v>
      </c>
      <c r="F702" s="3" t="s">
        <v>632</v>
      </c>
      <c r="G702" s="3" t="s">
        <v>9</v>
      </c>
      <c r="H702" s="3" t="s">
        <v>7014</v>
      </c>
    </row>
    <row r="703" spans="1:8" x14ac:dyDescent="0.25">
      <c r="A703" s="3" t="s">
        <v>6983</v>
      </c>
      <c r="B703" s="3" t="s">
        <v>6992</v>
      </c>
      <c r="C703" s="3" t="s">
        <v>6985</v>
      </c>
      <c r="D703" s="3" t="s">
        <v>6322</v>
      </c>
      <c r="E703" s="3">
        <v>702</v>
      </c>
      <c r="F703" s="3" t="s">
        <v>633</v>
      </c>
      <c r="G703" s="3" t="s">
        <v>1093</v>
      </c>
      <c r="H703" s="3" t="s">
        <v>1153</v>
      </c>
    </row>
    <row r="704" spans="1:8" x14ac:dyDescent="0.25">
      <c r="A704" s="3" t="s">
        <v>6983</v>
      </c>
      <c r="B704" s="3" t="s">
        <v>6992</v>
      </c>
      <c r="C704" s="3" t="s">
        <v>6985</v>
      </c>
      <c r="D704" s="3" t="s">
        <v>6322</v>
      </c>
      <c r="E704" s="3">
        <v>703</v>
      </c>
      <c r="F704" s="3" t="s">
        <v>634</v>
      </c>
      <c r="G704" s="3" t="s">
        <v>13</v>
      </c>
      <c r="H704" s="3" t="s">
        <v>1154</v>
      </c>
    </row>
    <row r="705" spans="1:8" x14ac:dyDescent="0.25">
      <c r="A705" s="3" t="s">
        <v>6983</v>
      </c>
      <c r="B705" s="3" t="s">
        <v>6992</v>
      </c>
      <c r="C705" s="3" t="s">
        <v>6985</v>
      </c>
      <c r="D705" s="3" t="s">
        <v>6322</v>
      </c>
      <c r="E705" s="3">
        <v>704</v>
      </c>
      <c r="F705" s="3" t="s">
        <v>635</v>
      </c>
      <c r="G705" s="3" t="s">
        <v>13</v>
      </c>
      <c r="H705" s="3" t="s">
        <v>1155</v>
      </c>
    </row>
    <row r="706" spans="1:8" x14ac:dyDescent="0.25">
      <c r="A706" s="3" t="s">
        <v>6983</v>
      </c>
      <c r="B706" s="3" t="s">
        <v>6992</v>
      </c>
      <c r="C706" s="3" t="s">
        <v>6985</v>
      </c>
      <c r="D706" s="3" t="s">
        <v>6322</v>
      </c>
      <c r="E706" s="3">
        <v>705</v>
      </c>
      <c r="F706" s="3" t="s">
        <v>636</v>
      </c>
      <c r="G706" s="3" t="s">
        <v>9</v>
      </c>
      <c r="H706" s="3" t="s">
        <v>7015</v>
      </c>
    </row>
    <row r="707" spans="1:8" x14ac:dyDescent="0.25">
      <c r="A707" s="3" t="s">
        <v>6983</v>
      </c>
      <c r="B707" s="3" t="s">
        <v>6992</v>
      </c>
      <c r="C707" s="3" t="s">
        <v>6985</v>
      </c>
      <c r="D707" s="3" t="s">
        <v>6322</v>
      </c>
      <c r="E707" s="3">
        <v>706</v>
      </c>
      <c r="F707" s="3" t="s">
        <v>637</v>
      </c>
      <c r="G707" s="3" t="s">
        <v>1093</v>
      </c>
      <c r="H707" s="3" t="s">
        <v>1156</v>
      </c>
    </row>
    <row r="708" spans="1:8" x14ac:dyDescent="0.25">
      <c r="A708" s="3" t="s">
        <v>6983</v>
      </c>
      <c r="B708" s="3" t="s">
        <v>6992</v>
      </c>
      <c r="C708" s="3" t="s">
        <v>6985</v>
      </c>
      <c r="D708" s="3" t="s">
        <v>6322</v>
      </c>
      <c r="E708" s="3">
        <v>707</v>
      </c>
      <c r="F708" s="3" t="s">
        <v>638</v>
      </c>
      <c r="G708" s="3" t="s">
        <v>13</v>
      </c>
      <c r="H708" s="3" t="s">
        <v>1157</v>
      </c>
    </row>
    <row r="709" spans="1:8" x14ac:dyDescent="0.25">
      <c r="A709" s="3" t="s">
        <v>6983</v>
      </c>
      <c r="B709" s="3" t="s">
        <v>6992</v>
      </c>
      <c r="C709" s="3" t="s">
        <v>6985</v>
      </c>
      <c r="D709" s="3" t="s">
        <v>6322</v>
      </c>
      <c r="E709" s="3">
        <v>708</v>
      </c>
      <c r="F709" s="3" t="s">
        <v>639</v>
      </c>
      <c r="G709" s="3" t="s">
        <v>13</v>
      </c>
      <c r="H709" s="3" t="s">
        <v>1158</v>
      </c>
    </row>
    <row r="710" spans="1:8" x14ac:dyDescent="0.25">
      <c r="A710" s="3" t="s">
        <v>6983</v>
      </c>
      <c r="B710" s="3" t="s">
        <v>6992</v>
      </c>
      <c r="C710" s="3" t="s">
        <v>6985</v>
      </c>
      <c r="D710" s="3" t="s">
        <v>6322</v>
      </c>
      <c r="E710" s="3">
        <v>709</v>
      </c>
      <c r="F710" s="3" t="s">
        <v>640</v>
      </c>
      <c r="G710" s="3" t="s">
        <v>9</v>
      </c>
      <c r="H710" s="3" t="s">
        <v>7016</v>
      </c>
    </row>
    <row r="711" spans="1:8" x14ac:dyDescent="0.25">
      <c r="A711" s="3" t="s">
        <v>6983</v>
      </c>
      <c r="B711" s="3" t="s">
        <v>6992</v>
      </c>
      <c r="C711" s="3" t="s">
        <v>6985</v>
      </c>
      <c r="D711" s="3" t="s">
        <v>6322</v>
      </c>
      <c r="E711" s="3">
        <v>710</v>
      </c>
      <c r="F711" s="3" t="s">
        <v>641</v>
      </c>
      <c r="G711" s="3" t="s">
        <v>1093</v>
      </c>
      <c r="H711" s="3" t="s">
        <v>1159</v>
      </c>
    </row>
    <row r="712" spans="1:8" x14ac:dyDescent="0.25">
      <c r="A712" s="3" t="s">
        <v>6983</v>
      </c>
      <c r="B712" s="3" t="s">
        <v>6992</v>
      </c>
      <c r="C712" s="3" t="s">
        <v>6985</v>
      </c>
      <c r="D712" s="3" t="s">
        <v>6322</v>
      </c>
      <c r="E712" s="3">
        <v>711</v>
      </c>
      <c r="F712" s="3" t="s">
        <v>642</v>
      </c>
      <c r="G712" s="3" t="s">
        <v>13</v>
      </c>
      <c r="H712" s="3" t="s">
        <v>1160</v>
      </c>
    </row>
    <row r="713" spans="1:8" x14ac:dyDescent="0.25">
      <c r="A713" s="3" t="s">
        <v>6983</v>
      </c>
      <c r="B713" s="3" t="s">
        <v>6992</v>
      </c>
      <c r="C713" s="3" t="s">
        <v>6985</v>
      </c>
      <c r="D713" s="3" t="s">
        <v>6322</v>
      </c>
      <c r="E713" s="3">
        <v>712</v>
      </c>
      <c r="F713" s="3" t="s">
        <v>643</v>
      </c>
      <c r="G713" s="3" t="s">
        <v>13</v>
      </c>
      <c r="H713" s="3" t="s">
        <v>1161</v>
      </c>
    </row>
    <row r="714" spans="1:8" x14ac:dyDescent="0.25">
      <c r="A714" s="3" t="s">
        <v>6983</v>
      </c>
      <c r="B714" s="3" t="s">
        <v>6992</v>
      </c>
      <c r="C714" s="3" t="s">
        <v>6985</v>
      </c>
      <c r="D714" s="3" t="s">
        <v>6322</v>
      </c>
      <c r="E714" s="3">
        <v>713</v>
      </c>
      <c r="F714" s="3" t="s">
        <v>644</v>
      </c>
      <c r="G714" s="3" t="s">
        <v>9</v>
      </c>
      <c r="H714" s="3" t="s">
        <v>7017</v>
      </c>
    </row>
    <row r="715" spans="1:8" x14ac:dyDescent="0.25">
      <c r="A715" s="3" t="s">
        <v>6983</v>
      </c>
      <c r="B715" s="3" t="s">
        <v>6992</v>
      </c>
      <c r="C715" s="3" t="s">
        <v>6985</v>
      </c>
      <c r="D715" s="3" t="s">
        <v>6322</v>
      </c>
      <c r="E715" s="3">
        <v>714</v>
      </c>
      <c r="F715" s="3" t="s">
        <v>645</v>
      </c>
      <c r="G715" s="3" t="s">
        <v>1093</v>
      </c>
      <c r="H715" s="3" t="s">
        <v>1162</v>
      </c>
    </row>
    <row r="716" spans="1:8" x14ac:dyDescent="0.25">
      <c r="A716" s="3" t="s">
        <v>6983</v>
      </c>
      <c r="B716" s="3" t="s">
        <v>6992</v>
      </c>
      <c r="C716" s="3" t="s">
        <v>6985</v>
      </c>
      <c r="D716" s="3" t="s">
        <v>6322</v>
      </c>
      <c r="E716" s="3">
        <v>715</v>
      </c>
      <c r="F716" s="3" t="s">
        <v>646</v>
      </c>
      <c r="G716" s="3" t="s">
        <v>13</v>
      </c>
      <c r="H716" s="3" t="s">
        <v>1163</v>
      </c>
    </row>
    <row r="717" spans="1:8" x14ac:dyDescent="0.25">
      <c r="A717" s="3" t="s">
        <v>6983</v>
      </c>
      <c r="B717" s="3" t="s">
        <v>6992</v>
      </c>
      <c r="C717" s="3" t="s">
        <v>6985</v>
      </c>
      <c r="D717" s="3" t="s">
        <v>6322</v>
      </c>
      <c r="E717" s="3">
        <v>716</v>
      </c>
      <c r="F717" s="3" t="s">
        <v>647</v>
      </c>
      <c r="G717" s="3" t="s">
        <v>13</v>
      </c>
      <c r="H717" s="3" t="s">
        <v>1164</v>
      </c>
    </row>
    <row r="718" spans="1:8" x14ac:dyDescent="0.25">
      <c r="A718" s="3" t="s">
        <v>6983</v>
      </c>
      <c r="B718" s="3" t="s">
        <v>6992</v>
      </c>
      <c r="C718" s="3" t="s">
        <v>6985</v>
      </c>
      <c r="D718" s="3" t="s">
        <v>6322</v>
      </c>
      <c r="E718" s="3">
        <v>717</v>
      </c>
      <c r="F718" s="3" t="s">
        <v>648</v>
      </c>
      <c r="G718" s="3" t="s">
        <v>9</v>
      </c>
      <c r="H718" s="3" t="s">
        <v>7018</v>
      </c>
    </row>
    <row r="719" spans="1:8" x14ac:dyDescent="0.25">
      <c r="A719" s="3" t="s">
        <v>6983</v>
      </c>
      <c r="B719" s="3" t="s">
        <v>6992</v>
      </c>
      <c r="C719" s="3" t="s">
        <v>6985</v>
      </c>
      <c r="D719" s="3" t="s">
        <v>6322</v>
      </c>
      <c r="E719" s="3">
        <v>718</v>
      </c>
      <c r="F719" s="3" t="s">
        <v>649</v>
      </c>
      <c r="G719" s="3" t="s">
        <v>1093</v>
      </c>
      <c r="H719" s="3" t="s">
        <v>1165</v>
      </c>
    </row>
    <row r="720" spans="1:8" x14ac:dyDescent="0.25">
      <c r="A720" s="3" t="s">
        <v>6983</v>
      </c>
      <c r="B720" s="3" t="s">
        <v>6992</v>
      </c>
      <c r="C720" s="3" t="s">
        <v>6985</v>
      </c>
      <c r="D720" s="3" t="s">
        <v>6322</v>
      </c>
      <c r="E720" s="3">
        <v>719</v>
      </c>
      <c r="F720" s="3" t="s">
        <v>650</v>
      </c>
      <c r="G720" s="3" t="s">
        <v>13</v>
      </c>
      <c r="H720" s="3" t="s">
        <v>1166</v>
      </c>
    </row>
    <row r="721" spans="1:8" x14ac:dyDescent="0.25">
      <c r="A721" s="3" t="s">
        <v>6983</v>
      </c>
      <c r="B721" s="3" t="s">
        <v>6992</v>
      </c>
      <c r="C721" s="3" t="s">
        <v>6985</v>
      </c>
      <c r="D721" s="3" t="s">
        <v>6322</v>
      </c>
      <c r="E721" s="3">
        <v>720</v>
      </c>
      <c r="F721" s="3" t="s">
        <v>651</v>
      </c>
      <c r="G721" s="3" t="s">
        <v>13</v>
      </c>
      <c r="H721" s="3" t="s">
        <v>1167</v>
      </c>
    </row>
    <row r="722" spans="1:8" x14ac:dyDescent="0.25">
      <c r="A722" s="3" t="s">
        <v>6983</v>
      </c>
      <c r="B722" s="3" t="s">
        <v>6992</v>
      </c>
      <c r="C722" s="3" t="s">
        <v>6985</v>
      </c>
      <c r="D722" s="3" t="s">
        <v>6322</v>
      </c>
      <c r="E722" s="3">
        <v>721</v>
      </c>
      <c r="F722" s="3" t="s">
        <v>652</v>
      </c>
      <c r="G722" s="3" t="s">
        <v>9</v>
      </c>
      <c r="H722" s="3" t="s">
        <v>7019</v>
      </c>
    </row>
    <row r="723" spans="1:8" x14ac:dyDescent="0.25">
      <c r="A723" s="3" t="s">
        <v>6983</v>
      </c>
      <c r="B723" s="3" t="s">
        <v>6992</v>
      </c>
      <c r="C723" s="3" t="s">
        <v>6985</v>
      </c>
      <c r="D723" s="3" t="s">
        <v>6322</v>
      </c>
      <c r="E723" s="3">
        <v>722</v>
      </c>
      <c r="F723" s="3" t="s">
        <v>653</v>
      </c>
      <c r="G723" s="3" t="s">
        <v>1093</v>
      </c>
      <c r="H723" s="3" t="s">
        <v>1168</v>
      </c>
    </row>
    <row r="724" spans="1:8" x14ac:dyDescent="0.25">
      <c r="A724" s="3" t="s">
        <v>6983</v>
      </c>
      <c r="B724" s="3" t="s">
        <v>6992</v>
      </c>
      <c r="C724" s="3" t="s">
        <v>6985</v>
      </c>
      <c r="D724" s="3" t="s">
        <v>6322</v>
      </c>
      <c r="E724" s="3">
        <v>723</v>
      </c>
      <c r="F724" s="3" t="s">
        <v>654</v>
      </c>
      <c r="G724" s="3" t="s">
        <v>13</v>
      </c>
      <c r="H724" s="3" t="s">
        <v>1169</v>
      </c>
    </row>
    <row r="725" spans="1:8" x14ac:dyDescent="0.25">
      <c r="A725" s="3" t="s">
        <v>6983</v>
      </c>
      <c r="B725" s="3" t="s">
        <v>6992</v>
      </c>
      <c r="C725" s="3" t="s">
        <v>6985</v>
      </c>
      <c r="D725" s="3" t="s">
        <v>6322</v>
      </c>
      <c r="E725" s="3">
        <v>724</v>
      </c>
      <c r="F725" s="3" t="s">
        <v>655</v>
      </c>
      <c r="G725" s="3" t="s">
        <v>13</v>
      </c>
      <c r="H725" s="3" t="s">
        <v>1170</v>
      </c>
    </row>
    <row r="726" spans="1:8" x14ac:dyDescent="0.25">
      <c r="A726" s="3" t="s">
        <v>6983</v>
      </c>
      <c r="B726" s="3" t="s">
        <v>6992</v>
      </c>
      <c r="C726" s="3" t="s">
        <v>6985</v>
      </c>
      <c r="D726" s="3" t="s">
        <v>6322</v>
      </c>
      <c r="E726" s="3">
        <v>725</v>
      </c>
      <c r="F726" s="3" t="s">
        <v>656</v>
      </c>
      <c r="G726" s="3" t="s">
        <v>9</v>
      </c>
      <c r="H726" s="3" t="s">
        <v>7020</v>
      </c>
    </row>
    <row r="727" spans="1:8" x14ac:dyDescent="0.25">
      <c r="A727" s="3" t="s">
        <v>6983</v>
      </c>
      <c r="B727" s="3" t="s">
        <v>6992</v>
      </c>
      <c r="C727" s="3" t="s">
        <v>6985</v>
      </c>
      <c r="D727" s="3" t="s">
        <v>6322</v>
      </c>
      <c r="E727" s="3">
        <v>726</v>
      </c>
      <c r="F727" s="3" t="s">
        <v>657</v>
      </c>
      <c r="G727" s="3" t="s">
        <v>1093</v>
      </c>
      <c r="H727" s="3" t="s">
        <v>1171</v>
      </c>
    </row>
    <row r="728" spans="1:8" x14ac:dyDescent="0.25">
      <c r="A728" s="3" t="s">
        <v>6983</v>
      </c>
      <c r="B728" s="3" t="s">
        <v>6992</v>
      </c>
      <c r="C728" s="3" t="s">
        <v>6985</v>
      </c>
      <c r="D728" s="3" t="s">
        <v>6322</v>
      </c>
      <c r="E728" s="3">
        <v>727</v>
      </c>
      <c r="F728" s="3" t="s">
        <v>658</v>
      </c>
      <c r="G728" s="3" t="s">
        <v>13</v>
      </c>
      <c r="H728" s="3" t="s">
        <v>1172</v>
      </c>
    </row>
    <row r="729" spans="1:8" x14ac:dyDescent="0.25">
      <c r="A729" s="3" t="s">
        <v>6983</v>
      </c>
      <c r="B729" s="3" t="s">
        <v>6992</v>
      </c>
      <c r="C729" s="3" t="s">
        <v>6985</v>
      </c>
      <c r="D729" s="3" t="s">
        <v>6322</v>
      </c>
      <c r="E729" s="3">
        <v>728</v>
      </c>
      <c r="F729" s="3" t="s">
        <v>659</v>
      </c>
      <c r="G729" s="3" t="s">
        <v>13</v>
      </c>
      <c r="H729" s="3" t="s">
        <v>1173</v>
      </c>
    </row>
    <row r="730" spans="1:8" x14ac:dyDescent="0.25">
      <c r="A730" s="3" t="s">
        <v>6983</v>
      </c>
      <c r="B730" s="3" t="s">
        <v>6992</v>
      </c>
      <c r="C730" s="3" t="s">
        <v>6985</v>
      </c>
      <c r="D730" s="3" t="s">
        <v>6322</v>
      </c>
      <c r="E730" s="3">
        <v>729</v>
      </c>
      <c r="F730" s="3" t="s">
        <v>660</v>
      </c>
      <c r="G730" s="3" t="s">
        <v>9</v>
      </c>
      <c r="H730" s="3" t="s">
        <v>7021</v>
      </c>
    </row>
    <row r="731" spans="1:8" x14ac:dyDescent="0.25">
      <c r="A731" s="3" t="s">
        <v>6983</v>
      </c>
      <c r="B731" s="3" t="s">
        <v>6992</v>
      </c>
      <c r="C731" s="3" t="s">
        <v>6985</v>
      </c>
      <c r="D731" s="3" t="s">
        <v>6322</v>
      </c>
      <c r="E731" s="3">
        <v>730</v>
      </c>
      <c r="F731" s="3" t="s">
        <v>661</v>
      </c>
      <c r="G731" s="3" t="s">
        <v>1093</v>
      </c>
      <c r="H731" s="3" t="s">
        <v>1174</v>
      </c>
    </row>
    <row r="732" spans="1:8" x14ac:dyDescent="0.25">
      <c r="A732" s="3" t="s">
        <v>6983</v>
      </c>
      <c r="B732" s="3" t="s">
        <v>6992</v>
      </c>
      <c r="C732" s="3" t="s">
        <v>6985</v>
      </c>
      <c r="D732" s="3" t="s">
        <v>6322</v>
      </c>
      <c r="E732" s="3">
        <v>731</v>
      </c>
      <c r="F732" s="3" t="s">
        <v>662</v>
      </c>
      <c r="G732" s="3" t="s">
        <v>13</v>
      </c>
      <c r="H732" s="3" t="s">
        <v>1175</v>
      </c>
    </row>
    <row r="733" spans="1:8" x14ac:dyDescent="0.25">
      <c r="A733" s="3" t="s">
        <v>6983</v>
      </c>
      <c r="B733" s="3" t="s">
        <v>6992</v>
      </c>
      <c r="C733" s="3" t="s">
        <v>6985</v>
      </c>
      <c r="D733" s="3" t="s">
        <v>6322</v>
      </c>
      <c r="E733" s="3">
        <v>732</v>
      </c>
      <c r="F733" s="3" t="s">
        <v>663</v>
      </c>
      <c r="G733" s="3" t="s">
        <v>13</v>
      </c>
      <c r="H733" s="3" t="s">
        <v>1176</v>
      </c>
    </row>
    <row r="734" spans="1:8" x14ac:dyDescent="0.25">
      <c r="A734" s="3" t="s">
        <v>6983</v>
      </c>
      <c r="B734" s="3" t="s">
        <v>6992</v>
      </c>
      <c r="C734" s="3" t="s">
        <v>6985</v>
      </c>
      <c r="D734" s="3" t="s">
        <v>6322</v>
      </c>
      <c r="E734" s="3">
        <v>733</v>
      </c>
      <c r="F734" s="3" t="s">
        <v>664</v>
      </c>
      <c r="G734" s="3" t="s">
        <v>9</v>
      </c>
      <c r="H734" s="3" t="s">
        <v>7022</v>
      </c>
    </row>
    <row r="735" spans="1:8" x14ac:dyDescent="0.25">
      <c r="A735" s="3" t="s">
        <v>6983</v>
      </c>
      <c r="B735" s="3" t="s">
        <v>6992</v>
      </c>
      <c r="C735" s="3" t="s">
        <v>6985</v>
      </c>
      <c r="D735" s="3" t="s">
        <v>6322</v>
      </c>
      <c r="E735" s="3">
        <v>734</v>
      </c>
      <c r="F735" s="3" t="s">
        <v>665</v>
      </c>
      <c r="G735" s="3" t="s">
        <v>1093</v>
      </c>
      <c r="H735" s="3" t="s">
        <v>1177</v>
      </c>
    </row>
    <row r="736" spans="1:8" x14ac:dyDescent="0.25">
      <c r="A736" s="3" t="s">
        <v>6983</v>
      </c>
      <c r="B736" s="3" t="s">
        <v>6992</v>
      </c>
      <c r="C736" s="3" t="s">
        <v>6985</v>
      </c>
      <c r="D736" s="3" t="s">
        <v>6322</v>
      </c>
      <c r="E736" s="3">
        <v>735</v>
      </c>
      <c r="F736" s="3" t="s">
        <v>666</v>
      </c>
      <c r="G736" s="3" t="s">
        <v>1104</v>
      </c>
      <c r="H736" s="3" t="s">
        <v>1262</v>
      </c>
    </row>
    <row r="737" spans="1:8" x14ac:dyDescent="0.25">
      <c r="A737" s="3" t="s">
        <v>6983</v>
      </c>
      <c r="B737" s="3" t="s">
        <v>6992</v>
      </c>
      <c r="C737" s="3" t="s">
        <v>6985</v>
      </c>
      <c r="D737" s="3" t="s">
        <v>6322</v>
      </c>
      <c r="E737" s="3">
        <v>736</v>
      </c>
      <c r="F737" s="3" t="s">
        <v>667</v>
      </c>
      <c r="G737" s="3" t="s">
        <v>1104</v>
      </c>
      <c r="H737" s="3" t="s">
        <v>1263</v>
      </c>
    </row>
    <row r="738" spans="1:8" x14ac:dyDescent="0.25">
      <c r="A738" s="3" t="s">
        <v>6983</v>
      </c>
      <c r="B738" s="3" t="s">
        <v>6992</v>
      </c>
      <c r="C738" s="3" t="s">
        <v>6985</v>
      </c>
      <c r="D738" s="3" t="s">
        <v>6322</v>
      </c>
      <c r="E738" s="3">
        <v>737</v>
      </c>
      <c r="F738" s="3" t="s">
        <v>668</v>
      </c>
      <c r="G738" s="3" t="s">
        <v>1105</v>
      </c>
      <c r="H738" s="3" t="s">
        <v>1264</v>
      </c>
    </row>
    <row r="739" spans="1:8" x14ac:dyDescent="0.25">
      <c r="A739" s="3" t="s">
        <v>6983</v>
      </c>
      <c r="B739" s="3" t="s">
        <v>6992</v>
      </c>
      <c r="C739" s="3" t="s">
        <v>6985</v>
      </c>
      <c r="D739" s="3" t="s">
        <v>6322</v>
      </c>
      <c r="E739" s="3">
        <v>738</v>
      </c>
      <c r="F739" s="3" t="s">
        <v>669</v>
      </c>
      <c r="G739" s="3" t="s">
        <v>1105</v>
      </c>
      <c r="H739" s="3" t="s">
        <v>1265</v>
      </c>
    </row>
    <row r="740" spans="1:8" x14ac:dyDescent="0.25">
      <c r="A740" s="3" t="s">
        <v>6983</v>
      </c>
      <c r="B740" s="3" t="s">
        <v>6992</v>
      </c>
      <c r="C740" s="3" t="s">
        <v>6985</v>
      </c>
      <c r="D740" s="3" t="s">
        <v>6322</v>
      </c>
      <c r="E740" s="3">
        <v>739</v>
      </c>
      <c r="F740" s="3" t="s">
        <v>670</v>
      </c>
      <c r="G740" s="3" t="s">
        <v>16</v>
      </c>
      <c r="H740" s="3" t="s">
        <v>1261</v>
      </c>
    </row>
    <row r="741" spans="1:8" x14ac:dyDescent="0.25">
      <c r="A741" s="3" t="s">
        <v>6983</v>
      </c>
      <c r="B741" s="3" t="s">
        <v>6992</v>
      </c>
      <c r="C741" s="3" t="s">
        <v>6985</v>
      </c>
      <c r="D741" s="3" t="s">
        <v>6322</v>
      </c>
      <c r="E741" s="3">
        <v>740</v>
      </c>
      <c r="F741" s="3" t="s">
        <v>671</v>
      </c>
      <c r="G741" s="3" t="s">
        <v>1095</v>
      </c>
      <c r="H741" s="3" t="s">
        <v>1258</v>
      </c>
    </row>
    <row r="742" spans="1:8" x14ac:dyDescent="0.25">
      <c r="A742" s="3" t="s">
        <v>6983</v>
      </c>
      <c r="B742" s="3" t="s">
        <v>6992</v>
      </c>
      <c r="C742" s="3" t="s">
        <v>6985</v>
      </c>
      <c r="D742" s="3" t="s">
        <v>6322</v>
      </c>
      <c r="E742" s="3">
        <v>741</v>
      </c>
      <c r="F742" s="3" t="s">
        <v>672</v>
      </c>
      <c r="G742" s="3" t="s">
        <v>2100</v>
      </c>
      <c r="H742" s="3" t="s">
        <v>1259</v>
      </c>
    </row>
    <row r="743" spans="1:8" x14ac:dyDescent="0.25">
      <c r="A743" s="3" t="s">
        <v>6983</v>
      </c>
      <c r="B743" s="3" t="s">
        <v>6992</v>
      </c>
      <c r="C743" s="3" t="s">
        <v>6985</v>
      </c>
      <c r="D743" s="3" t="s">
        <v>6322</v>
      </c>
      <c r="E743" s="3">
        <v>742</v>
      </c>
      <c r="F743" s="3" t="s">
        <v>673</v>
      </c>
      <c r="G743" s="3" t="s">
        <v>1095</v>
      </c>
      <c r="H743" s="3" t="s">
        <v>1266</v>
      </c>
    </row>
    <row r="744" spans="1:8" x14ac:dyDescent="0.25">
      <c r="A744" s="3" t="s">
        <v>6983</v>
      </c>
      <c r="B744" s="3" t="s">
        <v>6992</v>
      </c>
      <c r="C744" s="3" t="s">
        <v>6985</v>
      </c>
      <c r="D744" s="3" t="s">
        <v>6322</v>
      </c>
      <c r="E744" s="3">
        <v>743</v>
      </c>
      <c r="F744" s="3" t="s">
        <v>674</v>
      </c>
      <c r="G744" s="3" t="s">
        <v>1095</v>
      </c>
      <c r="H744" s="3" t="s">
        <v>1267</v>
      </c>
    </row>
    <row r="745" spans="1:8" x14ac:dyDescent="0.25">
      <c r="A745" s="3" t="s">
        <v>6983</v>
      </c>
      <c r="B745" s="3" t="s">
        <v>6992</v>
      </c>
      <c r="C745" s="3" t="s">
        <v>6985</v>
      </c>
      <c r="D745" s="3" t="s">
        <v>6322</v>
      </c>
      <c r="E745" s="3">
        <v>744</v>
      </c>
      <c r="F745" s="3" t="s">
        <v>675</v>
      </c>
      <c r="G745" s="3" t="s">
        <v>20</v>
      </c>
      <c r="H745" s="3" t="s">
        <v>1260</v>
      </c>
    </row>
    <row r="746" spans="1:8" x14ac:dyDescent="0.25">
      <c r="A746" s="3" t="s">
        <v>6983</v>
      </c>
      <c r="B746" s="3" t="s">
        <v>6992</v>
      </c>
      <c r="C746" s="3" t="s">
        <v>6985</v>
      </c>
      <c r="D746" s="3" t="s">
        <v>6322</v>
      </c>
      <c r="E746" s="3">
        <v>745</v>
      </c>
      <c r="F746" s="3" t="s">
        <v>676</v>
      </c>
      <c r="G746" s="3" t="s">
        <v>4</v>
      </c>
      <c r="H746" s="3" t="s">
        <v>1256</v>
      </c>
    </row>
    <row r="747" spans="1:8" x14ac:dyDescent="0.25">
      <c r="A747" s="3" t="s">
        <v>6983</v>
      </c>
      <c r="B747" s="3" t="s">
        <v>6992</v>
      </c>
      <c r="C747" s="3" t="s">
        <v>6985</v>
      </c>
      <c r="D747" s="3" t="s">
        <v>6322</v>
      </c>
      <c r="E747" s="3">
        <v>746</v>
      </c>
      <c r="F747" s="3" t="s">
        <v>677</v>
      </c>
      <c r="G747" s="3" t="s">
        <v>4</v>
      </c>
      <c r="H747" s="3" t="s">
        <v>1257</v>
      </c>
    </row>
    <row r="748" spans="1:8" x14ac:dyDescent="0.25">
      <c r="A748" s="3" t="s">
        <v>6983</v>
      </c>
      <c r="B748" s="3" t="s">
        <v>6992</v>
      </c>
      <c r="C748" s="3" t="s">
        <v>6985</v>
      </c>
      <c r="D748" s="3" t="s">
        <v>6322</v>
      </c>
      <c r="E748" s="3">
        <v>747</v>
      </c>
      <c r="F748" s="3" t="s">
        <v>678</v>
      </c>
      <c r="G748" s="3" t="s">
        <v>4</v>
      </c>
    </row>
    <row r="749" spans="1:8" x14ac:dyDescent="0.25">
      <c r="A749" s="3" t="s">
        <v>6983</v>
      </c>
      <c r="B749" s="3" t="s">
        <v>6992</v>
      </c>
      <c r="C749" s="3" t="s">
        <v>6985</v>
      </c>
      <c r="D749" s="3" t="s">
        <v>6322</v>
      </c>
      <c r="E749" s="3">
        <v>748</v>
      </c>
      <c r="F749" s="3" t="s">
        <v>679</v>
      </c>
      <c r="G749" s="3" t="s">
        <v>1106</v>
      </c>
    </row>
    <row r="750" spans="1:8" x14ac:dyDescent="0.25">
      <c r="A750" s="3" t="s">
        <v>6983</v>
      </c>
      <c r="B750" s="3" t="s">
        <v>6992</v>
      </c>
      <c r="C750" s="3" t="s">
        <v>6985</v>
      </c>
      <c r="D750" s="3" t="s">
        <v>6322</v>
      </c>
      <c r="E750" s="3">
        <v>749</v>
      </c>
      <c r="F750" s="3" t="s">
        <v>680</v>
      </c>
      <c r="G750" s="3" t="s">
        <v>16</v>
      </c>
      <c r="H750" s="3" t="s">
        <v>6946</v>
      </c>
    </row>
    <row r="751" spans="1:8" x14ac:dyDescent="0.25">
      <c r="A751" s="3" t="s">
        <v>6983</v>
      </c>
      <c r="B751" s="3" t="s">
        <v>6992</v>
      </c>
      <c r="C751" s="3" t="s">
        <v>6985</v>
      </c>
      <c r="D751" s="3" t="s">
        <v>6322</v>
      </c>
      <c r="E751" s="3">
        <v>750</v>
      </c>
      <c r="F751" s="3" t="s">
        <v>681</v>
      </c>
      <c r="G751" s="3" t="s">
        <v>16</v>
      </c>
      <c r="H751" s="3" t="s">
        <v>6947</v>
      </c>
    </row>
    <row r="752" spans="1:8" x14ac:dyDescent="0.25">
      <c r="A752" s="3" t="s">
        <v>6983</v>
      </c>
      <c r="B752" s="3" t="s">
        <v>6992</v>
      </c>
      <c r="C752" s="3" t="s">
        <v>6985</v>
      </c>
      <c r="D752" s="3" t="s">
        <v>6322</v>
      </c>
      <c r="E752" s="3">
        <v>751</v>
      </c>
      <c r="F752" s="3" t="s">
        <v>682</v>
      </c>
      <c r="G752" s="3" t="s">
        <v>1093</v>
      </c>
      <c r="H752" s="3" t="s">
        <v>6973</v>
      </c>
    </row>
    <row r="753" spans="1:9" x14ac:dyDescent="0.25">
      <c r="A753" s="3" t="s">
        <v>6983</v>
      </c>
      <c r="B753" s="3" t="s">
        <v>6992</v>
      </c>
      <c r="C753" s="3" t="s">
        <v>6985</v>
      </c>
      <c r="D753" s="3" t="s">
        <v>6322</v>
      </c>
      <c r="E753" s="3">
        <v>752</v>
      </c>
      <c r="F753" s="3" t="s">
        <v>683</v>
      </c>
      <c r="G753" s="3" t="s">
        <v>17</v>
      </c>
      <c r="H753" s="3" t="s">
        <v>6972</v>
      </c>
    </row>
    <row r="754" spans="1:9" x14ac:dyDescent="0.25">
      <c r="A754" s="3" t="s">
        <v>6983</v>
      </c>
      <c r="B754" s="3" t="s">
        <v>6992</v>
      </c>
      <c r="C754" s="3" t="s">
        <v>6985</v>
      </c>
      <c r="D754" s="3" t="s">
        <v>6322</v>
      </c>
      <c r="E754" s="3">
        <v>753</v>
      </c>
      <c r="F754" s="3" t="s">
        <v>684</v>
      </c>
      <c r="G754" s="3" t="s">
        <v>17</v>
      </c>
      <c r="H754" s="3" t="s">
        <v>6972</v>
      </c>
    </row>
    <row r="755" spans="1:9" x14ac:dyDescent="0.25">
      <c r="A755" s="3" t="s">
        <v>6983</v>
      </c>
      <c r="B755" s="3" t="s">
        <v>6992</v>
      </c>
      <c r="C755" s="3" t="s">
        <v>6985</v>
      </c>
      <c r="D755" s="3" t="s">
        <v>6322</v>
      </c>
      <c r="E755" s="3">
        <v>754</v>
      </c>
      <c r="F755" s="3" t="s">
        <v>685</v>
      </c>
      <c r="G755" s="3" t="s">
        <v>31</v>
      </c>
      <c r="H755" s="3" t="s">
        <v>6968</v>
      </c>
    </row>
    <row r="756" spans="1:9" x14ac:dyDescent="0.25">
      <c r="A756" s="3" t="s">
        <v>6983</v>
      </c>
      <c r="B756" s="3" t="s">
        <v>6992</v>
      </c>
      <c r="C756" s="3" t="s">
        <v>6985</v>
      </c>
      <c r="D756" s="3" t="s">
        <v>1133</v>
      </c>
      <c r="E756" s="3">
        <v>755</v>
      </c>
      <c r="F756" s="3" t="s">
        <v>1978</v>
      </c>
      <c r="G756" s="3" t="s">
        <v>13</v>
      </c>
      <c r="H756" s="4" t="s">
        <v>2146</v>
      </c>
    </row>
    <row r="757" spans="1:9" x14ac:dyDescent="0.25">
      <c r="A757" s="3" t="s">
        <v>6983</v>
      </c>
      <c r="B757" s="3" t="s">
        <v>6992</v>
      </c>
      <c r="C757" s="3" t="s">
        <v>6985</v>
      </c>
      <c r="D757" s="3" t="s">
        <v>1133</v>
      </c>
      <c r="E757" s="3">
        <v>756</v>
      </c>
      <c r="F757" s="3" t="s">
        <v>1979</v>
      </c>
      <c r="G757" s="3" t="s">
        <v>9</v>
      </c>
      <c r="H757" s="4" t="s">
        <v>2147</v>
      </c>
    </row>
    <row r="758" spans="1:9" x14ac:dyDescent="0.25">
      <c r="A758" s="3" t="s">
        <v>6983</v>
      </c>
      <c r="B758" s="3" t="s">
        <v>6992</v>
      </c>
      <c r="C758" s="3" t="s">
        <v>6985</v>
      </c>
      <c r="D758" s="3" t="s">
        <v>1133</v>
      </c>
      <c r="E758" s="3">
        <v>757</v>
      </c>
      <c r="F758" s="3" t="s">
        <v>1980</v>
      </c>
      <c r="G758" s="3" t="s">
        <v>13</v>
      </c>
      <c r="H758" s="4" t="s">
        <v>6718</v>
      </c>
    </row>
    <row r="759" spans="1:9" x14ac:dyDescent="0.25">
      <c r="A759" s="3" t="s">
        <v>6983</v>
      </c>
      <c r="B759" s="3" t="s">
        <v>6992</v>
      </c>
      <c r="C759" s="3" t="s">
        <v>6985</v>
      </c>
      <c r="D759" s="3" t="s">
        <v>1133</v>
      </c>
      <c r="E759" s="3">
        <v>758</v>
      </c>
      <c r="F759" s="3" t="s">
        <v>1981</v>
      </c>
      <c r="G759" s="3" t="s">
        <v>13</v>
      </c>
      <c r="H759" s="3" t="s">
        <v>6719</v>
      </c>
    </row>
    <row r="760" spans="1:9" x14ac:dyDescent="0.25">
      <c r="A760" s="3" t="s">
        <v>6983</v>
      </c>
      <c r="B760" s="3" t="s">
        <v>6992</v>
      </c>
      <c r="C760" s="3" t="s">
        <v>6985</v>
      </c>
      <c r="D760" s="3" t="s">
        <v>1133</v>
      </c>
      <c r="E760" s="3">
        <v>759</v>
      </c>
      <c r="F760" s="3" t="s">
        <v>1982</v>
      </c>
      <c r="G760" s="3" t="s">
        <v>13</v>
      </c>
      <c r="H760" s="4" t="s">
        <v>6720</v>
      </c>
    </row>
    <row r="761" spans="1:9" x14ac:dyDescent="0.25">
      <c r="A761" s="3" t="s">
        <v>6983</v>
      </c>
      <c r="B761" s="3" t="s">
        <v>6992</v>
      </c>
      <c r="C761" s="3" t="s">
        <v>6985</v>
      </c>
      <c r="D761" s="3" t="s">
        <v>1133</v>
      </c>
      <c r="E761" s="3">
        <v>760</v>
      </c>
      <c r="F761" s="3" t="s">
        <v>1983</v>
      </c>
      <c r="G761" s="3" t="s">
        <v>9</v>
      </c>
      <c r="H761" s="4" t="s">
        <v>6721</v>
      </c>
    </row>
    <row r="762" spans="1:9" x14ac:dyDescent="0.25">
      <c r="A762" s="3" t="s">
        <v>6983</v>
      </c>
      <c r="B762" s="3" t="s">
        <v>6992</v>
      </c>
      <c r="C762" s="3" t="s">
        <v>6985</v>
      </c>
      <c r="D762" s="3" t="s">
        <v>1133</v>
      </c>
      <c r="E762" s="3">
        <v>761</v>
      </c>
      <c r="F762" s="3" t="s">
        <v>1984</v>
      </c>
      <c r="G762" s="3" t="s">
        <v>13</v>
      </c>
      <c r="H762" s="4" t="s">
        <v>6722</v>
      </c>
    </row>
    <row r="763" spans="1:9" ht="15" customHeight="1" x14ac:dyDescent="0.25">
      <c r="A763" s="3" t="s">
        <v>6983</v>
      </c>
      <c r="B763" s="3" t="s">
        <v>6992</v>
      </c>
      <c r="C763" s="3" t="s">
        <v>6985</v>
      </c>
      <c r="D763" s="3" t="s">
        <v>1133</v>
      </c>
      <c r="E763" s="3">
        <v>762</v>
      </c>
      <c r="F763" s="3" t="s">
        <v>1985</v>
      </c>
      <c r="G763" s="3" t="s">
        <v>9</v>
      </c>
      <c r="H763" s="4" t="s">
        <v>6723</v>
      </c>
    </row>
    <row r="764" spans="1:9" ht="12.75" customHeight="1" x14ac:dyDescent="0.25">
      <c r="A764" s="3" t="s">
        <v>6983</v>
      </c>
      <c r="B764" s="3" t="s">
        <v>6992</v>
      </c>
      <c r="C764" s="3" t="s">
        <v>6985</v>
      </c>
      <c r="D764" s="3" t="s">
        <v>1129</v>
      </c>
      <c r="E764" s="3">
        <v>763</v>
      </c>
      <c r="F764" s="3" t="s">
        <v>711</v>
      </c>
      <c r="G764" s="3" t="s">
        <v>4</v>
      </c>
      <c r="H764" s="4" t="s">
        <v>1191</v>
      </c>
      <c r="I764" s="3" t="s">
        <v>1179</v>
      </c>
    </row>
    <row r="765" spans="1:9" x14ac:dyDescent="0.25">
      <c r="A765" s="3" t="s">
        <v>6983</v>
      </c>
      <c r="B765" s="3" t="s">
        <v>6992</v>
      </c>
      <c r="C765" s="3" t="s">
        <v>6985</v>
      </c>
      <c r="D765" s="3" t="s">
        <v>1129</v>
      </c>
      <c r="E765" s="3">
        <v>764</v>
      </c>
      <c r="F765" s="3" t="s">
        <v>712</v>
      </c>
      <c r="G765" s="3" t="s">
        <v>4</v>
      </c>
      <c r="H765" s="4" t="s">
        <v>1192</v>
      </c>
      <c r="I765" s="3" t="s">
        <v>1179</v>
      </c>
    </row>
    <row r="766" spans="1:9" x14ac:dyDescent="0.25">
      <c r="A766" s="3" t="s">
        <v>6983</v>
      </c>
      <c r="B766" s="3" t="s">
        <v>6992</v>
      </c>
      <c r="C766" s="3" t="s">
        <v>6985</v>
      </c>
      <c r="D766" s="3" t="s">
        <v>1129</v>
      </c>
      <c r="E766" s="3">
        <v>765</v>
      </c>
      <c r="F766" s="3" t="s">
        <v>713</v>
      </c>
      <c r="G766" s="3" t="s">
        <v>1093</v>
      </c>
      <c r="H766" s="4" t="s">
        <v>1193</v>
      </c>
      <c r="I766" s="3" t="s">
        <v>1179</v>
      </c>
    </row>
    <row r="767" spans="1:9" x14ac:dyDescent="0.25">
      <c r="A767" s="3" t="s">
        <v>6983</v>
      </c>
      <c r="B767" s="3" t="s">
        <v>6992</v>
      </c>
      <c r="C767" s="3" t="s">
        <v>6985</v>
      </c>
      <c r="D767" s="3" t="s">
        <v>1129</v>
      </c>
      <c r="E767" s="3">
        <v>766</v>
      </c>
      <c r="F767" s="3" t="s">
        <v>714</v>
      </c>
      <c r="G767" s="3" t="s">
        <v>1093</v>
      </c>
      <c r="H767" s="4" t="s">
        <v>1194</v>
      </c>
      <c r="I767" s="3" t="s">
        <v>1179</v>
      </c>
    </row>
    <row r="768" spans="1:9" x14ac:dyDescent="0.25">
      <c r="A768" s="3" t="s">
        <v>6983</v>
      </c>
      <c r="B768" s="3" t="s">
        <v>6992</v>
      </c>
      <c r="C768" s="3" t="s">
        <v>6985</v>
      </c>
      <c r="D768" s="3" t="s">
        <v>1129</v>
      </c>
      <c r="E768" s="3">
        <v>767</v>
      </c>
      <c r="F768" s="3" t="s">
        <v>715</v>
      </c>
      <c r="G768" s="3" t="s">
        <v>1093</v>
      </c>
      <c r="H768" s="4" t="s">
        <v>1195</v>
      </c>
      <c r="I768" s="3" t="s">
        <v>1179</v>
      </c>
    </row>
    <row r="769" spans="1:9" x14ac:dyDescent="0.25">
      <c r="A769" s="3" t="s">
        <v>6983</v>
      </c>
      <c r="B769" s="3" t="s">
        <v>6992</v>
      </c>
      <c r="C769" s="3" t="s">
        <v>6985</v>
      </c>
      <c r="D769" s="3" t="s">
        <v>1129</v>
      </c>
      <c r="E769" s="3">
        <v>768</v>
      </c>
      <c r="F769" s="3" t="s">
        <v>716</v>
      </c>
      <c r="G769" s="3" t="s">
        <v>1093</v>
      </c>
      <c r="H769" s="4" t="s">
        <v>1196</v>
      </c>
      <c r="I769" s="3" t="s">
        <v>1179</v>
      </c>
    </row>
    <row r="770" spans="1:9" x14ac:dyDescent="0.25">
      <c r="A770" s="3" t="s">
        <v>6983</v>
      </c>
      <c r="B770" s="3" t="s">
        <v>6992</v>
      </c>
      <c r="C770" s="3" t="s">
        <v>6985</v>
      </c>
      <c r="D770" s="3" t="s">
        <v>1129</v>
      </c>
      <c r="E770" s="3">
        <v>769</v>
      </c>
      <c r="F770" s="3" t="s">
        <v>717</v>
      </c>
      <c r="G770" s="3" t="s">
        <v>1093</v>
      </c>
      <c r="H770" s="4" t="s">
        <v>1197</v>
      </c>
      <c r="I770" s="3" t="s">
        <v>1179</v>
      </c>
    </row>
    <row r="771" spans="1:9" x14ac:dyDescent="0.25">
      <c r="A771" s="3" t="s">
        <v>6983</v>
      </c>
      <c r="B771" s="3" t="s">
        <v>6992</v>
      </c>
      <c r="C771" s="3" t="s">
        <v>6985</v>
      </c>
      <c r="D771" s="3" t="s">
        <v>1129</v>
      </c>
      <c r="E771" s="3">
        <v>770</v>
      </c>
      <c r="F771" s="3" t="s">
        <v>719</v>
      </c>
      <c r="G771" s="3" t="s">
        <v>1093</v>
      </c>
      <c r="H771" s="4" t="s">
        <v>1198</v>
      </c>
      <c r="I771" s="3" t="s">
        <v>1179</v>
      </c>
    </row>
    <row r="772" spans="1:9" x14ac:dyDescent="0.25">
      <c r="A772" s="3" t="s">
        <v>6983</v>
      </c>
      <c r="B772" s="3" t="s">
        <v>6992</v>
      </c>
      <c r="C772" s="3" t="s">
        <v>6985</v>
      </c>
      <c r="D772" s="3" t="s">
        <v>1129</v>
      </c>
      <c r="E772" s="3">
        <v>771</v>
      </c>
      <c r="F772" s="3" t="s">
        <v>720</v>
      </c>
      <c r="G772" s="3" t="s">
        <v>9</v>
      </c>
      <c r="H772" s="4" t="s">
        <v>1199</v>
      </c>
      <c r="I772" s="3" t="s">
        <v>1179</v>
      </c>
    </row>
    <row r="773" spans="1:9" x14ac:dyDescent="0.25">
      <c r="A773" s="3" t="s">
        <v>6983</v>
      </c>
      <c r="B773" s="3" t="s">
        <v>6992</v>
      </c>
      <c r="C773" s="3" t="s">
        <v>6985</v>
      </c>
      <c r="D773" s="3" t="s">
        <v>1129</v>
      </c>
      <c r="E773" s="3">
        <v>772</v>
      </c>
      <c r="F773" s="3" t="s">
        <v>721</v>
      </c>
      <c r="G773" s="3" t="s">
        <v>1093</v>
      </c>
      <c r="H773" s="4" t="s">
        <v>1295</v>
      </c>
      <c r="I773" s="3" t="s">
        <v>1179</v>
      </c>
    </row>
    <row r="774" spans="1:9" x14ac:dyDescent="0.25">
      <c r="A774" s="3" t="s">
        <v>6983</v>
      </c>
      <c r="B774" s="3" t="s">
        <v>6992</v>
      </c>
      <c r="C774" s="3" t="s">
        <v>6985</v>
      </c>
      <c r="D774" s="3" t="s">
        <v>1129</v>
      </c>
      <c r="E774" s="3">
        <v>773</v>
      </c>
      <c r="F774" s="3" t="s">
        <v>722</v>
      </c>
      <c r="G774" s="3" t="s">
        <v>1093</v>
      </c>
      <c r="H774" s="4" t="s">
        <v>1296</v>
      </c>
      <c r="I774" s="3" t="s">
        <v>1179</v>
      </c>
    </row>
    <row r="775" spans="1:9" x14ac:dyDescent="0.25">
      <c r="A775" s="3" t="s">
        <v>6983</v>
      </c>
      <c r="B775" s="3" t="s">
        <v>6992</v>
      </c>
      <c r="C775" s="3" t="s">
        <v>6985</v>
      </c>
      <c r="D775" s="3" t="s">
        <v>1129</v>
      </c>
      <c r="E775" s="3">
        <v>774</v>
      </c>
      <c r="F775" s="3" t="s">
        <v>4450</v>
      </c>
      <c r="G775" s="3" t="s">
        <v>9</v>
      </c>
      <c r="H775" s="4" t="s">
        <v>6378</v>
      </c>
      <c r="I775" s="3" t="s">
        <v>1179</v>
      </c>
    </row>
    <row r="776" spans="1:9" ht="15" customHeight="1" x14ac:dyDescent="0.25">
      <c r="A776" s="3" t="s">
        <v>6983</v>
      </c>
      <c r="B776" s="3" t="s">
        <v>6992</v>
      </c>
      <c r="C776" s="3" t="s">
        <v>6985</v>
      </c>
      <c r="D776" s="3" t="s">
        <v>1129</v>
      </c>
      <c r="E776" s="3">
        <v>775</v>
      </c>
      <c r="F776" s="3" t="s">
        <v>3262</v>
      </c>
      <c r="G776" s="3" t="s">
        <v>4</v>
      </c>
      <c r="H776" s="4" t="s">
        <v>6399</v>
      </c>
      <c r="I776" s="3" t="s">
        <v>1179</v>
      </c>
    </row>
    <row r="777" spans="1:9" x14ac:dyDescent="0.25">
      <c r="A777" s="3" t="s">
        <v>6983</v>
      </c>
      <c r="B777" s="3" t="s">
        <v>6992</v>
      </c>
      <c r="C777" s="3" t="s">
        <v>6985</v>
      </c>
      <c r="D777" s="3" t="s">
        <v>1129</v>
      </c>
      <c r="E777" s="3">
        <v>776</v>
      </c>
      <c r="F777" s="3" t="s">
        <v>3263</v>
      </c>
      <c r="G777" s="3" t="s">
        <v>4</v>
      </c>
      <c r="H777" s="4" t="s">
        <v>6400</v>
      </c>
      <c r="I777" s="3" t="s">
        <v>1179</v>
      </c>
    </row>
    <row r="778" spans="1:9" x14ac:dyDescent="0.25">
      <c r="A778" s="3" t="s">
        <v>6983</v>
      </c>
      <c r="B778" s="3" t="s">
        <v>6992</v>
      </c>
      <c r="C778" s="3" t="s">
        <v>6985</v>
      </c>
      <c r="D778" s="3" t="s">
        <v>1129</v>
      </c>
      <c r="E778" s="3">
        <v>777</v>
      </c>
      <c r="F778" s="3" t="s">
        <v>3264</v>
      </c>
      <c r="G778" s="3" t="s">
        <v>1093</v>
      </c>
      <c r="H778" s="4" t="s">
        <v>6401</v>
      </c>
      <c r="I778" s="3" t="s">
        <v>1179</v>
      </c>
    </row>
    <row r="779" spans="1:9" x14ac:dyDescent="0.25">
      <c r="A779" s="3" t="s">
        <v>6983</v>
      </c>
      <c r="B779" s="3" t="s">
        <v>6992</v>
      </c>
      <c r="C779" s="3" t="s">
        <v>6985</v>
      </c>
      <c r="D779" s="3" t="s">
        <v>1129</v>
      </c>
      <c r="E779" s="3">
        <v>778</v>
      </c>
      <c r="F779" s="3" t="s">
        <v>3265</v>
      </c>
      <c r="G779" s="3" t="s">
        <v>1093</v>
      </c>
      <c r="H779" s="4" t="s">
        <v>6402</v>
      </c>
      <c r="I779" s="3" t="s">
        <v>1179</v>
      </c>
    </row>
    <row r="780" spans="1:9" x14ac:dyDescent="0.25">
      <c r="A780" s="3" t="s">
        <v>6983</v>
      </c>
      <c r="B780" s="3" t="s">
        <v>6992</v>
      </c>
      <c r="C780" s="3" t="s">
        <v>6985</v>
      </c>
      <c r="D780" s="3" t="s">
        <v>1129</v>
      </c>
      <c r="E780" s="3">
        <v>779</v>
      </c>
      <c r="F780" s="3" t="s">
        <v>3266</v>
      </c>
      <c r="G780" s="3" t="s">
        <v>1093</v>
      </c>
      <c r="H780" s="4" t="s">
        <v>6403</v>
      </c>
      <c r="I780" s="3" t="s">
        <v>1179</v>
      </c>
    </row>
    <row r="781" spans="1:9" x14ac:dyDescent="0.25">
      <c r="A781" s="3" t="s">
        <v>6983</v>
      </c>
      <c r="B781" s="3" t="s">
        <v>6992</v>
      </c>
      <c r="C781" s="3" t="s">
        <v>6985</v>
      </c>
      <c r="D781" s="3" t="s">
        <v>1129</v>
      </c>
      <c r="E781" s="3">
        <v>780</v>
      </c>
      <c r="F781" s="3" t="s">
        <v>3267</v>
      </c>
      <c r="G781" s="3" t="s">
        <v>1093</v>
      </c>
      <c r="H781" s="4" t="s">
        <v>6404</v>
      </c>
      <c r="I781" s="3" t="s">
        <v>1179</v>
      </c>
    </row>
    <row r="782" spans="1:9" x14ac:dyDescent="0.25">
      <c r="A782" s="3" t="s">
        <v>6983</v>
      </c>
      <c r="B782" s="3" t="s">
        <v>6992</v>
      </c>
      <c r="C782" s="3" t="s">
        <v>6985</v>
      </c>
      <c r="D782" s="3" t="s">
        <v>1129</v>
      </c>
      <c r="E782" s="3">
        <v>781</v>
      </c>
      <c r="F782" s="3" t="s">
        <v>3268</v>
      </c>
      <c r="G782" s="3" t="s">
        <v>1093</v>
      </c>
      <c r="H782" s="4" t="s">
        <v>6405</v>
      </c>
      <c r="I782" s="3" t="s">
        <v>1179</v>
      </c>
    </row>
    <row r="783" spans="1:9" x14ac:dyDescent="0.25">
      <c r="A783" s="3" t="s">
        <v>6983</v>
      </c>
      <c r="B783" s="3" t="s">
        <v>6992</v>
      </c>
      <c r="C783" s="3" t="s">
        <v>6985</v>
      </c>
      <c r="D783" s="3" t="s">
        <v>1129</v>
      </c>
      <c r="E783" s="3">
        <v>782</v>
      </c>
      <c r="F783" s="3" t="s">
        <v>3269</v>
      </c>
      <c r="G783" s="3" t="s">
        <v>1093</v>
      </c>
      <c r="H783" s="4" t="s">
        <v>6406</v>
      </c>
      <c r="I783" s="3" t="s">
        <v>1179</v>
      </c>
    </row>
    <row r="784" spans="1:9" x14ac:dyDescent="0.25">
      <c r="A784" s="3" t="s">
        <v>6983</v>
      </c>
      <c r="B784" s="3" t="s">
        <v>6992</v>
      </c>
      <c r="C784" s="3" t="s">
        <v>6985</v>
      </c>
      <c r="D784" s="3" t="s">
        <v>1129</v>
      </c>
      <c r="E784" s="3">
        <v>783</v>
      </c>
      <c r="F784" s="3" t="s">
        <v>3270</v>
      </c>
      <c r="G784" s="3" t="s">
        <v>9</v>
      </c>
      <c r="H784" s="4" t="s">
        <v>6407</v>
      </c>
      <c r="I784" s="3" t="s">
        <v>1179</v>
      </c>
    </row>
    <row r="785" spans="1:9" x14ac:dyDescent="0.25">
      <c r="A785" s="3" t="s">
        <v>6983</v>
      </c>
      <c r="B785" s="3" t="s">
        <v>6992</v>
      </c>
      <c r="C785" s="3" t="s">
        <v>6985</v>
      </c>
      <c r="D785" s="3" t="s">
        <v>1129</v>
      </c>
      <c r="E785" s="3">
        <v>784</v>
      </c>
      <c r="F785" s="3" t="s">
        <v>3271</v>
      </c>
      <c r="G785" s="3" t="s">
        <v>1093</v>
      </c>
      <c r="H785" s="4" t="s">
        <v>6408</v>
      </c>
      <c r="I785" s="3" t="s">
        <v>1179</v>
      </c>
    </row>
    <row r="786" spans="1:9" x14ac:dyDescent="0.25">
      <c r="A786" s="3" t="s">
        <v>6983</v>
      </c>
      <c r="B786" s="3" t="s">
        <v>6992</v>
      </c>
      <c r="C786" s="3" t="s">
        <v>6985</v>
      </c>
      <c r="D786" s="3" t="s">
        <v>1129</v>
      </c>
      <c r="E786" s="3">
        <v>785</v>
      </c>
      <c r="F786" s="3" t="s">
        <v>3272</v>
      </c>
      <c r="G786" s="3" t="s">
        <v>1093</v>
      </c>
      <c r="H786" s="4" t="s">
        <v>6409</v>
      </c>
      <c r="I786" s="3" t="s">
        <v>1179</v>
      </c>
    </row>
    <row r="787" spans="1:9" x14ac:dyDescent="0.25">
      <c r="A787" s="3" t="s">
        <v>6983</v>
      </c>
      <c r="B787" s="3" t="s">
        <v>6992</v>
      </c>
      <c r="C787" s="3" t="s">
        <v>6985</v>
      </c>
      <c r="D787" s="3" t="s">
        <v>1129</v>
      </c>
      <c r="E787" s="3">
        <v>786</v>
      </c>
      <c r="F787" s="3" t="s">
        <v>4451</v>
      </c>
      <c r="G787" s="3" t="s">
        <v>9</v>
      </c>
      <c r="H787" s="4" t="s">
        <v>6378</v>
      </c>
      <c r="I787" s="3" t="s">
        <v>1179</v>
      </c>
    </row>
    <row r="788" spans="1:9" ht="15" customHeight="1" x14ac:dyDescent="0.25">
      <c r="A788" s="3" t="s">
        <v>6983</v>
      </c>
      <c r="B788" s="3" t="s">
        <v>6992</v>
      </c>
      <c r="C788" s="3" t="s">
        <v>6985</v>
      </c>
      <c r="D788" s="3" t="s">
        <v>1129</v>
      </c>
      <c r="E788" s="3">
        <v>787</v>
      </c>
      <c r="F788" s="3" t="s">
        <v>4452</v>
      </c>
      <c r="G788" s="3" t="s">
        <v>4</v>
      </c>
      <c r="H788" s="4" t="s">
        <v>6379</v>
      </c>
      <c r="I788" s="3" t="s">
        <v>1179</v>
      </c>
    </row>
    <row r="789" spans="1:9" x14ac:dyDescent="0.25">
      <c r="A789" s="3" t="s">
        <v>6983</v>
      </c>
      <c r="B789" s="3" t="s">
        <v>6992</v>
      </c>
      <c r="C789" s="3" t="s">
        <v>6985</v>
      </c>
      <c r="D789" s="3" t="s">
        <v>1129</v>
      </c>
      <c r="E789" s="3">
        <v>788</v>
      </c>
      <c r="F789" s="3" t="s">
        <v>4453</v>
      </c>
      <c r="G789" s="3" t="s">
        <v>4</v>
      </c>
      <c r="H789" s="4" t="s">
        <v>6380</v>
      </c>
      <c r="I789" s="3" t="s">
        <v>1179</v>
      </c>
    </row>
    <row r="790" spans="1:9" x14ac:dyDescent="0.25">
      <c r="A790" s="3" t="s">
        <v>6983</v>
      </c>
      <c r="B790" s="3" t="s">
        <v>6992</v>
      </c>
      <c r="C790" s="3" t="s">
        <v>6985</v>
      </c>
      <c r="D790" s="3" t="s">
        <v>1129</v>
      </c>
      <c r="E790" s="3">
        <v>789</v>
      </c>
      <c r="F790" s="3" t="s">
        <v>4454</v>
      </c>
      <c r="G790" s="3" t="s">
        <v>1093</v>
      </c>
      <c r="H790" s="4" t="s">
        <v>6390</v>
      </c>
      <c r="I790" s="3" t="s">
        <v>1179</v>
      </c>
    </row>
    <row r="791" spans="1:9" x14ac:dyDescent="0.25">
      <c r="A791" s="3" t="s">
        <v>6983</v>
      </c>
      <c r="B791" s="3" t="s">
        <v>6992</v>
      </c>
      <c r="C791" s="3" t="s">
        <v>6985</v>
      </c>
      <c r="D791" s="3" t="s">
        <v>1129</v>
      </c>
      <c r="E791" s="3">
        <v>790</v>
      </c>
      <c r="F791" s="3" t="s">
        <v>4455</v>
      </c>
      <c r="G791" s="3" t="s">
        <v>1093</v>
      </c>
      <c r="H791" s="4" t="s">
        <v>6392</v>
      </c>
      <c r="I791" s="3" t="s">
        <v>1179</v>
      </c>
    </row>
    <row r="792" spans="1:9" x14ac:dyDescent="0.25">
      <c r="A792" s="3" t="s">
        <v>6983</v>
      </c>
      <c r="B792" s="3" t="s">
        <v>6992</v>
      </c>
      <c r="C792" s="3" t="s">
        <v>6985</v>
      </c>
      <c r="D792" s="3" t="s">
        <v>1129</v>
      </c>
      <c r="E792" s="3">
        <v>791</v>
      </c>
      <c r="F792" s="3" t="s">
        <v>4456</v>
      </c>
      <c r="G792" s="3" t="s">
        <v>1093</v>
      </c>
      <c r="H792" s="4" t="s">
        <v>6391</v>
      </c>
      <c r="I792" s="3" t="s">
        <v>1179</v>
      </c>
    </row>
    <row r="793" spans="1:9" x14ac:dyDescent="0.25">
      <c r="A793" s="3" t="s">
        <v>6983</v>
      </c>
      <c r="B793" s="3" t="s">
        <v>6992</v>
      </c>
      <c r="C793" s="3" t="s">
        <v>6985</v>
      </c>
      <c r="D793" s="3" t="s">
        <v>1129</v>
      </c>
      <c r="E793" s="3">
        <v>792</v>
      </c>
      <c r="F793" s="3" t="s">
        <v>4457</v>
      </c>
      <c r="G793" s="3" t="s">
        <v>1093</v>
      </c>
      <c r="H793" s="4" t="s">
        <v>6381</v>
      </c>
      <c r="I793" s="3" t="s">
        <v>1179</v>
      </c>
    </row>
    <row r="794" spans="1:9" x14ac:dyDescent="0.25">
      <c r="A794" s="3" t="s">
        <v>6983</v>
      </c>
      <c r="B794" s="3" t="s">
        <v>6992</v>
      </c>
      <c r="C794" s="3" t="s">
        <v>6985</v>
      </c>
      <c r="D794" s="3" t="s">
        <v>1129</v>
      </c>
      <c r="E794" s="3">
        <v>793</v>
      </c>
      <c r="F794" s="3" t="s">
        <v>4458</v>
      </c>
      <c r="G794" s="3" t="s">
        <v>1093</v>
      </c>
      <c r="H794" s="4" t="s">
        <v>6382</v>
      </c>
      <c r="I794" s="3" t="s">
        <v>1179</v>
      </c>
    </row>
    <row r="795" spans="1:9" x14ac:dyDescent="0.25">
      <c r="A795" s="3" t="s">
        <v>6983</v>
      </c>
      <c r="B795" s="3" t="s">
        <v>6992</v>
      </c>
      <c r="C795" s="3" t="s">
        <v>6985</v>
      </c>
      <c r="D795" s="3" t="s">
        <v>1129</v>
      </c>
      <c r="E795" s="3">
        <v>794</v>
      </c>
      <c r="F795" s="3" t="s">
        <v>4459</v>
      </c>
      <c r="G795" s="3" t="s">
        <v>1093</v>
      </c>
      <c r="H795" s="4" t="s">
        <v>6383</v>
      </c>
      <c r="I795" s="3" t="s">
        <v>1179</v>
      </c>
    </row>
    <row r="796" spans="1:9" x14ac:dyDescent="0.25">
      <c r="A796" s="3" t="s">
        <v>6983</v>
      </c>
      <c r="B796" s="3" t="s">
        <v>6992</v>
      </c>
      <c r="C796" s="3" t="s">
        <v>6985</v>
      </c>
      <c r="D796" s="3" t="s">
        <v>1129</v>
      </c>
      <c r="E796" s="3">
        <v>795</v>
      </c>
      <c r="F796" s="3" t="s">
        <v>4460</v>
      </c>
      <c r="G796" s="3" t="s">
        <v>9</v>
      </c>
      <c r="H796" s="4" t="s">
        <v>6384</v>
      </c>
      <c r="I796" s="3" t="s">
        <v>1179</v>
      </c>
    </row>
    <row r="797" spans="1:9" x14ac:dyDescent="0.25">
      <c r="A797" s="3" t="s">
        <v>6983</v>
      </c>
      <c r="B797" s="3" t="s">
        <v>6992</v>
      </c>
      <c r="C797" s="3" t="s">
        <v>6985</v>
      </c>
      <c r="D797" s="3" t="s">
        <v>1129</v>
      </c>
      <c r="E797" s="3">
        <v>796</v>
      </c>
      <c r="F797" s="3" t="s">
        <v>4461</v>
      </c>
      <c r="G797" s="3" t="s">
        <v>1093</v>
      </c>
      <c r="H797" s="4" t="s">
        <v>6385</v>
      </c>
      <c r="I797" s="3" t="s">
        <v>1179</v>
      </c>
    </row>
    <row r="798" spans="1:9" x14ac:dyDescent="0.25">
      <c r="A798" s="3" t="s">
        <v>6983</v>
      </c>
      <c r="B798" s="3" t="s">
        <v>6992</v>
      </c>
      <c r="C798" s="3" t="s">
        <v>6985</v>
      </c>
      <c r="D798" s="3" t="s">
        <v>1129</v>
      </c>
      <c r="E798" s="3">
        <v>797</v>
      </c>
      <c r="F798" s="3" t="s">
        <v>4462</v>
      </c>
      <c r="G798" s="3" t="s">
        <v>1093</v>
      </c>
      <c r="H798" s="4" t="s">
        <v>6386</v>
      </c>
      <c r="I798" s="3" t="s">
        <v>1179</v>
      </c>
    </row>
    <row r="799" spans="1:9" x14ac:dyDescent="0.25">
      <c r="A799" s="3" t="s">
        <v>6983</v>
      </c>
      <c r="B799" s="3" t="s">
        <v>6992</v>
      </c>
      <c r="C799" s="3" t="s">
        <v>6985</v>
      </c>
      <c r="D799" s="3" t="s">
        <v>1129</v>
      </c>
      <c r="E799" s="3">
        <v>798</v>
      </c>
      <c r="F799" s="3" t="s">
        <v>4463</v>
      </c>
      <c r="G799" s="3" t="s">
        <v>9</v>
      </c>
      <c r="H799" s="4" t="s">
        <v>6393</v>
      </c>
      <c r="I799" s="3" t="s">
        <v>1179</v>
      </c>
    </row>
    <row r="800" spans="1:9" x14ac:dyDescent="0.25">
      <c r="A800" s="3" t="s">
        <v>6983</v>
      </c>
      <c r="B800" s="3" t="s">
        <v>6992</v>
      </c>
      <c r="C800" s="3" t="s">
        <v>6985</v>
      </c>
      <c r="D800" s="3" t="s">
        <v>1129</v>
      </c>
      <c r="E800" s="3">
        <v>799</v>
      </c>
      <c r="F800" s="3" t="s">
        <v>4464</v>
      </c>
      <c r="G800" s="3" t="s">
        <v>19</v>
      </c>
      <c r="H800" s="4" t="s">
        <v>6387</v>
      </c>
      <c r="I800" s="3" t="s">
        <v>1179</v>
      </c>
    </row>
    <row r="801" spans="1:10" x14ac:dyDescent="0.25">
      <c r="A801" s="3" t="s">
        <v>6983</v>
      </c>
      <c r="B801" s="3" t="s">
        <v>6992</v>
      </c>
      <c r="C801" s="3" t="s">
        <v>6985</v>
      </c>
      <c r="D801" s="3" t="s">
        <v>1129</v>
      </c>
      <c r="E801" s="3">
        <v>800</v>
      </c>
      <c r="F801" s="3" t="s">
        <v>4465</v>
      </c>
      <c r="G801" s="3" t="s">
        <v>16</v>
      </c>
      <c r="H801" s="4" t="s">
        <v>6388</v>
      </c>
      <c r="I801" s="3" t="s">
        <v>1179</v>
      </c>
    </row>
    <row r="802" spans="1:10" x14ac:dyDescent="0.25">
      <c r="A802" s="3" t="s">
        <v>6983</v>
      </c>
      <c r="B802" s="3" t="s">
        <v>6992</v>
      </c>
      <c r="C802" s="3" t="s">
        <v>6985</v>
      </c>
      <c r="D802" s="3" t="s">
        <v>1129</v>
      </c>
      <c r="E802" s="3">
        <v>801</v>
      </c>
      <c r="F802" s="3" t="s">
        <v>4466</v>
      </c>
      <c r="G802" s="3" t="s">
        <v>1093</v>
      </c>
      <c r="H802" s="4" t="s">
        <v>6394</v>
      </c>
      <c r="I802" s="3" t="s">
        <v>1179</v>
      </c>
    </row>
    <row r="803" spans="1:10" x14ac:dyDescent="0.25">
      <c r="A803" s="3" t="s">
        <v>6983</v>
      </c>
      <c r="B803" s="3" t="s">
        <v>6992</v>
      </c>
      <c r="C803" s="3" t="s">
        <v>6985</v>
      </c>
      <c r="D803" s="3" t="s">
        <v>1129</v>
      </c>
      <c r="E803" s="3">
        <v>802</v>
      </c>
      <c r="F803" s="3" t="s">
        <v>4467</v>
      </c>
      <c r="G803" s="3" t="s">
        <v>1093</v>
      </c>
      <c r="H803" s="4" t="s">
        <v>6395</v>
      </c>
      <c r="I803" s="3" t="s">
        <v>1179</v>
      </c>
    </row>
    <row r="804" spans="1:10" x14ac:dyDescent="0.25">
      <c r="A804" s="3" t="s">
        <v>6983</v>
      </c>
      <c r="B804" s="3" t="s">
        <v>6992</v>
      </c>
      <c r="C804" s="3" t="s">
        <v>6985</v>
      </c>
      <c r="D804" s="3" t="s">
        <v>1129</v>
      </c>
      <c r="E804" s="3">
        <v>803</v>
      </c>
      <c r="F804" s="3" t="s">
        <v>4468</v>
      </c>
      <c r="G804" s="3" t="s">
        <v>1093</v>
      </c>
      <c r="H804" s="4" t="s">
        <v>6398</v>
      </c>
      <c r="I804" s="3" t="s">
        <v>1179</v>
      </c>
    </row>
    <row r="805" spans="1:10" x14ac:dyDescent="0.25">
      <c r="A805" s="3" t="s">
        <v>6983</v>
      </c>
      <c r="B805" s="3" t="s">
        <v>6992</v>
      </c>
      <c r="C805" s="3" t="s">
        <v>6985</v>
      </c>
      <c r="D805" s="3" t="s">
        <v>1129</v>
      </c>
      <c r="E805" s="3">
        <v>804</v>
      </c>
      <c r="F805" s="3" t="s">
        <v>4469</v>
      </c>
      <c r="G805" s="3" t="s">
        <v>4</v>
      </c>
      <c r="H805" s="4" t="s">
        <v>6389</v>
      </c>
      <c r="I805" s="3" t="s">
        <v>1179</v>
      </c>
    </row>
    <row r="806" spans="1:10" x14ac:dyDescent="0.25">
      <c r="A806" s="3" t="s">
        <v>6983</v>
      </c>
      <c r="B806" s="3" t="s">
        <v>6992</v>
      </c>
      <c r="C806" s="3" t="s">
        <v>6985</v>
      </c>
      <c r="D806" s="3" t="s">
        <v>1129</v>
      </c>
      <c r="E806" s="3">
        <v>805</v>
      </c>
      <c r="F806" s="3" t="s">
        <v>4470</v>
      </c>
      <c r="G806" s="3" t="s">
        <v>1093</v>
      </c>
      <c r="H806" s="4" t="s">
        <v>6396</v>
      </c>
      <c r="I806" s="3" t="s">
        <v>1179</v>
      </c>
    </row>
    <row r="807" spans="1:10" x14ac:dyDescent="0.25">
      <c r="A807" s="3" t="s">
        <v>6983</v>
      </c>
      <c r="B807" s="3" t="s">
        <v>6992</v>
      </c>
      <c r="C807" s="3" t="s">
        <v>6985</v>
      </c>
      <c r="D807" s="3" t="s">
        <v>1129</v>
      </c>
      <c r="E807" s="3">
        <v>806</v>
      </c>
      <c r="F807" s="3" t="s">
        <v>4471</v>
      </c>
      <c r="G807" s="3" t="s">
        <v>1093</v>
      </c>
      <c r="H807" s="4" t="s">
        <v>6397</v>
      </c>
      <c r="I807" s="3" t="s">
        <v>1179</v>
      </c>
    </row>
    <row r="808" spans="1:10" ht="15" customHeight="1" x14ac:dyDescent="0.25">
      <c r="A808" s="3" t="s">
        <v>6983</v>
      </c>
      <c r="B808" s="3" t="s">
        <v>6992</v>
      </c>
      <c r="C808" s="3" t="s">
        <v>6985</v>
      </c>
      <c r="D808" s="3" t="s">
        <v>6268</v>
      </c>
      <c r="E808" s="3">
        <v>807</v>
      </c>
      <c r="F808" s="3" t="s">
        <v>3294</v>
      </c>
      <c r="G808" s="3" t="s">
        <v>4</v>
      </c>
      <c r="H808" s="4" t="s">
        <v>6836</v>
      </c>
      <c r="I808" s="3" t="s">
        <v>1232</v>
      </c>
    </row>
    <row r="809" spans="1:10" x14ac:dyDescent="0.25">
      <c r="A809" s="3" t="s">
        <v>6983</v>
      </c>
      <c r="B809" s="3" t="s">
        <v>6992</v>
      </c>
      <c r="C809" s="3" t="s">
        <v>6985</v>
      </c>
      <c r="D809" s="3" t="s">
        <v>6268</v>
      </c>
      <c r="E809" s="3">
        <v>808</v>
      </c>
      <c r="F809" s="3" t="s">
        <v>3295</v>
      </c>
      <c r="G809" s="3" t="s">
        <v>4</v>
      </c>
      <c r="H809" s="4" t="s">
        <v>6837</v>
      </c>
      <c r="I809" s="3" t="s">
        <v>1232</v>
      </c>
    </row>
    <row r="810" spans="1:10" x14ac:dyDescent="0.25">
      <c r="A810" s="3" t="s">
        <v>6983</v>
      </c>
      <c r="B810" s="3" t="s">
        <v>6992</v>
      </c>
      <c r="C810" s="3" t="s">
        <v>6985</v>
      </c>
      <c r="D810" s="3" t="s">
        <v>6268</v>
      </c>
      <c r="E810" s="3">
        <v>809</v>
      </c>
      <c r="F810" s="3" t="s">
        <v>3296</v>
      </c>
      <c r="G810" s="3" t="s">
        <v>4</v>
      </c>
      <c r="H810" s="4" t="s">
        <v>6838</v>
      </c>
      <c r="I810" s="3" t="s">
        <v>1232</v>
      </c>
    </row>
    <row r="811" spans="1:10" x14ac:dyDescent="0.25">
      <c r="A811" s="3" t="s">
        <v>6983</v>
      </c>
      <c r="B811" s="3" t="s">
        <v>6992</v>
      </c>
      <c r="C811" s="3" t="s">
        <v>6985</v>
      </c>
      <c r="D811" s="3" t="s">
        <v>6268</v>
      </c>
      <c r="E811" s="3">
        <v>810</v>
      </c>
      <c r="F811" s="3" t="s">
        <v>3297</v>
      </c>
      <c r="G811" s="3" t="s">
        <v>4</v>
      </c>
      <c r="H811" s="4" t="s">
        <v>6839</v>
      </c>
      <c r="I811" s="3" t="s">
        <v>1232</v>
      </c>
    </row>
    <row r="812" spans="1:10" ht="16.5" x14ac:dyDescent="0.25">
      <c r="A812" s="3" t="s">
        <v>6983</v>
      </c>
      <c r="B812" s="3" t="s">
        <v>6992</v>
      </c>
      <c r="C812" s="3" t="s">
        <v>6985</v>
      </c>
      <c r="D812" s="3" t="s">
        <v>6268</v>
      </c>
      <c r="E812" s="3">
        <v>811</v>
      </c>
      <c r="F812" s="3" t="s">
        <v>3298</v>
      </c>
      <c r="G812" s="3" t="s">
        <v>4</v>
      </c>
      <c r="H812" s="4" t="s">
        <v>6840</v>
      </c>
      <c r="I812" s="3" t="s">
        <v>1232</v>
      </c>
    </row>
    <row r="813" spans="1:10" ht="16.5" x14ac:dyDescent="0.25">
      <c r="A813" s="3" t="s">
        <v>6983</v>
      </c>
      <c r="B813" s="3" t="s">
        <v>6992</v>
      </c>
      <c r="C813" s="3" t="s">
        <v>6985</v>
      </c>
      <c r="D813" s="3" t="s">
        <v>6268</v>
      </c>
      <c r="E813" s="3">
        <v>812</v>
      </c>
      <c r="F813" s="3" t="s">
        <v>3299</v>
      </c>
      <c r="G813" s="3" t="s">
        <v>9</v>
      </c>
      <c r="H813" s="4" t="s">
        <v>6854</v>
      </c>
      <c r="I813" s="3" t="s">
        <v>1232</v>
      </c>
    </row>
    <row r="814" spans="1:10" x14ac:dyDescent="0.25">
      <c r="A814" s="3" t="s">
        <v>6983</v>
      </c>
      <c r="B814" s="3" t="s">
        <v>6992</v>
      </c>
      <c r="C814" s="3" t="s">
        <v>6985</v>
      </c>
      <c r="D814" s="3" t="s">
        <v>6268</v>
      </c>
      <c r="E814" s="3">
        <v>813</v>
      </c>
      <c r="F814" s="3" t="s">
        <v>3300</v>
      </c>
      <c r="G814" s="3" t="s">
        <v>1090</v>
      </c>
      <c r="H814" s="4" t="s">
        <v>6841</v>
      </c>
      <c r="I814" s="3" t="s">
        <v>1232</v>
      </c>
    </row>
    <row r="815" spans="1:10" x14ac:dyDescent="0.25">
      <c r="A815" s="3" t="s">
        <v>6983</v>
      </c>
      <c r="B815" s="3" t="s">
        <v>6992</v>
      </c>
      <c r="C815" s="3" t="s">
        <v>6985</v>
      </c>
      <c r="D815" s="3" t="s">
        <v>6268</v>
      </c>
      <c r="E815" s="3">
        <v>814</v>
      </c>
      <c r="F815" s="3" t="s">
        <v>3301</v>
      </c>
      <c r="G815" s="3" t="s">
        <v>1090</v>
      </c>
      <c r="H815" s="4" t="s">
        <v>6842</v>
      </c>
      <c r="I815" s="3" t="s">
        <v>1232</v>
      </c>
    </row>
    <row r="816" spans="1:10" x14ac:dyDescent="0.25">
      <c r="A816" s="3" t="s">
        <v>6983</v>
      </c>
      <c r="B816" s="3" t="s">
        <v>6992</v>
      </c>
      <c r="C816" s="3" t="s">
        <v>6985</v>
      </c>
      <c r="D816" s="3" t="s">
        <v>6268</v>
      </c>
      <c r="E816" s="3">
        <v>815</v>
      </c>
      <c r="F816" s="3" t="s">
        <v>3302</v>
      </c>
      <c r="G816" s="3" t="s">
        <v>1090</v>
      </c>
      <c r="H816" s="4" t="s">
        <v>6843</v>
      </c>
      <c r="I816" s="3" t="s">
        <v>1232</v>
      </c>
      <c r="J816" s="4"/>
    </row>
    <row r="817" spans="1:10" x14ac:dyDescent="0.25">
      <c r="A817" s="3" t="s">
        <v>6983</v>
      </c>
      <c r="B817" s="3" t="s">
        <v>6992</v>
      </c>
      <c r="C817" s="3" t="s">
        <v>6985</v>
      </c>
      <c r="D817" s="3" t="s">
        <v>6268</v>
      </c>
      <c r="E817" s="3">
        <v>816</v>
      </c>
      <c r="F817" s="5" t="s">
        <v>3303</v>
      </c>
      <c r="G817" s="3" t="s">
        <v>1090</v>
      </c>
      <c r="H817" s="5" t="s">
        <v>6844</v>
      </c>
      <c r="I817" s="3" t="s">
        <v>1232</v>
      </c>
      <c r="J817" s="4"/>
    </row>
    <row r="818" spans="1:10" x14ac:dyDescent="0.25">
      <c r="A818" s="3" t="s">
        <v>6983</v>
      </c>
      <c r="B818" s="3" t="s">
        <v>6992</v>
      </c>
      <c r="C818" s="3" t="s">
        <v>6985</v>
      </c>
      <c r="D818" s="3" t="s">
        <v>6268</v>
      </c>
      <c r="E818" s="3">
        <v>817</v>
      </c>
      <c r="F818" s="3" t="s">
        <v>3304</v>
      </c>
      <c r="G818" s="3" t="s">
        <v>4</v>
      </c>
      <c r="H818" s="4" t="s">
        <v>6410</v>
      </c>
      <c r="I818" s="3" t="s">
        <v>1232</v>
      </c>
    </row>
    <row r="819" spans="1:10" x14ac:dyDescent="0.25">
      <c r="A819" s="3" t="s">
        <v>6983</v>
      </c>
      <c r="B819" s="3" t="s">
        <v>6992</v>
      </c>
      <c r="C819" s="3" t="s">
        <v>6985</v>
      </c>
      <c r="D819" s="3" t="s">
        <v>6268</v>
      </c>
      <c r="E819" s="3">
        <v>818</v>
      </c>
      <c r="F819" s="3" t="s">
        <v>3305</v>
      </c>
      <c r="G819" s="3" t="s">
        <v>4</v>
      </c>
      <c r="H819" s="4" t="s">
        <v>6411</v>
      </c>
      <c r="I819" s="3" t="s">
        <v>1232</v>
      </c>
    </row>
    <row r="820" spans="1:10" x14ac:dyDescent="0.25">
      <c r="A820" s="3" t="s">
        <v>6983</v>
      </c>
      <c r="B820" s="3" t="s">
        <v>6992</v>
      </c>
      <c r="C820" s="3" t="s">
        <v>6985</v>
      </c>
      <c r="D820" s="3" t="s">
        <v>6268</v>
      </c>
      <c r="E820" s="3">
        <v>819</v>
      </c>
      <c r="F820" s="3" t="s">
        <v>3306</v>
      </c>
      <c r="G820" s="3" t="s">
        <v>4</v>
      </c>
      <c r="H820" s="4" t="s">
        <v>6845</v>
      </c>
      <c r="I820" s="3" t="s">
        <v>1232</v>
      </c>
    </row>
    <row r="821" spans="1:10" x14ac:dyDescent="0.25">
      <c r="A821" s="3" t="s">
        <v>6983</v>
      </c>
      <c r="B821" s="3" t="s">
        <v>6992</v>
      </c>
      <c r="C821" s="3" t="s">
        <v>6985</v>
      </c>
      <c r="D821" s="3" t="s">
        <v>6268</v>
      </c>
      <c r="E821" s="3">
        <v>820</v>
      </c>
      <c r="F821" s="3" t="s">
        <v>3307</v>
      </c>
      <c r="G821" s="3" t="s">
        <v>4</v>
      </c>
      <c r="H821" s="4" t="s">
        <v>6846</v>
      </c>
      <c r="I821" s="3" t="s">
        <v>1232</v>
      </c>
    </row>
    <row r="822" spans="1:10" x14ac:dyDescent="0.25">
      <c r="A822" s="3" t="s">
        <v>6983</v>
      </c>
      <c r="B822" s="3" t="s">
        <v>6992</v>
      </c>
      <c r="C822" s="3" t="s">
        <v>6985</v>
      </c>
      <c r="D822" s="3" t="s">
        <v>6323</v>
      </c>
      <c r="E822" s="3">
        <v>821</v>
      </c>
      <c r="F822" s="3" t="s">
        <v>4472</v>
      </c>
      <c r="G822" s="3" t="s">
        <v>16</v>
      </c>
      <c r="H822" s="3" t="s">
        <v>7060</v>
      </c>
    </row>
    <row r="823" spans="1:10" x14ac:dyDescent="0.25">
      <c r="A823" s="3" t="s">
        <v>6983</v>
      </c>
      <c r="B823" s="3" t="s">
        <v>6992</v>
      </c>
      <c r="C823" s="3" t="s">
        <v>6985</v>
      </c>
      <c r="D823" s="3" t="s">
        <v>6323</v>
      </c>
      <c r="E823" s="3">
        <v>822</v>
      </c>
      <c r="F823" s="3" t="s">
        <v>4473</v>
      </c>
      <c r="G823" s="3" t="s">
        <v>4797</v>
      </c>
      <c r="H823" s="3" t="s">
        <v>7061</v>
      </c>
    </row>
    <row r="824" spans="1:10" x14ac:dyDescent="0.25">
      <c r="A824" s="3" t="s">
        <v>6983</v>
      </c>
      <c r="B824" s="3" t="s">
        <v>6992</v>
      </c>
      <c r="C824" s="3" t="s">
        <v>6985</v>
      </c>
      <c r="D824" s="3" t="s">
        <v>6323</v>
      </c>
      <c r="E824" s="3">
        <v>823</v>
      </c>
      <c r="F824" s="3" t="s">
        <v>4474</v>
      </c>
      <c r="G824" s="3" t="s">
        <v>16</v>
      </c>
      <c r="H824" s="3" t="s">
        <v>7070</v>
      </c>
    </row>
    <row r="825" spans="1:10" x14ac:dyDescent="0.25">
      <c r="A825" s="3" t="s">
        <v>6983</v>
      </c>
      <c r="B825" s="3" t="s">
        <v>6992</v>
      </c>
      <c r="C825" s="3" t="s">
        <v>6985</v>
      </c>
      <c r="D825" s="3" t="s">
        <v>6323</v>
      </c>
      <c r="E825" s="3">
        <v>824</v>
      </c>
      <c r="F825" s="3" t="s">
        <v>4475</v>
      </c>
      <c r="G825" s="3" t="s">
        <v>4797</v>
      </c>
      <c r="H825" s="3" t="s">
        <v>7062</v>
      </c>
    </row>
    <row r="826" spans="1:10" x14ac:dyDescent="0.25">
      <c r="A826" s="3" t="s">
        <v>6983</v>
      </c>
      <c r="B826" s="3" t="s">
        <v>6992</v>
      </c>
      <c r="C826" s="3" t="s">
        <v>6985</v>
      </c>
      <c r="D826" s="3" t="s">
        <v>6323</v>
      </c>
      <c r="E826" s="3">
        <v>825</v>
      </c>
      <c r="F826" s="3" t="s">
        <v>4476</v>
      </c>
      <c r="G826" s="3" t="s">
        <v>16</v>
      </c>
      <c r="H826" s="3" t="s">
        <v>7071</v>
      </c>
    </row>
    <row r="827" spans="1:10" x14ac:dyDescent="0.25">
      <c r="A827" s="3" t="s">
        <v>6983</v>
      </c>
      <c r="B827" s="3" t="s">
        <v>6992</v>
      </c>
      <c r="C827" s="3" t="s">
        <v>6985</v>
      </c>
      <c r="D827" s="3" t="s">
        <v>6323</v>
      </c>
      <c r="E827" s="3">
        <v>826</v>
      </c>
      <c r="F827" s="3" t="s">
        <v>4477</v>
      </c>
      <c r="G827" s="3" t="s">
        <v>4797</v>
      </c>
      <c r="H827" s="3" t="s">
        <v>7063</v>
      </c>
    </row>
    <row r="828" spans="1:10" x14ac:dyDescent="0.25">
      <c r="A828" s="3" t="s">
        <v>6983</v>
      </c>
      <c r="B828" s="3" t="s">
        <v>6992</v>
      </c>
      <c r="C828" s="3" t="s">
        <v>6985</v>
      </c>
      <c r="D828" s="3" t="s">
        <v>6323</v>
      </c>
      <c r="E828" s="3">
        <v>827</v>
      </c>
      <c r="F828" s="3" t="s">
        <v>4478</v>
      </c>
      <c r="G828" s="3" t="s">
        <v>16</v>
      </c>
      <c r="H828" s="3" t="s">
        <v>7072</v>
      </c>
    </row>
    <row r="829" spans="1:10" x14ac:dyDescent="0.25">
      <c r="A829" s="3" t="s">
        <v>6983</v>
      </c>
      <c r="B829" s="3" t="s">
        <v>6992</v>
      </c>
      <c r="C829" s="3" t="s">
        <v>6985</v>
      </c>
      <c r="D829" s="3" t="s">
        <v>6323</v>
      </c>
      <c r="E829" s="3">
        <v>828</v>
      </c>
      <c r="F829" s="3" t="s">
        <v>4479</v>
      </c>
      <c r="G829" s="3" t="s">
        <v>4797</v>
      </c>
      <c r="H829" s="3" t="s">
        <v>7064</v>
      </c>
    </row>
    <row r="830" spans="1:10" x14ac:dyDescent="0.25">
      <c r="A830" s="3" t="s">
        <v>6983</v>
      </c>
      <c r="B830" s="3" t="s">
        <v>6992</v>
      </c>
      <c r="C830" s="3" t="s">
        <v>6985</v>
      </c>
      <c r="D830" s="3" t="s">
        <v>6323</v>
      </c>
      <c r="E830" s="3">
        <v>829</v>
      </c>
      <c r="F830" s="3" t="s">
        <v>4480</v>
      </c>
      <c r="G830" s="3" t="s">
        <v>16</v>
      </c>
      <c r="H830" s="3" t="s">
        <v>7073</v>
      </c>
    </row>
    <row r="831" spans="1:10" x14ac:dyDescent="0.25">
      <c r="A831" s="3" t="s">
        <v>6983</v>
      </c>
      <c r="B831" s="3" t="s">
        <v>6992</v>
      </c>
      <c r="C831" s="3" t="s">
        <v>6985</v>
      </c>
      <c r="D831" s="3" t="s">
        <v>6323</v>
      </c>
      <c r="E831" s="3">
        <v>830</v>
      </c>
      <c r="F831" s="3" t="s">
        <v>4481</v>
      </c>
      <c r="G831" s="3" t="s">
        <v>4797</v>
      </c>
      <c r="H831" s="3" t="s">
        <v>7065</v>
      </c>
    </row>
    <row r="832" spans="1:10" x14ac:dyDescent="0.25">
      <c r="A832" s="3" t="s">
        <v>6983</v>
      </c>
      <c r="B832" s="3" t="s">
        <v>6992</v>
      </c>
      <c r="C832" s="3" t="s">
        <v>6985</v>
      </c>
      <c r="D832" s="3" t="s">
        <v>6323</v>
      </c>
      <c r="E832" s="3">
        <v>831</v>
      </c>
      <c r="F832" s="3" t="s">
        <v>4482</v>
      </c>
      <c r="G832" s="3" t="s">
        <v>16</v>
      </c>
      <c r="H832" s="3" t="s">
        <v>7074</v>
      </c>
    </row>
    <row r="833" spans="1:8" x14ac:dyDescent="0.25">
      <c r="A833" s="3" t="s">
        <v>6983</v>
      </c>
      <c r="B833" s="3" t="s">
        <v>6992</v>
      </c>
      <c r="C833" s="3" t="s">
        <v>6985</v>
      </c>
      <c r="D833" s="3" t="s">
        <v>6323</v>
      </c>
      <c r="E833" s="3">
        <v>832</v>
      </c>
      <c r="F833" s="3" t="s">
        <v>4483</v>
      </c>
      <c r="G833" s="3" t="s">
        <v>4797</v>
      </c>
      <c r="H833" s="3" t="s">
        <v>7066</v>
      </c>
    </row>
    <row r="834" spans="1:8" x14ac:dyDescent="0.25">
      <c r="A834" s="3" t="s">
        <v>6983</v>
      </c>
      <c r="B834" s="3" t="s">
        <v>6992</v>
      </c>
      <c r="C834" s="3" t="s">
        <v>6985</v>
      </c>
      <c r="D834" s="3" t="s">
        <v>6323</v>
      </c>
      <c r="E834" s="3">
        <v>833</v>
      </c>
      <c r="F834" s="3" t="s">
        <v>4484</v>
      </c>
      <c r="G834" s="3" t="s">
        <v>16</v>
      </c>
      <c r="H834" s="3" t="s">
        <v>7075</v>
      </c>
    </row>
    <row r="835" spans="1:8" x14ac:dyDescent="0.25">
      <c r="A835" s="3" t="s">
        <v>6983</v>
      </c>
      <c r="B835" s="3" t="s">
        <v>6992</v>
      </c>
      <c r="C835" s="3" t="s">
        <v>6985</v>
      </c>
      <c r="D835" s="3" t="s">
        <v>6323</v>
      </c>
      <c r="E835" s="3">
        <v>834</v>
      </c>
      <c r="F835" s="3" t="s">
        <v>4485</v>
      </c>
      <c r="G835" s="3" t="s">
        <v>4797</v>
      </c>
      <c r="H835" s="3" t="s">
        <v>7067</v>
      </c>
    </row>
    <row r="836" spans="1:8" x14ac:dyDescent="0.25">
      <c r="A836" s="3" t="s">
        <v>6983</v>
      </c>
      <c r="B836" s="3" t="s">
        <v>6992</v>
      </c>
      <c r="C836" s="3" t="s">
        <v>6985</v>
      </c>
      <c r="D836" s="3" t="s">
        <v>6323</v>
      </c>
      <c r="E836" s="3">
        <v>835</v>
      </c>
      <c r="F836" s="3" t="s">
        <v>4486</v>
      </c>
      <c r="G836" s="3" t="s">
        <v>16</v>
      </c>
      <c r="H836" s="3" t="s">
        <v>7076</v>
      </c>
    </row>
    <row r="837" spans="1:8" x14ac:dyDescent="0.25">
      <c r="A837" s="3" t="s">
        <v>6983</v>
      </c>
      <c r="B837" s="3" t="s">
        <v>6992</v>
      </c>
      <c r="C837" s="3" t="s">
        <v>6985</v>
      </c>
      <c r="D837" s="3" t="s">
        <v>6323</v>
      </c>
      <c r="E837" s="3">
        <v>836</v>
      </c>
      <c r="F837" s="3" t="s">
        <v>4487</v>
      </c>
      <c r="G837" s="3" t="s">
        <v>4797</v>
      </c>
      <c r="H837" s="3" t="s">
        <v>7068</v>
      </c>
    </row>
    <row r="838" spans="1:8" x14ac:dyDescent="0.25">
      <c r="A838" s="3" t="s">
        <v>6983</v>
      </c>
      <c r="B838" s="3" t="s">
        <v>6992</v>
      </c>
      <c r="C838" s="3" t="s">
        <v>6985</v>
      </c>
      <c r="D838" s="3" t="s">
        <v>6323</v>
      </c>
      <c r="E838" s="3">
        <v>837</v>
      </c>
      <c r="F838" s="3" t="s">
        <v>4488</v>
      </c>
      <c r="G838" s="3" t="s">
        <v>16</v>
      </c>
      <c r="H838" s="3" t="s">
        <v>7077</v>
      </c>
    </row>
    <row r="839" spans="1:8" x14ac:dyDescent="0.25">
      <c r="A839" s="3" t="s">
        <v>6983</v>
      </c>
      <c r="B839" s="3" t="s">
        <v>6992</v>
      </c>
      <c r="C839" s="3" t="s">
        <v>6985</v>
      </c>
      <c r="D839" s="3" t="s">
        <v>6323</v>
      </c>
      <c r="E839" s="3">
        <v>838</v>
      </c>
      <c r="F839" s="3" t="s">
        <v>4489</v>
      </c>
      <c r="G839" s="3" t="s">
        <v>4797</v>
      </c>
      <c r="H839" s="3" t="s">
        <v>7069</v>
      </c>
    </row>
    <row r="840" spans="1:8" x14ac:dyDescent="0.25">
      <c r="A840" s="3" t="s">
        <v>6983</v>
      </c>
      <c r="B840" s="3" t="s">
        <v>6992</v>
      </c>
      <c r="C840" s="3" t="s">
        <v>6985</v>
      </c>
      <c r="D840" s="3" t="s">
        <v>6323</v>
      </c>
      <c r="E840" s="3">
        <v>839</v>
      </c>
      <c r="F840" s="3" t="s">
        <v>4490</v>
      </c>
      <c r="G840" s="3" t="s">
        <v>31</v>
      </c>
      <c r="H840" s="3" t="s">
        <v>6966</v>
      </c>
    </row>
    <row r="841" spans="1:8" x14ac:dyDescent="0.25">
      <c r="A841" s="3" t="s">
        <v>6983</v>
      </c>
      <c r="B841" s="3" t="s">
        <v>6992</v>
      </c>
      <c r="C841" s="3" t="s">
        <v>6985</v>
      </c>
      <c r="D841" s="3" t="s">
        <v>2127</v>
      </c>
      <c r="E841" s="3">
        <v>840</v>
      </c>
      <c r="F841" s="3" t="s">
        <v>4491</v>
      </c>
      <c r="G841" s="3" t="s">
        <v>1095</v>
      </c>
      <c r="H841" s="3" t="s">
        <v>6415</v>
      </c>
    </row>
    <row r="842" spans="1:8" x14ac:dyDescent="0.25">
      <c r="A842" s="3" t="s">
        <v>6983</v>
      </c>
      <c r="B842" s="3" t="s">
        <v>6992</v>
      </c>
      <c r="C842" s="3" t="s">
        <v>6985</v>
      </c>
      <c r="D842" s="3" t="s">
        <v>2127</v>
      </c>
      <c r="E842" s="3">
        <v>841</v>
      </c>
      <c r="F842" s="3" t="s">
        <v>4492</v>
      </c>
      <c r="G842" s="3" t="s">
        <v>1095</v>
      </c>
      <c r="H842" s="3" t="s">
        <v>6416</v>
      </c>
    </row>
    <row r="843" spans="1:8" x14ac:dyDescent="0.25">
      <c r="A843" s="3" t="s">
        <v>6983</v>
      </c>
      <c r="B843" s="3" t="s">
        <v>6992</v>
      </c>
      <c r="C843" s="3" t="s">
        <v>6985</v>
      </c>
      <c r="D843" s="3" t="s">
        <v>2127</v>
      </c>
      <c r="E843" s="3">
        <v>842</v>
      </c>
      <c r="F843" s="3" t="s">
        <v>4493</v>
      </c>
      <c r="G843" s="3" t="s">
        <v>2100</v>
      </c>
      <c r="H843" s="3" t="s">
        <v>6417</v>
      </c>
    </row>
    <row r="844" spans="1:8" x14ac:dyDescent="0.25">
      <c r="A844" s="3" t="s">
        <v>6983</v>
      </c>
      <c r="B844" s="3" t="s">
        <v>6992</v>
      </c>
      <c r="C844" s="3" t="s">
        <v>6985</v>
      </c>
      <c r="D844" s="3" t="s">
        <v>2127</v>
      </c>
      <c r="E844" s="3">
        <v>843</v>
      </c>
      <c r="F844" s="3" t="s">
        <v>4494</v>
      </c>
      <c r="G844" s="3" t="s">
        <v>1093</v>
      </c>
      <c r="H844" s="3" t="s">
        <v>6418</v>
      </c>
    </row>
    <row r="845" spans="1:8" x14ac:dyDescent="0.25">
      <c r="A845" s="3" t="s">
        <v>6983</v>
      </c>
      <c r="B845" s="3" t="s">
        <v>6992</v>
      </c>
      <c r="C845" s="3" t="s">
        <v>6985</v>
      </c>
      <c r="D845" s="3" t="s">
        <v>2127</v>
      </c>
      <c r="E845" s="3">
        <v>844</v>
      </c>
      <c r="F845" s="3" t="s">
        <v>4495</v>
      </c>
      <c r="G845" s="3" t="s">
        <v>2099</v>
      </c>
      <c r="H845" s="3" t="s">
        <v>6419</v>
      </c>
    </row>
    <row r="846" spans="1:8" x14ac:dyDescent="0.25">
      <c r="A846" s="3" t="s">
        <v>6983</v>
      </c>
      <c r="B846" s="3" t="s">
        <v>6992</v>
      </c>
      <c r="C846" s="3" t="s">
        <v>6985</v>
      </c>
      <c r="D846" s="3" t="s">
        <v>6324</v>
      </c>
      <c r="E846" s="3">
        <v>845</v>
      </c>
      <c r="F846" s="3" t="s">
        <v>4496</v>
      </c>
      <c r="G846" s="3" t="s">
        <v>1095</v>
      </c>
      <c r="H846" s="4" t="s">
        <v>6690</v>
      </c>
    </row>
    <row r="847" spans="1:8" x14ac:dyDescent="0.25">
      <c r="A847" s="3" t="s">
        <v>6983</v>
      </c>
      <c r="B847" s="3" t="s">
        <v>6992</v>
      </c>
      <c r="C847" s="3" t="s">
        <v>6985</v>
      </c>
      <c r="D847" s="3" t="s">
        <v>6324</v>
      </c>
      <c r="E847" s="3">
        <v>846</v>
      </c>
      <c r="F847" s="3" t="s">
        <v>4497</v>
      </c>
      <c r="G847" s="3" t="s">
        <v>2100</v>
      </c>
      <c r="H847" s="3" t="s">
        <v>6420</v>
      </c>
    </row>
    <row r="848" spans="1:8" x14ac:dyDescent="0.25">
      <c r="A848" s="3" t="s">
        <v>6983</v>
      </c>
      <c r="B848" s="3" t="s">
        <v>6992</v>
      </c>
      <c r="C848" s="3" t="s">
        <v>6985</v>
      </c>
      <c r="D848" s="3" t="s">
        <v>6324</v>
      </c>
      <c r="E848" s="3">
        <v>847</v>
      </c>
      <c r="F848" s="3" t="s">
        <v>770</v>
      </c>
      <c r="G848" s="3" t="s">
        <v>13</v>
      </c>
      <c r="H848" s="4" t="s">
        <v>1224</v>
      </c>
    </row>
    <row r="849" spans="1:8" x14ac:dyDescent="0.25">
      <c r="A849" s="3" t="s">
        <v>6983</v>
      </c>
      <c r="B849" s="3" t="s">
        <v>6992</v>
      </c>
      <c r="C849" s="3" t="s">
        <v>6985</v>
      </c>
      <c r="D849" s="3" t="s">
        <v>6324</v>
      </c>
      <c r="E849" s="3">
        <v>848</v>
      </c>
      <c r="F849" s="3" t="s">
        <v>771</v>
      </c>
      <c r="G849" s="3" t="s">
        <v>9</v>
      </c>
      <c r="H849" s="4" t="s">
        <v>1225</v>
      </c>
    </row>
    <row r="850" spans="1:8" x14ac:dyDescent="0.25">
      <c r="A850" s="3" t="s">
        <v>6983</v>
      </c>
      <c r="B850" s="3" t="s">
        <v>6992</v>
      </c>
      <c r="C850" s="3" t="s">
        <v>6985</v>
      </c>
      <c r="D850" s="3" t="s">
        <v>6324</v>
      </c>
      <c r="E850" s="3">
        <v>849</v>
      </c>
      <c r="F850" s="3" t="s">
        <v>772</v>
      </c>
      <c r="G850" s="3" t="s">
        <v>13</v>
      </c>
      <c r="H850" s="4" t="s">
        <v>6704</v>
      </c>
    </row>
    <row r="851" spans="1:8" x14ac:dyDescent="0.25">
      <c r="A851" s="3" t="s">
        <v>6983</v>
      </c>
      <c r="B851" s="3" t="s">
        <v>6992</v>
      </c>
      <c r="C851" s="3" t="s">
        <v>6985</v>
      </c>
      <c r="D851" s="3" t="s">
        <v>6324</v>
      </c>
      <c r="E851" s="3">
        <v>850</v>
      </c>
      <c r="F851" s="3" t="s">
        <v>773</v>
      </c>
      <c r="G851" s="3" t="s">
        <v>13</v>
      </c>
      <c r="H851" s="3" t="s">
        <v>6705</v>
      </c>
    </row>
    <row r="852" spans="1:8" x14ac:dyDescent="0.25">
      <c r="A852" s="3" t="s">
        <v>6983</v>
      </c>
      <c r="B852" s="3" t="s">
        <v>6992</v>
      </c>
      <c r="C852" s="3" t="s">
        <v>6985</v>
      </c>
      <c r="D852" s="3" t="s">
        <v>6324</v>
      </c>
      <c r="E852" s="3">
        <v>851</v>
      </c>
      <c r="F852" s="3" t="s">
        <v>774</v>
      </c>
      <c r="G852" s="3" t="s">
        <v>13</v>
      </c>
      <c r="H852" s="4" t="s">
        <v>6706</v>
      </c>
    </row>
    <row r="853" spans="1:8" x14ac:dyDescent="0.25">
      <c r="A853" s="3" t="s">
        <v>6983</v>
      </c>
      <c r="B853" s="3" t="s">
        <v>6992</v>
      </c>
      <c r="C853" s="3" t="s">
        <v>6985</v>
      </c>
      <c r="D853" s="3" t="s">
        <v>6324</v>
      </c>
      <c r="E853" s="3">
        <v>852</v>
      </c>
      <c r="F853" s="3" t="s">
        <v>775</v>
      </c>
      <c r="G853" s="3" t="s">
        <v>9</v>
      </c>
      <c r="H853" s="4" t="s">
        <v>6707</v>
      </c>
    </row>
    <row r="854" spans="1:8" x14ac:dyDescent="0.25">
      <c r="A854" s="3" t="s">
        <v>6983</v>
      </c>
      <c r="B854" s="3" t="s">
        <v>6992</v>
      </c>
      <c r="C854" s="3" t="s">
        <v>6985</v>
      </c>
      <c r="D854" s="3" t="s">
        <v>6324</v>
      </c>
      <c r="E854" s="3">
        <v>853</v>
      </c>
      <c r="F854" s="3" t="s">
        <v>776</v>
      </c>
      <c r="G854" s="3" t="s">
        <v>13</v>
      </c>
      <c r="H854" s="4" t="s">
        <v>6708</v>
      </c>
    </row>
    <row r="855" spans="1:8" x14ac:dyDescent="0.25">
      <c r="A855" s="3" t="s">
        <v>6983</v>
      </c>
      <c r="B855" s="3" t="s">
        <v>6992</v>
      </c>
      <c r="C855" s="3" t="s">
        <v>6985</v>
      </c>
      <c r="D855" s="3" t="s">
        <v>6324</v>
      </c>
      <c r="E855" s="3">
        <v>854</v>
      </c>
      <c r="F855" s="3" t="s">
        <v>777</v>
      </c>
      <c r="G855" s="3" t="s">
        <v>9</v>
      </c>
      <c r="H855" s="4" t="s">
        <v>6709</v>
      </c>
    </row>
    <row r="856" spans="1:8" x14ac:dyDescent="0.25">
      <c r="A856" s="3" t="s">
        <v>6983</v>
      </c>
      <c r="B856" s="3" t="s">
        <v>6992</v>
      </c>
      <c r="C856" s="3" t="s">
        <v>6985</v>
      </c>
      <c r="D856" s="3" t="s">
        <v>6324</v>
      </c>
      <c r="E856" s="3">
        <v>855</v>
      </c>
      <c r="F856" s="3" t="s">
        <v>778</v>
      </c>
      <c r="G856" s="3" t="s">
        <v>13</v>
      </c>
      <c r="H856" s="4" t="s">
        <v>6710</v>
      </c>
    </row>
    <row r="857" spans="1:8" x14ac:dyDescent="0.25">
      <c r="A857" s="3" t="s">
        <v>6983</v>
      </c>
      <c r="B857" s="3" t="s">
        <v>6992</v>
      </c>
      <c r="C857" s="3" t="s">
        <v>6985</v>
      </c>
      <c r="D857" s="3" t="s">
        <v>6324</v>
      </c>
      <c r="E857" s="3">
        <v>856</v>
      </c>
      <c r="F857" s="3" t="s">
        <v>779</v>
      </c>
      <c r="G857" s="3" t="s">
        <v>9</v>
      </c>
      <c r="H857" s="4" t="s">
        <v>6711</v>
      </c>
    </row>
    <row r="858" spans="1:8" x14ac:dyDescent="0.25">
      <c r="A858" s="3" t="s">
        <v>6983</v>
      </c>
      <c r="B858" s="3" t="s">
        <v>6992</v>
      </c>
      <c r="C858" s="3" t="s">
        <v>6985</v>
      </c>
      <c r="D858" s="3" t="s">
        <v>6324</v>
      </c>
      <c r="E858" s="3">
        <v>857</v>
      </c>
      <c r="F858" s="3" t="s">
        <v>780</v>
      </c>
      <c r="G858" s="3" t="s">
        <v>13</v>
      </c>
      <c r="H858" s="4" t="s">
        <v>6712</v>
      </c>
    </row>
    <row r="859" spans="1:8" x14ac:dyDescent="0.25">
      <c r="A859" s="3" t="s">
        <v>6983</v>
      </c>
      <c r="B859" s="3" t="s">
        <v>6992</v>
      </c>
      <c r="C859" s="3" t="s">
        <v>6985</v>
      </c>
      <c r="D859" s="3" t="s">
        <v>6324</v>
      </c>
      <c r="E859" s="3">
        <v>858</v>
      </c>
      <c r="F859" s="3" t="s">
        <v>781</v>
      </c>
      <c r="G859" s="3" t="s">
        <v>9</v>
      </c>
      <c r="H859" s="4" t="s">
        <v>6713</v>
      </c>
    </row>
    <row r="860" spans="1:8" x14ac:dyDescent="0.25">
      <c r="A860" s="3" t="s">
        <v>6983</v>
      </c>
      <c r="B860" s="3" t="s">
        <v>6992</v>
      </c>
      <c r="C860" s="3" t="s">
        <v>6985</v>
      </c>
      <c r="D860" s="3" t="s">
        <v>6324</v>
      </c>
      <c r="E860" s="3">
        <v>859</v>
      </c>
      <c r="F860" s="3" t="s">
        <v>782</v>
      </c>
      <c r="G860" s="3" t="s">
        <v>13</v>
      </c>
      <c r="H860" s="4" t="s">
        <v>6714</v>
      </c>
    </row>
    <row r="861" spans="1:8" x14ac:dyDescent="0.25">
      <c r="A861" s="3" t="s">
        <v>6983</v>
      </c>
      <c r="B861" s="3" t="s">
        <v>6992</v>
      </c>
      <c r="C861" s="3" t="s">
        <v>6985</v>
      </c>
      <c r="D861" s="3" t="s">
        <v>6324</v>
      </c>
      <c r="E861" s="3">
        <v>860</v>
      </c>
      <c r="F861" s="3" t="s">
        <v>783</v>
      </c>
      <c r="G861" s="3" t="s">
        <v>13</v>
      </c>
      <c r="H861" s="4" t="s">
        <v>6715</v>
      </c>
    </row>
    <row r="862" spans="1:8" x14ac:dyDescent="0.25">
      <c r="A862" s="3" t="s">
        <v>6983</v>
      </c>
      <c r="B862" s="3" t="s">
        <v>6992</v>
      </c>
      <c r="C862" s="3" t="s">
        <v>6985</v>
      </c>
      <c r="D862" s="3" t="s">
        <v>6324</v>
      </c>
      <c r="E862" s="3">
        <v>861</v>
      </c>
      <c r="F862" s="3" t="s">
        <v>784</v>
      </c>
      <c r="G862" s="3" t="s">
        <v>13</v>
      </c>
      <c r="H862" s="4" t="s">
        <v>6716</v>
      </c>
    </row>
    <row r="863" spans="1:8" x14ac:dyDescent="0.25">
      <c r="A863" s="3" t="s">
        <v>6983</v>
      </c>
      <c r="B863" s="3" t="s">
        <v>6992</v>
      </c>
      <c r="C863" s="3" t="s">
        <v>6985</v>
      </c>
      <c r="D863" s="3" t="s">
        <v>6324</v>
      </c>
      <c r="E863" s="3">
        <v>862</v>
      </c>
      <c r="F863" s="3" t="s">
        <v>785</v>
      </c>
      <c r="G863" s="3" t="s">
        <v>13</v>
      </c>
      <c r="H863" s="4" t="s">
        <v>6717</v>
      </c>
    </row>
    <row r="864" spans="1:8" x14ac:dyDescent="0.25">
      <c r="A864" s="3" t="s">
        <v>6983</v>
      </c>
      <c r="B864" s="3" t="s">
        <v>6992</v>
      </c>
      <c r="C864" s="3" t="s">
        <v>6985</v>
      </c>
      <c r="D864" s="3" t="s">
        <v>6325</v>
      </c>
      <c r="E864" s="3">
        <v>863</v>
      </c>
      <c r="F864" s="3" t="s">
        <v>4498</v>
      </c>
      <c r="G864" s="3" t="s">
        <v>1100</v>
      </c>
      <c r="H864" s="3" t="str">
        <f t="shared" ref="H864:H927" si="14">_xlfn.CONCAT("Output ",F864, ", computed by BMT WinMon.")</f>
        <v>Output Riser S-A Load PT1, computed by BMT WinMon.</v>
      </c>
    </row>
    <row r="865" spans="1:8" x14ac:dyDescent="0.25">
      <c r="A865" s="3" t="s">
        <v>6983</v>
      </c>
      <c r="B865" s="3" t="s">
        <v>6992</v>
      </c>
      <c r="C865" s="3" t="s">
        <v>6985</v>
      </c>
      <c r="D865" s="3" t="s">
        <v>6325</v>
      </c>
      <c r="E865" s="3">
        <v>864</v>
      </c>
      <c r="F865" s="3" t="s">
        <v>4499</v>
      </c>
      <c r="G865" s="3" t="s">
        <v>1100</v>
      </c>
      <c r="H865" s="3" t="str">
        <f t="shared" si="14"/>
        <v>Output Riser S-A Load PT2, computed by BMT WinMon.</v>
      </c>
    </row>
    <row r="866" spans="1:8" x14ac:dyDescent="0.25">
      <c r="A866" s="3" t="s">
        <v>6983</v>
      </c>
      <c r="B866" s="3" t="s">
        <v>6992</v>
      </c>
      <c r="C866" s="3" t="s">
        <v>6985</v>
      </c>
      <c r="D866" s="3" t="s">
        <v>6325</v>
      </c>
      <c r="E866" s="3">
        <v>865</v>
      </c>
      <c r="F866" s="3" t="s">
        <v>4500</v>
      </c>
      <c r="G866" s="3" t="s">
        <v>1100</v>
      </c>
      <c r="H866" s="3" t="str">
        <f t="shared" si="14"/>
        <v>Output Riser S-A Load PT3, computed by BMT WinMon.</v>
      </c>
    </row>
    <row r="867" spans="1:8" x14ac:dyDescent="0.25">
      <c r="A867" s="3" t="s">
        <v>6983</v>
      </c>
      <c r="B867" s="3" t="s">
        <v>6992</v>
      </c>
      <c r="C867" s="3" t="s">
        <v>6985</v>
      </c>
      <c r="D867" s="3" t="s">
        <v>6325</v>
      </c>
      <c r="E867" s="3">
        <v>866</v>
      </c>
      <c r="F867" s="3" t="s">
        <v>4501</v>
      </c>
      <c r="G867" s="3" t="s">
        <v>1100</v>
      </c>
      <c r="H867" s="3" t="str">
        <f t="shared" si="14"/>
        <v>Output Riser S-A Load PT4, computed by BMT WinMon.</v>
      </c>
    </row>
    <row r="868" spans="1:8" x14ac:dyDescent="0.25">
      <c r="A868" s="3" t="s">
        <v>6983</v>
      </c>
      <c r="B868" s="3" t="s">
        <v>6992</v>
      </c>
      <c r="C868" s="3" t="s">
        <v>6985</v>
      </c>
      <c r="D868" s="3" t="s">
        <v>6325</v>
      </c>
      <c r="E868" s="3">
        <v>867</v>
      </c>
      <c r="F868" s="3" t="s">
        <v>4502</v>
      </c>
      <c r="G868" s="3" t="s">
        <v>3842</v>
      </c>
      <c r="H868" s="3" t="str">
        <f t="shared" si="14"/>
        <v>Output Riser S-A PT1 Diff, computed by BMT WinMon.</v>
      </c>
    </row>
    <row r="869" spans="1:8" x14ac:dyDescent="0.25">
      <c r="A869" s="3" t="s">
        <v>6983</v>
      </c>
      <c r="B869" s="3" t="s">
        <v>6992</v>
      </c>
      <c r="C869" s="3" t="s">
        <v>6985</v>
      </c>
      <c r="D869" s="3" t="s">
        <v>6325</v>
      </c>
      <c r="E869" s="3">
        <v>868</v>
      </c>
      <c r="F869" s="3" t="s">
        <v>4503</v>
      </c>
      <c r="G869" s="3" t="s">
        <v>3842</v>
      </c>
      <c r="H869" s="3" t="str">
        <f t="shared" si="14"/>
        <v>Output Riser S-A PT2 Diff, computed by BMT WinMon.</v>
      </c>
    </row>
    <row r="870" spans="1:8" x14ac:dyDescent="0.25">
      <c r="A870" s="3" t="s">
        <v>6983</v>
      </c>
      <c r="B870" s="3" t="s">
        <v>6992</v>
      </c>
      <c r="C870" s="3" t="s">
        <v>6985</v>
      </c>
      <c r="D870" s="3" t="s">
        <v>6325</v>
      </c>
      <c r="E870" s="3">
        <v>869</v>
      </c>
      <c r="F870" s="3" t="s">
        <v>4504</v>
      </c>
      <c r="G870" s="3" t="s">
        <v>3842</v>
      </c>
      <c r="H870" s="3" t="str">
        <f t="shared" si="14"/>
        <v>Output Riser S-A PT3 Diff, computed by BMT WinMon.</v>
      </c>
    </row>
    <row r="871" spans="1:8" x14ac:dyDescent="0.25">
      <c r="A871" s="3" t="s">
        <v>6983</v>
      </c>
      <c r="B871" s="3" t="s">
        <v>6992</v>
      </c>
      <c r="C871" s="3" t="s">
        <v>6985</v>
      </c>
      <c r="D871" s="3" t="s">
        <v>6325</v>
      </c>
      <c r="E871" s="3">
        <v>870</v>
      </c>
      <c r="F871" s="3" t="s">
        <v>4505</v>
      </c>
      <c r="G871" s="3" t="s">
        <v>3842</v>
      </c>
      <c r="H871" s="3" t="str">
        <f t="shared" si="14"/>
        <v>Output Riser S-A PT4 Diff, computed by BMT WinMon.</v>
      </c>
    </row>
    <row r="872" spans="1:8" x14ac:dyDescent="0.25">
      <c r="A872" s="3" t="s">
        <v>6983</v>
      </c>
      <c r="B872" s="3" t="s">
        <v>6992</v>
      </c>
      <c r="C872" s="3" t="s">
        <v>6985</v>
      </c>
      <c r="D872" s="3" t="s">
        <v>6325</v>
      </c>
      <c r="E872" s="3">
        <v>871</v>
      </c>
      <c r="F872" s="3" t="s">
        <v>4506</v>
      </c>
      <c r="G872" s="3" t="s">
        <v>1100</v>
      </c>
      <c r="H872" s="3" t="str">
        <f t="shared" si="14"/>
        <v>Output Riser S-A Tension, computed by BMT WinMon.</v>
      </c>
    </row>
    <row r="873" spans="1:8" x14ac:dyDescent="0.25">
      <c r="A873" s="3" t="s">
        <v>6983</v>
      </c>
      <c r="B873" s="3" t="s">
        <v>6992</v>
      </c>
      <c r="C873" s="3" t="s">
        <v>6985</v>
      </c>
      <c r="D873" s="3" t="s">
        <v>6325</v>
      </c>
      <c r="E873" s="3">
        <v>872</v>
      </c>
      <c r="F873" s="3" t="s">
        <v>4507</v>
      </c>
      <c r="G873" s="3" t="s">
        <v>16</v>
      </c>
      <c r="H873" s="3" t="str">
        <f t="shared" si="14"/>
        <v>Output Riser S-A TF, computed by BMT WinMon.</v>
      </c>
    </row>
    <row r="874" spans="1:8" x14ac:dyDescent="0.25">
      <c r="A874" s="3" t="s">
        <v>6983</v>
      </c>
      <c r="B874" s="3" t="s">
        <v>6992</v>
      </c>
      <c r="C874" s="3" t="s">
        <v>6985</v>
      </c>
      <c r="D874" s="3" t="s">
        <v>6325</v>
      </c>
      <c r="E874" s="3">
        <v>873</v>
      </c>
      <c r="F874" s="3" t="s">
        <v>4508</v>
      </c>
      <c r="G874" s="3" t="s">
        <v>1093</v>
      </c>
      <c r="H874" s="3" t="str">
        <f t="shared" si="14"/>
        <v>Output Riser S-A Stroke Rel, computed by BMT WinMon.</v>
      </c>
    </row>
    <row r="875" spans="1:8" x14ac:dyDescent="0.25">
      <c r="A875" s="3" t="s">
        <v>6983</v>
      </c>
      <c r="B875" s="3" t="s">
        <v>6992</v>
      </c>
      <c r="C875" s="3" t="s">
        <v>6985</v>
      </c>
      <c r="D875" s="3" t="s">
        <v>6325</v>
      </c>
      <c r="E875" s="3">
        <v>874</v>
      </c>
      <c r="F875" s="3" t="s">
        <v>4509</v>
      </c>
      <c r="G875" s="3" t="s">
        <v>1100</v>
      </c>
      <c r="H875" s="3" t="str">
        <f t="shared" si="14"/>
        <v>Output Riser S-B Load PT1, computed by BMT WinMon.</v>
      </c>
    </row>
    <row r="876" spans="1:8" x14ac:dyDescent="0.25">
      <c r="A876" s="3" t="s">
        <v>6983</v>
      </c>
      <c r="B876" s="3" t="s">
        <v>6992</v>
      </c>
      <c r="C876" s="3" t="s">
        <v>6985</v>
      </c>
      <c r="D876" s="3" t="s">
        <v>6325</v>
      </c>
      <c r="E876" s="3">
        <v>875</v>
      </c>
      <c r="F876" s="3" t="s">
        <v>4510</v>
      </c>
      <c r="G876" s="3" t="s">
        <v>1100</v>
      </c>
      <c r="H876" s="3" t="str">
        <f t="shared" si="14"/>
        <v>Output Riser S-B Load PT2, computed by BMT WinMon.</v>
      </c>
    </row>
    <row r="877" spans="1:8" x14ac:dyDescent="0.25">
      <c r="A877" s="3" t="s">
        <v>6983</v>
      </c>
      <c r="B877" s="3" t="s">
        <v>6992</v>
      </c>
      <c r="C877" s="3" t="s">
        <v>6985</v>
      </c>
      <c r="D877" s="3" t="s">
        <v>6325</v>
      </c>
      <c r="E877" s="3">
        <v>876</v>
      </c>
      <c r="F877" s="3" t="s">
        <v>4511</v>
      </c>
      <c r="G877" s="3" t="s">
        <v>1100</v>
      </c>
      <c r="H877" s="3" t="str">
        <f t="shared" si="14"/>
        <v>Output Riser S-B Load PT3, computed by BMT WinMon.</v>
      </c>
    </row>
    <row r="878" spans="1:8" x14ac:dyDescent="0.25">
      <c r="A878" s="3" t="s">
        <v>6983</v>
      </c>
      <c r="B878" s="3" t="s">
        <v>6992</v>
      </c>
      <c r="C878" s="3" t="s">
        <v>6985</v>
      </c>
      <c r="D878" s="3" t="s">
        <v>6325</v>
      </c>
      <c r="E878" s="3">
        <v>877</v>
      </c>
      <c r="F878" s="3" t="s">
        <v>4512</v>
      </c>
      <c r="G878" s="3" t="s">
        <v>1100</v>
      </c>
      <c r="H878" s="3" t="str">
        <f t="shared" si="14"/>
        <v>Output Riser S-B Load PT4, computed by BMT WinMon.</v>
      </c>
    </row>
    <row r="879" spans="1:8" x14ac:dyDescent="0.25">
      <c r="A879" s="3" t="s">
        <v>6983</v>
      </c>
      <c r="B879" s="3" t="s">
        <v>6992</v>
      </c>
      <c r="C879" s="3" t="s">
        <v>6985</v>
      </c>
      <c r="D879" s="3" t="s">
        <v>6325</v>
      </c>
      <c r="E879" s="3">
        <v>878</v>
      </c>
      <c r="F879" s="3" t="s">
        <v>4513</v>
      </c>
      <c r="G879" s="3" t="s">
        <v>3842</v>
      </c>
      <c r="H879" s="3" t="str">
        <f t="shared" si="14"/>
        <v>Output Riser S-B PT1 Diff, computed by BMT WinMon.</v>
      </c>
    </row>
    <row r="880" spans="1:8" x14ac:dyDescent="0.25">
      <c r="A880" s="3" t="s">
        <v>6983</v>
      </c>
      <c r="B880" s="3" t="s">
        <v>6992</v>
      </c>
      <c r="C880" s="3" t="s">
        <v>6985</v>
      </c>
      <c r="D880" s="3" t="s">
        <v>6325</v>
      </c>
      <c r="E880" s="3">
        <v>879</v>
      </c>
      <c r="F880" s="3" t="s">
        <v>4514</v>
      </c>
      <c r="G880" s="3" t="s">
        <v>3842</v>
      </c>
      <c r="H880" s="3" t="str">
        <f t="shared" si="14"/>
        <v>Output Riser S-B PT2 Diff, computed by BMT WinMon.</v>
      </c>
    </row>
    <row r="881" spans="1:8" x14ac:dyDescent="0.25">
      <c r="A881" s="3" t="s">
        <v>6983</v>
      </c>
      <c r="B881" s="3" t="s">
        <v>6992</v>
      </c>
      <c r="C881" s="3" t="s">
        <v>6985</v>
      </c>
      <c r="D881" s="3" t="s">
        <v>6325</v>
      </c>
      <c r="E881" s="3">
        <v>880</v>
      </c>
      <c r="F881" s="3" t="s">
        <v>4515</v>
      </c>
      <c r="G881" s="3" t="s">
        <v>3842</v>
      </c>
      <c r="H881" s="3" t="str">
        <f t="shared" si="14"/>
        <v>Output Riser S-B PT3 Diff, computed by BMT WinMon.</v>
      </c>
    </row>
    <row r="882" spans="1:8" x14ac:dyDescent="0.25">
      <c r="A882" s="3" t="s">
        <v>6983</v>
      </c>
      <c r="B882" s="3" t="s">
        <v>6992</v>
      </c>
      <c r="C882" s="3" t="s">
        <v>6985</v>
      </c>
      <c r="D882" s="3" t="s">
        <v>6325</v>
      </c>
      <c r="E882" s="3">
        <v>881</v>
      </c>
      <c r="F882" s="3" t="s">
        <v>4516</v>
      </c>
      <c r="G882" s="3" t="s">
        <v>3842</v>
      </c>
      <c r="H882" s="3" t="str">
        <f t="shared" si="14"/>
        <v>Output Riser S-B PT4 Diff, computed by BMT WinMon.</v>
      </c>
    </row>
    <row r="883" spans="1:8" x14ac:dyDescent="0.25">
      <c r="A883" s="3" t="s">
        <v>6983</v>
      </c>
      <c r="B883" s="3" t="s">
        <v>6992</v>
      </c>
      <c r="C883" s="3" t="s">
        <v>6985</v>
      </c>
      <c r="D883" s="3" t="s">
        <v>6325</v>
      </c>
      <c r="E883" s="3">
        <v>882</v>
      </c>
      <c r="F883" s="3" t="s">
        <v>4517</v>
      </c>
      <c r="G883" s="3" t="s">
        <v>1100</v>
      </c>
      <c r="H883" s="3" t="str">
        <f t="shared" si="14"/>
        <v>Output Riser S-B Tension, computed by BMT WinMon.</v>
      </c>
    </row>
    <row r="884" spans="1:8" x14ac:dyDescent="0.25">
      <c r="A884" s="3" t="s">
        <v>6983</v>
      </c>
      <c r="B884" s="3" t="s">
        <v>6992</v>
      </c>
      <c r="C884" s="3" t="s">
        <v>6985</v>
      </c>
      <c r="D884" s="3" t="s">
        <v>6325</v>
      </c>
      <c r="E884" s="3">
        <v>883</v>
      </c>
      <c r="F884" s="3" t="s">
        <v>4518</v>
      </c>
      <c r="G884" s="3" t="s">
        <v>16</v>
      </c>
      <c r="H884" s="3" t="str">
        <f t="shared" si="14"/>
        <v>Output Riser S-B TF, computed by BMT WinMon.</v>
      </c>
    </row>
    <row r="885" spans="1:8" x14ac:dyDescent="0.25">
      <c r="A885" s="3" t="s">
        <v>6983</v>
      </c>
      <c r="B885" s="3" t="s">
        <v>6992</v>
      </c>
      <c r="C885" s="3" t="s">
        <v>6985</v>
      </c>
      <c r="D885" s="3" t="s">
        <v>6325</v>
      </c>
      <c r="E885" s="3">
        <v>884</v>
      </c>
      <c r="F885" s="3" t="s">
        <v>4519</v>
      </c>
      <c r="G885" s="3" t="s">
        <v>1093</v>
      </c>
      <c r="H885" s="3" t="str">
        <f t="shared" si="14"/>
        <v>Output Riser S-B Stroke Rel, computed by BMT WinMon.</v>
      </c>
    </row>
    <row r="886" spans="1:8" x14ac:dyDescent="0.25">
      <c r="A886" s="3" t="s">
        <v>6983</v>
      </c>
      <c r="B886" s="3" t="s">
        <v>6992</v>
      </c>
      <c r="C886" s="3" t="s">
        <v>6985</v>
      </c>
      <c r="D886" s="3" t="s">
        <v>6325</v>
      </c>
      <c r="E886" s="3">
        <v>885</v>
      </c>
      <c r="F886" s="3" t="s">
        <v>4520</v>
      </c>
      <c r="G886" s="3" t="s">
        <v>1100</v>
      </c>
      <c r="H886" s="3" t="str">
        <f t="shared" si="14"/>
        <v>Output Riser S-C Load PT1, computed by BMT WinMon.</v>
      </c>
    </row>
    <row r="887" spans="1:8" x14ac:dyDescent="0.25">
      <c r="A887" s="3" t="s">
        <v>6983</v>
      </c>
      <c r="B887" s="3" t="s">
        <v>6992</v>
      </c>
      <c r="C887" s="3" t="s">
        <v>6985</v>
      </c>
      <c r="D887" s="3" t="s">
        <v>6325</v>
      </c>
      <c r="E887" s="3">
        <v>886</v>
      </c>
      <c r="F887" s="3" t="s">
        <v>4521</v>
      </c>
      <c r="G887" s="3" t="s">
        <v>1100</v>
      </c>
      <c r="H887" s="3" t="str">
        <f t="shared" si="14"/>
        <v>Output Riser S-C Load PT2, computed by BMT WinMon.</v>
      </c>
    </row>
    <row r="888" spans="1:8" x14ac:dyDescent="0.25">
      <c r="A888" s="3" t="s">
        <v>6983</v>
      </c>
      <c r="B888" s="3" t="s">
        <v>6992</v>
      </c>
      <c r="C888" s="3" t="s">
        <v>6985</v>
      </c>
      <c r="D888" s="3" t="s">
        <v>6325</v>
      </c>
      <c r="E888" s="3">
        <v>887</v>
      </c>
      <c r="F888" s="3" t="s">
        <v>4522</v>
      </c>
      <c r="G888" s="3" t="s">
        <v>1100</v>
      </c>
      <c r="H888" s="3" t="str">
        <f t="shared" si="14"/>
        <v>Output Riser S-C Load PT3, computed by BMT WinMon.</v>
      </c>
    </row>
    <row r="889" spans="1:8" x14ac:dyDescent="0.25">
      <c r="A889" s="3" t="s">
        <v>6983</v>
      </c>
      <c r="B889" s="3" t="s">
        <v>6992</v>
      </c>
      <c r="C889" s="3" t="s">
        <v>6985</v>
      </c>
      <c r="D889" s="3" t="s">
        <v>6325</v>
      </c>
      <c r="E889" s="3">
        <v>888</v>
      </c>
      <c r="F889" s="3" t="s">
        <v>4523</v>
      </c>
      <c r="G889" s="3" t="s">
        <v>1100</v>
      </c>
      <c r="H889" s="3" t="str">
        <f t="shared" si="14"/>
        <v>Output Riser S-C Load PT4, computed by BMT WinMon.</v>
      </c>
    </row>
    <row r="890" spans="1:8" x14ac:dyDescent="0.25">
      <c r="A890" s="3" t="s">
        <v>6983</v>
      </c>
      <c r="B890" s="3" t="s">
        <v>6992</v>
      </c>
      <c r="C890" s="3" t="s">
        <v>6985</v>
      </c>
      <c r="D890" s="3" t="s">
        <v>6325</v>
      </c>
      <c r="E890" s="3">
        <v>889</v>
      </c>
      <c r="F890" s="3" t="s">
        <v>4524</v>
      </c>
      <c r="G890" s="3" t="s">
        <v>3842</v>
      </c>
      <c r="H890" s="3" t="str">
        <f t="shared" si="14"/>
        <v>Output Riser S-C PT1 Diff, computed by BMT WinMon.</v>
      </c>
    </row>
    <row r="891" spans="1:8" x14ac:dyDescent="0.25">
      <c r="A891" s="3" t="s">
        <v>6983</v>
      </c>
      <c r="B891" s="3" t="s">
        <v>6992</v>
      </c>
      <c r="C891" s="3" t="s">
        <v>6985</v>
      </c>
      <c r="D891" s="3" t="s">
        <v>6325</v>
      </c>
      <c r="E891" s="3">
        <v>890</v>
      </c>
      <c r="F891" s="3" t="s">
        <v>4525</v>
      </c>
      <c r="G891" s="3" t="s">
        <v>3842</v>
      </c>
      <c r="H891" s="3" t="str">
        <f t="shared" si="14"/>
        <v>Output Riser S-C PT2 Diff, computed by BMT WinMon.</v>
      </c>
    </row>
    <row r="892" spans="1:8" x14ac:dyDescent="0.25">
      <c r="A892" s="3" t="s">
        <v>6983</v>
      </c>
      <c r="B892" s="3" t="s">
        <v>6992</v>
      </c>
      <c r="C892" s="3" t="s">
        <v>6985</v>
      </c>
      <c r="D892" s="3" t="s">
        <v>6325</v>
      </c>
      <c r="E892" s="3">
        <v>891</v>
      </c>
      <c r="F892" s="3" t="s">
        <v>4526</v>
      </c>
      <c r="G892" s="3" t="s">
        <v>3842</v>
      </c>
      <c r="H892" s="3" t="str">
        <f t="shared" si="14"/>
        <v>Output Riser S-C PT3 Diff, computed by BMT WinMon.</v>
      </c>
    </row>
    <row r="893" spans="1:8" x14ac:dyDescent="0.25">
      <c r="A893" s="3" t="s">
        <v>6983</v>
      </c>
      <c r="B893" s="3" t="s">
        <v>6992</v>
      </c>
      <c r="C893" s="3" t="s">
        <v>6985</v>
      </c>
      <c r="D893" s="3" t="s">
        <v>6325</v>
      </c>
      <c r="E893" s="3">
        <v>892</v>
      </c>
      <c r="F893" s="3" t="s">
        <v>4527</v>
      </c>
      <c r="G893" s="3" t="s">
        <v>3842</v>
      </c>
      <c r="H893" s="3" t="str">
        <f t="shared" si="14"/>
        <v>Output Riser S-C PT4 Diff, computed by BMT WinMon.</v>
      </c>
    </row>
    <row r="894" spans="1:8" x14ac:dyDescent="0.25">
      <c r="A894" s="3" t="s">
        <v>6983</v>
      </c>
      <c r="B894" s="3" t="s">
        <v>6992</v>
      </c>
      <c r="C894" s="3" t="s">
        <v>6985</v>
      </c>
      <c r="D894" s="3" t="s">
        <v>6325</v>
      </c>
      <c r="E894" s="3">
        <v>893</v>
      </c>
      <c r="F894" s="3" t="s">
        <v>4528</v>
      </c>
      <c r="G894" s="3" t="s">
        <v>1100</v>
      </c>
      <c r="H894" s="3" t="str">
        <f t="shared" si="14"/>
        <v>Output Riser S-C Tension, computed by BMT WinMon.</v>
      </c>
    </row>
    <row r="895" spans="1:8" x14ac:dyDescent="0.25">
      <c r="A895" s="3" t="s">
        <v>6983</v>
      </c>
      <c r="B895" s="3" t="s">
        <v>6992</v>
      </c>
      <c r="C895" s="3" t="s">
        <v>6985</v>
      </c>
      <c r="D895" s="3" t="s">
        <v>6325</v>
      </c>
      <c r="E895" s="3">
        <v>894</v>
      </c>
      <c r="F895" s="3" t="s">
        <v>4529</v>
      </c>
      <c r="G895" s="3" t="s">
        <v>16</v>
      </c>
      <c r="H895" s="3" t="str">
        <f t="shared" si="14"/>
        <v>Output Riser S-C TF, computed by BMT WinMon.</v>
      </c>
    </row>
    <row r="896" spans="1:8" x14ac:dyDescent="0.25">
      <c r="A896" s="3" t="s">
        <v>6983</v>
      </c>
      <c r="B896" s="3" t="s">
        <v>6992</v>
      </c>
      <c r="C896" s="3" t="s">
        <v>6985</v>
      </c>
      <c r="D896" s="3" t="s">
        <v>6325</v>
      </c>
      <c r="E896" s="3">
        <v>895</v>
      </c>
      <c r="F896" s="3" t="s">
        <v>4530</v>
      </c>
      <c r="G896" s="3" t="s">
        <v>1093</v>
      </c>
      <c r="H896" s="3" t="str">
        <f t="shared" si="14"/>
        <v>Output Riser S-C Stroke Rel, computed by BMT WinMon.</v>
      </c>
    </row>
    <row r="897" spans="1:8" x14ac:dyDescent="0.25">
      <c r="A897" s="3" t="s">
        <v>6983</v>
      </c>
      <c r="B897" s="3" t="s">
        <v>6992</v>
      </c>
      <c r="C897" s="3" t="s">
        <v>6985</v>
      </c>
      <c r="D897" s="3" t="s">
        <v>6325</v>
      </c>
      <c r="E897" s="3">
        <v>896</v>
      </c>
      <c r="F897" s="3" t="s">
        <v>4531</v>
      </c>
      <c r="G897" s="3" t="s">
        <v>1100</v>
      </c>
      <c r="H897" s="3" t="str">
        <f t="shared" si="14"/>
        <v>Output Riser S-D Load PT1, computed by BMT WinMon.</v>
      </c>
    </row>
    <row r="898" spans="1:8" x14ac:dyDescent="0.25">
      <c r="A898" s="3" t="s">
        <v>6983</v>
      </c>
      <c r="B898" s="3" t="s">
        <v>6992</v>
      </c>
      <c r="C898" s="3" t="s">
        <v>6985</v>
      </c>
      <c r="D898" s="3" t="s">
        <v>6325</v>
      </c>
      <c r="E898" s="3">
        <v>897</v>
      </c>
      <c r="F898" s="3" t="s">
        <v>4532</v>
      </c>
      <c r="G898" s="3" t="s">
        <v>1100</v>
      </c>
      <c r="H898" s="3" t="str">
        <f t="shared" si="14"/>
        <v>Output Riser S-D Load PT2, computed by BMT WinMon.</v>
      </c>
    </row>
    <row r="899" spans="1:8" x14ac:dyDescent="0.25">
      <c r="A899" s="3" t="s">
        <v>6983</v>
      </c>
      <c r="B899" s="3" t="s">
        <v>6992</v>
      </c>
      <c r="C899" s="3" t="s">
        <v>6985</v>
      </c>
      <c r="D899" s="3" t="s">
        <v>6325</v>
      </c>
      <c r="E899" s="3">
        <v>898</v>
      </c>
      <c r="F899" s="3" t="s">
        <v>4533</v>
      </c>
      <c r="G899" s="3" t="s">
        <v>1100</v>
      </c>
      <c r="H899" s="3" t="str">
        <f t="shared" si="14"/>
        <v>Output Riser S-D Load PT3, computed by BMT WinMon.</v>
      </c>
    </row>
    <row r="900" spans="1:8" x14ac:dyDescent="0.25">
      <c r="A900" s="3" t="s">
        <v>6983</v>
      </c>
      <c r="B900" s="3" t="s">
        <v>6992</v>
      </c>
      <c r="C900" s="3" t="s">
        <v>6985</v>
      </c>
      <c r="D900" s="3" t="s">
        <v>6325</v>
      </c>
      <c r="E900" s="3">
        <v>899</v>
      </c>
      <c r="F900" s="3" t="s">
        <v>4534</v>
      </c>
      <c r="G900" s="3" t="s">
        <v>1100</v>
      </c>
      <c r="H900" s="3" t="str">
        <f t="shared" si="14"/>
        <v>Output Riser S-D Load PT4, computed by BMT WinMon.</v>
      </c>
    </row>
    <row r="901" spans="1:8" x14ac:dyDescent="0.25">
      <c r="A901" s="3" t="s">
        <v>6983</v>
      </c>
      <c r="B901" s="3" t="s">
        <v>6992</v>
      </c>
      <c r="C901" s="3" t="s">
        <v>6985</v>
      </c>
      <c r="D901" s="3" t="s">
        <v>6325</v>
      </c>
      <c r="E901" s="3">
        <v>900</v>
      </c>
      <c r="F901" s="3" t="s">
        <v>4535</v>
      </c>
      <c r="G901" s="3" t="s">
        <v>3842</v>
      </c>
      <c r="H901" s="3" t="str">
        <f t="shared" si="14"/>
        <v>Output Riser S-D PT1 Diff, computed by BMT WinMon.</v>
      </c>
    </row>
    <row r="902" spans="1:8" x14ac:dyDescent="0.25">
      <c r="A902" s="3" t="s">
        <v>6983</v>
      </c>
      <c r="B902" s="3" t="s">
        <v>6992</v>
      </c>
      <c r="C902" s="3" t="s">
        <v>6985</v>
      </c>
      <c r="D902" s="3" t="s">
        <v>6325</v>
      </c>
      <c r="E902" s="3">
        <v>901</v>
      </c>
      <c r="F902" s="3" t="s">
        <v>4536</v>
      </c>
      <c r="G902" s="3" t="s">
        <v>3842</v>
      </c>
      <c r="H902" s="3" t="str">
        <f t="shared" si="14"/>
        <v>Output Riser S-D PT2 Diff, computed by BMT WinMon.</v>
      </c>
    </row>
    <row r="903" spans="1:8" x14ac:dyDescent="0.25">
      <c r="A903" s="3" t="s">
        <v>6983</v>
      </c>
      <c r="B903" s="3" t="s">
        <v>6992</v>
      </c>
      <c r="C903" s="3" t="s">
        <v>6985</v>
      </c>
      <c r="D903" s="3" t="s">
        <v>6325</v>
      </c>
      <c r="E903" s="3">
        <v>902</v>
      </c>
      <c r="F903" s="3" t="s">
        <v>4537</v>
      </c>
      <c r="G903" s="3" t="s">
        <v>3842</v>
      </c>
      <c r="H903" s="3" t="str">
        <f t="shared" si="14"/>
        <v>Output Riser S-D PT3 Diff, computed by BMT WinMon.</v>
      </c>
    </row>
    <row r="904" spans="1:8" x14ac:dyDescent="0.25">
      <c r="A904" s="3" t="s">
        <v>6983</v>
      </c>
      <c r="B904" s="3" t="s">
        <v>6992</v>
      </c>
      <c r="C904" s="3" t="s">
        <v>6985</v>
      </c>
      <c r="D904" s="3" t="s">
        <v>6325</v>
      </c>
      <c r="E904" s="3">
        <v>903</v>
      </c>
      <c r="F904" s="3" t="s">
        <v>4538</v>
      </c>
      <c r="G904" s="3" t="s">
        <v>3842</v>
      </c>
      <c r="H904" s="3" t="str">
        <f t="shared" si="14"/>
        <v>Output Riser S-D PT4 Diff, computed by BMT WinMon.</v>
      </c>
    </row>
    <row r="905" spans="1:8" x14ac:dyDescent="0.25">
      <c r="A905" s="3" t="s">
        <v>6983</v>
      </c>
      <c r="B905" s="3" t="s">
        <v>6992</v>
      </c>
      <c r="C905" s="3" t="s">
        <v>6985</v>
      </c>
      <c r="D905" s="3" t="s">
        <v>6325</v>
      </c>
      <c r="E905" s="3">
        <v>904</v>
      </c>
      <c r="F905" s="3" t="s">
        <v>4539</v>
      </c>
      <c r="G905" s="3" t="s">
        <v>1100</v>
      </c>
      <c r="H905" s="3" t="str">
        <f t="shared" si="14"/>
        <v>Output Riser S-D Tension, computed by BMT WinMon.</v>
      </c>
    </row>
    <row r="906" spans="1:8" x14ac:dyDescent="0.25">
      <c r="A906" s="3" t="s">
        <v>6983</v>
      </c>
      <c r="B906" s="3" t="s">
        <v>6992</v>
      </c>
      <c r="C906" s="3" t="s">
        <v>6985</v>
      </c>
      <c r="D906" s="3" t="s">
        <v>6325</v>
      </c>
      <c r="E906" s="3">
        <v>905</v>
      </c>
      <c r="F906" s="3" t="s">
        <v>4540</v>
      </c>
      <c r="G906" s="3" t="s">
        <v>16</v>
      </c>
      <c r="H906" s="3" t="str">
        <f t="shared" si="14"/>
        <v>Output Riser S-D TF, computed by BMT WinMon.</v>
      </c>
    </row>
    <row r="907" spans="1:8" x14ac:dyDescent="0.25">
      <c r="A907" s="3" t="s">
        <v>6983</v>
      </c>
      <c r="B907" s="3" t="s">
        <v>6992</v>
      </c>
      <c r="C907" s="3" t="s">
        <v>6985</v>
      </c>
      <c r="D907" s="3" t="s">
        <v>6325</v>
      </c>
      <c r="E907" s="3">
        <v>906</v>
      </c>
      <c r="F907" s="3" t="s">
        <v>4541</v>
      </c>
      <c r="G907" s="3" t="s">
        <v>1093</v>
      </c>
      <c r="H907" s="3" t="str">
        <f t="shared" si="14"/>
        <v>Output Riser S-D Stroke Rel, computed by BMT WinMon.</v>
      </c>
    </row>
    <row r="908" spans="1:8" x14ac:dyDescent="0.25">
      <c r="A908" s="3" t="s">
        <v>6983</v>
      </c>
      <c r="B908" s="3" t="s">
        <v>6992</v>
      </c>
      <c r="C908" s="3" t="s">
        <v>6985</v>
      </c>
      <c r="D908" s="3" t="s">
        <v>6325</v>
      </c>
      <c r="E908" s="3">
        <v>907</v>
      </c>
      <c r="F908" s="3" t="s">
        <v>4542</v>
      </c>
      <c r="G908" s="3" t="s">
        <v>1100</v>
      </c>
      <c r="H908" s="3" t="str">
        <f t="shared" si="14"/>
        <v>Output Riser S-E Load PT1, computed by BMT WinMon.</v>
      </c>
    </row>
    <row r="909" spans="1:8" x14ac:dyDescent="0.25">
      <c r="A909" s="3" t="s">
        <v>6983</v>
      </c>
      <c r="B909" s="3" t="s">
        <v>6992</v>
      </c>
      <c r="C909" s="3" t="s">
        <v>6985</v>
      </c>
      <c r="D909" s="3" t="s">
        <v>6325</v>
      </c>
      <c r="E909" s="3">
        <v>908</v>
      </c>
      <c r="F909" s="3" t="s">
        <v>4543</v>
      </c>
      <c r="G909" s="3" t="s">
        <v>1100</v>
      </c>
      <c r="H909" s="3" t="str">
        <f t="shared" si="14"/>
        <v>Output Riser S-E Load PT2, computed by BMT WinMon.</v>
      </c>
    </row>
    <row r="910" spans="1:8" x14ac:dyDescent="0.25">
      <c r="A910" s="3" t="s">
        <v>6983</v>
      </c>
      <c r="B910" s="3" t="s">
        <v>6992</v>
      </c>
      <c r="C910" s="3" t="s">
        <v>6985</v>
      </c>
      <c r="D910" s="3" t="s">
        <v>6325</v>
      </c>
      <c r="E910" s="3">
        <v>909</v>
      </c>
      <c r="F910" s="3" t="s">
        <v>4544</v>
      </c>
      <c r="G910" s="3" t="s">
        <v>1100</v>
      </c>
      <c r="H910" s="3" t="str">
        <f t="shared" si="14"/>
        <v>Output Riser S-E Load PT3, computed by BMT WinMon.</v>
      </c>
    </row>
    <row r="911" spans="1:8" x14ac:dyDescent="0.25">
      <c r="A911" s="3" t="s">
        <v>6983</v>
      </c>
      <c r="B911" s="3" t="s">
        <v>6992</v>
      </c>
      <c r="C911" s="3" t="s">
        <v>6985</v>
      </c>
      <c r="D911" s="3" t="s">
        <v>6325</v>
      </c>
      <c r="E911" s="3">
        <v>910</v>
      </c>
      <c r="F911" s="3" t="s">
        <v>4545</v>
      </c>
      <c r="G911" s="3" t="s">
        <v>1100</v>
      </c>
      <c r="H911" s="3" t="str">
        <f t="shared" si="14"/>
        <v>Output Riser S-E Load PT4, computed by BMT WinMon.</v>
      </c>
    </row>
    <row r="912" spans="1:8" x14ac:dyDescent="0.25">
      <c r="A912" s="3" t="s">
        <v>6983</v>
      </c>
      <c r="B912" s="3" t="s">
        <v>6992</v>
      </c>
      <c r="C912" s="3" t="s">
        <v>6985</v>
      </c>
      <c r="D912" s="3" t="s">
        <v>6325</v>
      </c>
      <c r="E912" s="3">
        <v>911</v>
      </c>
      <c r="F912" s="3" t="s">
        <v>4546</v>
      </c>
      <c r="G912" s="3" t="s">
        <v>3842</v>
      </c>
      <c r="H912" s="3" t="str">
        <f t="shared" si="14"/>
        <v>Output Riser S-E PT1 Diff, computed by BMT WinMon.</v>
      </c>
    </row>
    <row r="913" spans="1:8" x14ac:dyDescent="0.25">
      <c r="A913" s="3" t="s">
        <v>6983</v>
      </c>
      <c r="B913" s="3" t="s">
        <v>6992</v>
      </c>
      <c r="C913" s="3" t="s">
        <v>6985</v>
      </c>
      <c r="D913" s="3" t="s">
        <v>6325</v>
      </c>
      <c r="E913" s="3">
        <v>912</v>
      </c>
      <c r="F913" s="3" t="s">
        <v>4547</v>
      </c>
      <c r="G913" s="3" t="s">
        <v>3842</v>
      </c>
      <c r="H913" s="3" t="str">
        <f t="shared" si="14"/>
        <v>Output Riser S-E PT2 Diff, computed by BMT WinMon.</v>
      </c>
    </row>
    <row r="914" spans="1:8" x14ac:dyDescent="0.25">
      <c r="A914" s="3" t="s">
        <v>6983</v>
      </c>
      <c r="B914" s="3" t="s">
        <v>6992</v>
      </c>
      <c r="C914" s="3" t="s">
        <v>6985</v>
      </c>
      <c r="D914" s="3" t="s">
        <v>6325</v>
      </c>
      <c r="E914" s="3">
        <v>913</v>
      </c>
      <c r="F914" s="3" t="s">
        <v>4548</v>
      </c>
      <c r="G914" s="3" t="s">
        <v>3842</v>
      </c>
      <c r="H914" s="3" t="str">
        <f t="shared" si="14"/>
        <v>Output Riser S-E PT3 Diff, computed by BMT WinMon.</v>
      </c>
    </row>
    <row r="915" spans="1:8" x14ac:dyDescent="0.25">
      <c r="A915" s="3" t="s">
        <v>6983</v>
      </c>
      <c r="B915" s="3" t="s">
        <v>6992</v>
      </c>
      <c r="C915" s="3" t="s">
        <v>6985</v>
      </c>
      <c r="D915" s="3" t="s">
        <v>6325</v>
      </c>
      <c r="E915" s="3">
        <v>914</v>
      </c>
      <c r="F915" s="3" t="s">
        <v>4549</v>
      </c>
      <c r="G915" s="3" t="s">
        <v>3842</v>
      </c>
      <c r="H915" s="3" t="str">
        <f t="shared" si="14"/>
        <v>Output Riser S-E PT4 Diff, computed by BMT WinMon.</v>
      </c>
    </row>
    <row r="916" spans="1:8" x14ac:dyDescent="0.25">
      <c r="A916" s="3" t="s">
        <v>6983</v>
      </c>
      <c r="B916" s="3" t="s">
        <v>6992</v>
      </c>
      <c r="C916" s="3" t="s">
        <v>6985</v>
      </c>
      <c r="D916" s="3" t="s">
        <v>6325</v>
      </c>
      <c r="E916" s="3">
        <v>915</v>
      </c>
      <c r="F916" s="3" t="s">
        <v>4550</v>
      </c>
      <c r="G916" s="3" t="s">
        <v>1100</v>
      </c>
      <c r="H916" s="3" t="str">
        <f t="shared" si="14"/>
        <v>Output Riser S-E Tension, computed by BMT WinMon.</v>
      </c>
    </row>
    <row r="917" spans="1:8" x14ac:dyDescent="0.25">
      <c r="A917" s="3" t="s">
        <v>6983</v>
      </c>
      <c r="B917" s="3" t="s">
        <v>6992</v>
      </c>
      <c r="C917" s="3" t="s">
        <v>6985</v>
      </c>
      <c r="D917" s="3" t="s">
        <v>6325</v>
      </c>
      <c r="E917" s="3">
        <v>916</v>
      </c>
      <c r="F917" s="3" t="s">
        <v>4551</v>
      </c>
      <c r="G917" s="3" t="s">
        <v>16</v>
      </c>
      <c r="H917" s="3" t="str">
        <f t="shared" si="14"/>
        <v>Output Riser S-E TF, computed by BMT WinMon.</v>
      </c>
    </row>
    <row r="918" spans="1:8" x14ac:dyDescent="0.25">
      <c r="A918" s="3" t="s">
        <v>6983</v>
      </c>
      <c r="B918" s="3" t="s">
        <v>6992</v>
      </c>
      <c r="C918" s="3" t="s">
        <v>6985</v>
      </c>
      <c r="D918" s="3" t="s">
        <v>6325</v>
      </c>
      <c r="E918" s="3">
        <v>917</v>
      </c>
      <c r="F918" s="3" t="s">
        <v>4552</v>
      </c>
      <c r="G918" s="3" t="s">
        <v>1093</v>
      </c>
      <c r="H918" s="3" t="str">
        <f t="shared" si="14"/>
        <v>Output Riser S-E Stroke Rel, computed by BMT WinMon.</v>
      </c>
    </row>
    <row r="919" spans="1:8" x14ac:dyDescent="0.25">
      <c r="A919" s="3" t="s">
        <v>6983</v>
      </c>
      <c r="B919" s="3" t="s">
        <v>6992</v>
      </c>
      <c r="C919" s="3" t="s">
        <v>6985</v>
      </c>
      <c r="D919" s="3" t="s">
        <v>6325</v>
      </c>
      <c r="E919" s="3">
        <v>918</v>
      </c>
      <c r="F919" s="3" t="s">
        <v>4553</v>
      </c>
      <c r="G919" s="3" t="s">
        <v>1100</v>
      </c>
      <c r="H919" s="3" t="str">
        <f t="shared" si="14"/>
        <v>Output Riser S-DCR Load PT1, computed by BMT WinMon.</v>
      </c>
    </row>
    <row r="920" spans="1:8" x14ac:dyDescent="0.25">
      <c r="A920" s="3" t="s">
        <v>6983</v>
      </c>
      <c r="B920" s="3" t="s">
        <v>6992</v>
      </c>
      <c r="C920" s="3" t="s">
        <v>6985</v>
      </c>
      <c r="D920" s="3" t="s">
        <v>6325</v>
      </c>
      <c r="E920" s="3">
        <v>919</v>
      </c>
      <c r="F920" s="3" t="s">
        <v>4554</v>
      </c>
      <c r="G920" s="3" t="s">
        <v>1100</v>
      </c>
      <c r="H920" s="3" t="str">
        <f t="shared" si="14"/>
        <v>Output Riser S-DCR Load PT2, computed by BMT WinMon.</v>
      </c>
    </row>
    <row r="921" spans="1:8" x14ac:dyDescent="0.25">
      <c r="A921" s="3" t="s">
        <v>6983</v>
      </c>
      <c r="B921" s="3" t="s">
        <v>6992</v>
      </c>
      <c r="C921" s="3" t="s">
        <v>6985</v>
      </c>
      <c r="D921" s="3" t="s">
        <v>6325</v>
      </c>
      <c r="E921" s="3">
        <v>920</v>
      </c>
      <c r="F921" s="3" t="s">
        <v>4555</v>
      </c>
      <c r="G921" s="3" t="s">
        <v>1100</v>
      </c>
      <c r="H921" s="3" t="str">
        <f t="shared" si="14"/>
        <v>Output Riser S-DCR Load PT3, computed by BMT WinMon.</v>
      </c>
    </row>
    <row r="922" spans="1:8" x14ac:dyDescent="0.25">
      <c r="A922" s="3" t="s">
        <v>6983</v>
      </c>
      <c r="B922" s="3" t="s">
        <v>6992</v>
      </c>
      <c r="C922" s="3" t="s">
        <v>6985</v>
      </c>
      <c r="D922" s="3" t="s">
        <v>6325</v>
      </c>
      <c r="E922" s="3">
        <v>921</v>
      </c>
      <c r="F922" s="3" t="s">
        <v>4556</v>
      </c>
      <c r="G922" s="3" t="s">
        <v>1100</v>
      </c>
      <c r="H922" s="3" t="str">
        <f t="shared" si="14"/>
        <v>Output Riser S-DCR Load PT4, computed by BMT WinMon.</v>
      </c>
    </row>
    <row r="923" spans="1:8" x14ac:dyDescent="0.25">
      <c r="A923" s="3" t="s">
        <v>6983</v>
      </c>
      <c r="B923" s="3" t="s">
        <v>6992</v>
      </c>
      <c r="C923" s="3" t="s">
        <v>6985</v>
      </c>
      <c r="D923" s="3" t="s">
        <v>6325</v>
      </c>
      <c r="E923" s="3">
        <v>922</v>
      </c>
      <c r="F923" s="3" t="s">
        <v>4557</v>
      </c>
      <c r="G923" s="3" t="s">
        <v>3842</v>
      </c>
      <c r="H923" s="3" t="str">
        <f t="shared" si="14"/>
        <v>Output Riser S-DCR PT1 Diff, computed by BMT WinMon.</v>
      </c>
    </row>
    <row r="924" spans="1:8" x14ac:dyDescent="0.25">
      <c r="A924" s="3" t="s">
        <v>6983</v>
      </c>
      <c r="B924" s="3" t="s">
        <v>6992</v>
      </c>
      <c r="C924" s="3" t="s">
        <v>6985</v>
      </c>
      <c r="D924" s="3" t="s">
        <v>6325</v>
      </c>
      <c r="E924" s="3">
        <v>923</v>
      </c>
      <c r="F924" s="3" t="s">
        <v>4558</v>
      </c>
      <c r="G924" s="3" t="s">
        <v>3842</v>
      </c>
      <c r="H924" s="3" t="str">
        <f t="shared" si="14"/>
        <v>Output Riser S-DCR PT2 Diff, computed by BMT WinMon.</v>
      </c>
    </row>
    <row r="925" spans="1:8" x14ac:dyDescent="0.25">
      <c r="A925" s="3" t="s">
        <v>6983</v>
      </c>
      <c r="B925" s="3" t="s">
        <v>6992</v>
      </c>
      <c r="C925" s="3" t="s">
        <v>6985</v>
      </c>
      <c r="D925" s="3" t="s">
        <v>6325</v>
      </c>
      <c r="E925" s="3">
        <v>924</v>
      </c>
      <c r="F925" s="3" t="s">
        <v>4559</v>
      </c>
      <c r="G925" s="3" t="s">
        <v>3842</v>
      </c>
      <c r="H925" s="3" t="str">
        <f t="shared" si="14"/>
        <v>Output Riser S-DCR PT3 Diff, computed by BMT WinMon.</v>
      </c>
    </row>
    <row r="926" spans="1:8" x14ac:dyDescent="0.25">
      <c r="A926" s="3" t="s">
        <v>6983</v>
      </c>
      <c r="B926" s="3" t="s">
        <v>6992</v>
      </c>
      <c r="C926" s="3" t="s">
        <v>6985</v>
      </c>
      <c r="D926" s="3" t="s">
        <v>6325</v>
      </c>
      <c r="E926" s="3">
        <v>925</v>
      </c>
      <c r="F926" s="3" t="s">
        <v>4560</v>
      </c>
      <c r="G926" s="3" t="s">
        <v>3842</v>
      </c>
      <c r="H926" s="3" t="str">
        <f t="shared" si="14"/>
        <v>Output Riser S-DCR PT4 Diff, computed by BMT WinMon.</v>
      </c>
    </row>
    <row r="927" spans="1:8" x14ac:dyDescent="0.25">
      <c r="A927" s="3" t="s">
        <v>6983</v>
      </c>
      <c r="B927" s="3" t="s">
        <v>6992</v>
      </c>
      <c r="C927" s="3" t="s">
        <v>6985</v>
      </c>
      <c r="D927" s="3" t="s">
        <v>6325</v>
      </c>
      <c r="E927" s="3">
        <v>926</v>
      </c>
      <c r="F927" s="3" t="s">
        <v>4561</v>
      </c>
      <c r="G927" s="3" t="s">
        <v>1100</v>
      </c>
      <c r="H927" s="3" t="str">
        <f t="shared" si="14"/>
        <v>Output Riser S-DCR Tension, computed by BMT WinMon.</v>
      </c>
    </row>
    <row r="928" spans="1:8" x14ac:dyDescent="0.25">
      <c r="A928" s="3" t="s">
        <v>6983</v>
      </c>
      <c r="B928" s="3" t="s">
        <v>6992</v>
      </c>
      <c r="C928" s="3" t="s">
        <v>6985</v>
      </c>
      <c r="D928" s="3" t="s">
        <v>6325</v>
      </c>
      <c r="E928" s="3">
        <v>927</v>
      </c>
      <c r="F928" s="3" t="s">
        <v>4562</v>
      </c>
      <c r="G928" s="3" t="s">
        <v>16</v>
      </c>
      <c r="H928" s="3" t="str">
        <f t="shared" ref="H928:H929" si="15">_xlfn.CONCAT("Output ",F928, ", computed by BMT WinMon.")</f>
        <v>Output Riser S-DCR TF, computed by BMT WinMon.</v>
      </c>
    </row>
    <row r="929" spans="1:9" x14ac:dyDescent="0.25">
      <c r="A929" s="3" t="s">
        <v>6983</v>
      </c>
      <c r="B929" s="3" t="s">
        <v>6992</v>
      </c>
      <c r="C929" s="3" t="s">
        <v>6985</v>
      </c>
      <c r="D929" s="3" t="s">
        <v>6325</v>
      </c>
      <c r="E929" s="3">
        <v>928</v>
      </c>
      <c r="F929" s="3" t="s">
        <v>4563</v>
      </c>
      <c r="G929" s="3" t="s">
        <v>1093</v>
      </c>
      <c r="H929" s="3" t="str">
        <f t="shared" si="15"/>
        <v>Output Riser S-DCR Stroke Rel, computed by BMT WinMon.</v>
      </c>
    </row>
    <row r="930" spans="1:9" x14ac:dyDescent="0.25">
      <c r="A930" s="3" t="s">
        <v>6983</v>
      </c>
      <c r="B930" s="3" t="s">
        <v>6992</v>
      </c>
      <c r="C930" s="3" t="s">
        <v>6985</v>
      </c>
      <c r="D930" s="3" t="s">
        <v>6333</v>
      </c>
      <c r="E930" s="3">
        <v>929</v>
      </c>
      <c r="F930" s="3" t="s">
        <v>4564</v>
      </c>
      <c r="G930" s="3" t="s">
        <v>1100</v>
      </c>
      <c r="H930" s="3" t="s">
        <v>6442</v>
      </c>
    </row>
    <row r="931" spans="1:9" x14ac:dyDescent="0.25">
      <c r="A931" s="3" t="s">
        <v>6983</v>
      </c>
      <c r="B931" s="3" t="s">
        <v>6992</v>
      </c>
      <c r="C931" s="3" t="s">
        <v>6985</v>
      </c>
      <c r="D931" s="3" t="s">
        <v>6333</v>
      </c>
      <c r="E931" s="3">
        <v>930</v>
      </c>
      <c r="F931" s="3" t="s">
        <v>4565</v>
      </c>
      <c r="G931" s="3" t="s">
        <v>1100</v>
      </c>
      <c r="H931" s="3" t="s">
        <v>6441</v>
      </c>
    </row>
    <row r="932" spans="1:9" x14ac:dyDescent="0.25">
      <c r="A932" s="3" t="s">
        <v>6983</v>
      </c>
      <c r="B932" s="3" t="s">
        <v>6992</v>
      </c>
      <c r="C932" s="3" t="s">
        <v>6985</v>
      </c>
      <c r="D932" s="3" t="s">
        <v>6333</v>
      </c>
      <c r="E932" s="3">
        <v>931</v>
      </c>
      <c r="F932" s="3" t="s">
        <v>4566</v>
      </c>
      <c r="G932" s="3" t="s">
        <v>1100</v>
      </c>
      <c r="H932" s="3" t="s">
        <v>6440</v>
      </c>
    </row>
    <row r="933" spans="1:9" x14ac:dyDescent="0.25">
      <c r="A933" s="3" t="s">
        <v>6983</v>
      </c>
      <c r="B933" s="3" t="s">
        <v>6992</v>
      </c>
      <c r="C933" s="3" t="s">
        <v>6985</v>
      </c>
      <c r="D933" s="3" t="s">
        <v>6333</v>
      </c>
      <c r="E933" s="3">
        <v>932</v>
      </c>
      <c r="F933" s="3" t="s">
        <v>4567</v>
      </c>
      <c r="G933" s="3" t="s">
        <v>1100</v>
      </c>
      <c r="H933" s="3" t="s">
        <v>6439</v>
      </c>
    </row>
    <row r="934" spans="1:9" x14ac:dyDescent="0.25">
      <c r="A934" s="3" t="s">
        <v>6983</v>
      </c>
      <c r="B934" s="3" t="s">
        <v>6992</v>
      </c>
      <c r="C934" s="3" t="s">
        <v>6985</v>
      </c>
      <c r="D934" s="3" t="s">
        <v>6333</v>
      </c>
      <c r="E934" s="3">
        <v>933</v>
      </c>
      <c r="F934" s="3" t="s">
        <v>4568</v>
      </c>
      <c r="G934" s="3" t="s">
        <v>1100</v>
      </c>
      <c r="H934" s="3" t="s">
        <v>6438</v>
      </c>
    </row>
    <row r="935" spans="1:9" x14ac:dyDescent="0.25">
      <c r="A935" s="3" t="s">
        <v>6983</v>
      </c>
      <c r="B935" s="3" t="s">
        <v>6992</v>
      </c>
      <c r="C935" s="3" t="s">
        <v>6985</v>
      </c>
      <c r="D935" s="3" t="s">
        <v>6333</v>
      </c>
      <c r="E935" s="3">
        <v>934</v>
      </c>
      <c r="F935" s="3" t="s">
        <v>4569</v>
      </c>
      <c r="G935" s="3" t="s">
        <v>1100</v>
      </c>
      <c r="H935" s="3" t="s">
        <v>6437</v>
      </c>
    </row>
    <row r="936" spans="1:9" x14ac:dyDescent="0.25">
      <c r="A936" s="3" t="s">
        <v>6983</v>
      </c>
      <c r="B936" s="3" t="s">
        <v>6992</v>
      </c>
      <c r="C936" s="3" t="s">
        <v>6985</v>
      </c>
      <c r="D936" s="3" t="s">
        <v>6333</v>
      </c>
      <c r="E936" s="3">
        <v>935</v>
      </c>
      <c r="F936" s="3" t="s">
        <v>4570</v>
      </c>
      <c r="G936" s="3" t="s">
        <v>1100</v>
      </c>
      <c r="H936" s="3" t="s">
        <v>6436</v>
      </c>
    </row>
    <row r="937" spans="1:9" x14ac:dyDescent="0.25">
      <c r="A937" s="3" t="s">
        <v>6983</v>
      </c>
      <c r="B937" s="3" t="s">
        <v>6992</v>
      </c>
      <c r="C937" s="3" t="s">
        <v>6985</v>
      </c>
      <c r="D937" s="3" t="s">
        <v>6333</v>
      </c>
      <c r="E937" s="3">
        <v>936</v>
      </c>
      <c r="F937" s="3" t="s">
        <v>4571</v>
      </c>
      <c r="G937" s="3" t="s">
        <v>1100</v>
      </c>
      <c r="H937" s="3" t="s">
        <v>6434</v>
      </c>
    </row>
    <row r="938" spans="1:9" x14ac:dyDescent="0.25">
      <c r="A938" s="3" t="s">
        <v>6983</v>
      </c>
      <c r="B938" s="3" t="s">
        <v>6992</v>
      </c>
      <c r="C938" s="3" t="s">
        <v>6985</v>
      </c>
      <c r="D938" s="3" t="s">
        <v>6333</v>
      </c>
      <c r="E938" s="3">
        <v>937</v>
      </c>
      <c r="F938" s="3" t="s">
        <v>4572</v>
      </c>
      <c r="G938" s="3" t="s">
        <v>1100</v>
      </c>
      <c r="H938" s="3" t="s">
        <v>6435</v>
      </c>
    </row>
    <row r="939" spans="1:9" x14ac:dyDescent="0.25">
      <c r="A939" s="3" t="s">
        <v>6983</v>
      </c>
      <c r="B939" s="3" t="s">
        <v>6992</v>
      </c>
      <c r="C939" s="3" t="s">
        <v>6985</v>
      </c>
      <c r="D939" s="3" t="s">
        <v>6333</v>
      </c>
      <c r="E939" s="3">
        <v>938</v>
      </c>
      <c r="F939" s="3" t="s">
        <v>4573</v>
      </c>
      <c r="G939" s="3" t="s">
        <v>1100</v>
      </c>
      <c r="H939" s="3" t="s">
        <v>6432</v>
      </c>
    </row>
    <row r="940" spans="1:9" x14ac:dyDescent="0.25">
      <c r="A940" s="3" t="s">
        <v>6983</v>
      </c>
      <c r="B940" s="3" t="s">
        <v>6992</v>
      </c>
      <c r="C940" s="3" t="s">
        <v>6985</v>
      </c>
      <c r="D940" s="3" t="s">
        <v>6333</v>
      </c>
      <c r="E940" s="3">
        <v>939</v>
      </c>
      <c r="F940" s="3" t="s">
        <v>4574</v>
      </c>
      <c r="G940" s="3" t="s">
        <v>1100</v>
      </c>
      <c r="H940" s="3" t="s">
        <v>6433</v>
      </c>
    </row>
    <row r="941" spans="1:9" x14ac:dyDescent="0.25">
      <c r="A941" s="3" t="s">
        <v>6983</v>
      </c>
      <c r="B941" s="3" t="s">
        <v>6992</v>
      </c>
      <c r="C941" s="3" t="s">
        <v>6985</v>
      </c>
      <c r="D941" s="3" t="s">
        <v>6332</v>
      </c>
      <c r="E941" s="3">
        <v>940</v>
      </c>
      <c r="F941" s="3" t="s">
        <v>3601</v>
      </c>
      <c r="G941" s="3" t="s">
        <v>20</v>
      </c>
      <c r="H941" s="3" t="s">
        <v>6443</v>
      </c>
    </row>
    <row r="942" spans="1:9" x14ac:dyDescent="0.25">
      <c r="A942" s="3" t="s">
        <v>6983</v>
      </c>
      <c r="B942" s="3" t="s">
        <v>6992</v>
      </c>
      <c r="C942" s="3" t="s">
        <v>6985</v>
      </c>
      <c r="D942" s="3" t="s">
        <v>6332</v>
      </c>
      <c r="E942" s="3">
        <v>941</v>
      </c>
      <c r="F942" s="3" t="s">
        <v>4575</v>
      </c>
      <c r="G942" s="3" t="s">
        <v>20</v>
      </c>
      <c r="H942" s="3" t="s">
        <v>6444</v>
      </c>
    </row>
    <row r="943" spans="1:9" x14ac:dyDescent="0.25">
      <c r="A943" s="3" t="s">
        <v>6983</v>
      </c>
      <c r="B943" s="3" t="s">
        <v>6992</v>
      </c>
      <c r="C943" s="3" t="s">
        <v>6985</v>
      </c>
      <c r="D943" s="3" t="s">
        <v>6331</v>
      </c>
      <c r="E943" s="3">
        <v>942</v>
      </c>
      <c r="F943" s="3" t="s">
        <v>4576</v>
      </c>
      <c r="G943" s="3" t="s">
        <v>4</v>
      </c>
      <c r="H943" s="4" t="s">
        <v>6424</v>
      </c>
      <c r="I943" s="4"/>
    </row>
    <row r="944" spans="1:9" x14ac:dyDescent="0.25">
      <c r="A944" s="3" t="s">
        <v>6983</v>
      </c>
      <c r="B944" s="3" t="s">
        <v>6992</v>
      </c>
      <c r="C944" s="3" t="s">
        <v>6985</v>
      </c>
      <c r="D944" s="3" t="s">
        <v>6331</v>
      </c>
      <c r="E944" s="3">
        <v>943</v>
      </c>
      <c r="F944" s="3" t="s">
        <v>4577</v>
      </c>
      <c r="G944" s="3" t="s">
        <v>4</v>
      </c>
      <c r="H944" s="4" t="s">
        <v>6425</v>
      </c>
      <c r="I944" s="4"/>
    </row>
    <row r="945" spans="1:9" x14ac:dyDescent="0.25">
      <c r="A945" s="3" t="s">
        <v>6983</v>
      </c>
      <c r="B945" s="3" t="s">
        <v>6992</v>
      </c>
      <c r="C945" s="3" t="s">
        <v>6985</v>
      </c>
      <c r="D945" s="3" t="s">
        <v>6331</v>
      </c>
      <c r="E945" s="3">
        <v>944</v>
      </c>
      <c r="F945" s="3" t="s">
        <v>4578</v>
      </c>
      <c r="G945" s="3" t="s">
        <v>4</v>
      </c>
      <c r="H945" s="4" t="s">
        <v>6426</v>
      </c>
      <c r="I945" s="4"/>
    </row>
    <row r="946" spans="1:9" x14ac:dyDescent="0.25">
      <c r="A946" s="3" t="s">
        <v>6983</v>
      </c>
      <c r="B946" s="3" t="s">
        <v>6992</v>
      </c>
      <c r="C946" s="3" t="s">
        <v>6985</v>
      </c>
      <c r="D946" s="3" t="s">
        <v>6331</v>
      </c>
      <c r="E946" s="3">
        <v>945</v>
      </c>
      <c r="F946" s="3" t="s">
        <v>4579</v>
      </c>
      <c r="G946" s="3" t="s">
        <v>4</v>
      </c>
      <c r="H946" s="4" t="s">
        <v>6427</v>
      </c>
      <c r="I946" s="4"/>
    </row>
    <row r="947" spans="1:9" x14ac:dyDescent="0.25">
      <c r="A947" s="3" t="s">
        <v>6983</v>
      </c>
      <c r="B947" s="3" t="s">
        <v>6992</v>
      </c>
      <c r="C947" s="3" t="s">
        <v>6985</v>
      </c>
      <c r="D947" s="3" t="s">
        <v>6331</v>
      </c>
      <c r="E947" s="3">
        <v>946</v>
      </c>
      <c r="F947" s="3" t="s">
        <v>4580</v>
      </c>
      <c r="G947" s="3" t="s">
        <v>1093</v>
      </c>
      <c r="H947" s="4" t="s">
        <v>6428</v>
      </c>
      <c r="I947" s="4"/>
    </row>
    <row r="948" spans="1:9" x14ac:dyDescent="0.25">
      <c r="A948" s="3" t="s">
        <v>6983</v>
      </c>
      <c r="B948" s="3" t="s">
        <v>6992</v>
      </c>
      <c r="C948" s="3" t="s">
        <v>6985</v>
      </c>
      <c r="D948" s="3" t="s">
        <v>6331</v>
      </c>
      <c r="E948" s="3">
        <v>947</v>
      </c>
      <c r="F948" s="3" t="s">
        <v>4581</v>
      </c>
      <c r="G948" s="3" t="s">
        <v>4798</v>
      </c>
      <c r="H948" s="4" t="s">
        <v>6431</v>
      </c>
      <c r="I948" s="4"/>
    </row>
    <row r="949" spans="1:9" x14ac:dyDescent="0.25">
      <c r="A949" s="3" t="s">
        <v>6983</v>
      </c>
      <c r="B949" s="3" t="s">
        <v>6992</v>
      </c>
      <c r="C949" s="3" t="s">
        <v>6985</v>
      </c>
      <c r="D949" s="3" t="s">
        <v>6331</v>
      </c>
      <c r="E949" s="3">
        <v>948</v>
      </c>
      <c r="F949" s="3" t="s">
        <v>4582</v>
      </c>
      <c r="G949" s="3" t="s">
        <v>4798</v>
      </c>
      <c r="H949" s="4" t="s">
        <v>6429</v>
      </c>
    </row>
    <row r="950" spans="1:9" x14ac:dyDescent="0.25">
      <c r="A950" s="3" t="s">
        <v>6983</v>
      </c>
      <c r="B950" s="3" t="s">
        <v>6992</v>
      </c>
      <c r="C950" s="3" t="s">
        <v>6985</v>
      </c>
      <c r="D950" s="3" t="s">
        <v>6331</v>
      </c>
      <c r="E950" s="3">
        <v>949</v>
      </c>
      <c r="F950" s="3" t="s">
        <v>4583</v>
      </c>
      <c r="G950" s="3" t="s">
        <v>17</v>
      </c>
      <c r="H950" s="4" t="s">
        <v>6430</v>
      </c>
    </row>
    <row r="951" spans="1:9" x14ac:dyDescent="0.25">
      <c r="A951" s="3" t="s">
        <v>6983</v>
      </c>
      <c r="B951" s="3" t="s">
        <v>6992</v>
      </c>
      <c r="C951" s="3" t="s">
        <v>6985</v>
      </c>
      <c r="D951" s="3" t="s">
        <v>6331</v>
      </c>
      <c r="E951" s="3">
        <v>950</v>
      </c>
      <c r="F951" s="3" t="s">
        <v>4584</v>
      </c>
      <c r="G951" s="3" t="s">
        <v>13</v>
      </c>
      <c r="H951" s="4" t="s">
        <v>6423</v>
      </c>
    </row>
    <row r="952" spans="1:9" x14ac:dyDescent="0.25">
      <c r="A952" s="3" t="s">
        <v>6983</v>
      </c>
      <c r="B952" s="3" t="s">
        <v>6992</v>
      </c>
      <c r="C952" s="3" t="s">
        <v>6985</v>
      </c>
      <c r="D952" s="3" t="s">
        <v>6331</v>
      </c>
      <c r="E952" s="3">
        <v>951</v>
      </c>
      <c r="F952" s="3" t="s">
        <v>4585</v>
      </c>
      <c r="G952" s="3" t="s">
        <v>4</v>
      </c>
      <c r="H952" s="4" t="s">
        <v>7024</v>
      </c>
    </row>
    <row r="953" spans="1:9" x14ac:dyDescent="0.25">
      <c r="A953" s="3" t="s">
        <v>6983</v>
      </c>
      <c r="B953" s="3" t="s">
        <v>6992</v>
      </c>
      <c r="C953" s="3" t="s">
        <v>6985</v>
      </c>
      <c r="D953" s="3" t="s">
        <v>6330</v>
      </c>
      <c r="E953" s="3">
        <v>952</v>
      </c>
      <c r="F953" s="3" t="s">
        <v>3607</v>
      </c>
      <c r="G953" s="3" t="s">
        <v>1093</v>
      </c>
      <c r="H953" s="3" t="s">
        <v>6364</v>
      </c>
    </row>
    <row r="954" spans="1:9" x14ac:dyDescent="0.25">
      <c r="A954" s="3" t="s">
        <v>6983</v>
      </c>
      <c r="B954" s="3" t="s">
        <v>6992</v>
      </c>
      <c r="C954" s="3" t="s">
        <v>6985</v>
      </c>
      <c r="D954" s="3" t="s">
        <v>6329</v>
      </c>
      <c r="E954" s="3">
        <v>953</v>
      </c>
      <c r="F954" s="3" t="s">
        <v>3826</v>
      </c>
      <c r="G954" s="3" t="s">
        <v>1093</v>
      </c>
      <c r="H954" s="3" t="s">
        <v>6421</v>
      </c>
      <c r="I954" s="3" t="s">
        <v>1179</v>
      </c>
    </row>
    <row r="955" spans="1:9" x14ac:dyDescent="0.25">
      <c r="A955" s="3" t="s">
        <v>6983</v>
      </c>
      <c r="B955" s="3" t="s">
        <v>6992</v>
      </c>
      <c r="C955" s="3" t="s">
        <v>6985</v>
      </c>
      <c r="D955" s="3" t="s">
        <v>6329</v>
      </c>
      <c r="E955" s="3">
        <v>954</v>
      </c>
      <c r="F955" s="3" t="s">
        <v>3827</v>
      </c>
      <c r="G955" s="3" t="s">
        <v>1093</v>
      </c>
      <c r="H955" s="3" t="s">
        <v>6422</v>
      </c>
      <c r="I955" s="3" t="s">
        <v>1179</v>
      </c>
    </row>
    <row r="956" spans="1:9" x14ac:dyDescent="0.25">
      <c r="A956" s="3" t="s">
        <v>6983</v>
      </c>
      <c r="B956" s="3" t="s">
        <v>6992</v>
      </c>
      <c r="C956" s="3" t="s">
        <v>6985</v>
      </c>
      <c r="D956" s="3" t="s">
        <v>1136</v>
      </c>
      <c r="E956" s="3">
        <v>955</v>
      </c>
      <c r="F956" s="3" t="s">
        <v>4586</v>
      </c>
      <c r="G956" s="3" t="s">
        <v>4</v>
      </c>
      <c r="H956" s="3" t="str">
        <f t="shared" ref="H956:H1019" si="16">_xlfn.CONCAT("Data QA applied on ",_xlfn.TEXTAFTER(F956, "MAS "), ", computed by BMT WinMon.")</f>
        <v>Data QA applied on Trim, computed by BMT WinMon.</v>
      </c>
    </row>
    <row r="957" spans="1:9" x14ac:dyDescent="0.25">
      <c r="A957" s="3" t="s">
        <v>6983</v>
      </c>
      <c r="B957" s="3" t="s">
        <v>6992</v>
      </c>
      <c r="C957" s="3" t="s">
        <v>6985</v>
      </c>
      <c r="D957" s="3" t="s">
        <v>1136</v>
      </c>
      <c r="E957" s="3">
        <v>956</v>
      </c>
      <c r="F957" s="3" t="s">
        <v>4587</v>
      </c>
      <c r="G957" s="3" t="s">
        <v>4</v>
      </c>
      <c r="H957" s="3" t="str">
        <f t="shared" si="16"/>
        <v>Data QA applied on List, computed by BMT WinMon.</v>
      </c>
    </row>
    <row r="958" spans="1:9" x14ac:dyDescent="0.25">
      <c r="A958" s="3" t="s">
        <v>6983</v>
      </c>
      <c r="B958" s="3" t="s">
        <v>6992</v>
      </c>
      <c r="C958" s="3" t="s">
        <v>6985</v>
      </c>
      <c r="D958" s="3" t="s">
        <v>1136</v>
      </c>
      <c r="E958" s="3">
        <v>957</v>
      </c>
      <c r="F958" s="3" t="s">
        <v>4588</v>
      </c>
      <c r="G958" s="3" t="s">
        <v>4</v>
      </c>
      <c r="H958" s="3" t="str">
        <f t="shared" si="16"/>
        <v>Data QA applied on Heading, computed by BMT WinMon.</v>
      </c>
    </row>
    <row r="959" spans="1:9" x14ac:dyDescent="0.25">
      <c r="A959" s="3" t="s">
        <v>6983</v>
      </c>
      <c r="B959" s="3" t="s">
        <v>6992</v>
      </c>
      <c r="C959" s="3" t="s">
        <v>6985</v>
      </c>
      <c r="D959" s="3" t="s">
        <v>1136</v>
      </c>
      <c r="E959" s="3">
        <v>958</v>
      </c>
      <c r="F959" s="3" t="s">
        <v>4589</v>
      </c>
      <c r="G959" s="3" t="s">
        <v>1093</v>
      </c>
      <c r="H959" s="3" t="str">
        <f t="shared" si="16"/>
        <v>Data QA applied on Northings, computed by BMT WinMon.</v>
      </c>
    </row>
    <row r="960" spans="1:9" x14ac:dyDescent="0.25">
      <c r="A960" s="3" t="s">
        <v>6983</v>
      </c>
      <c r="B960" s="3" t="s">
        <v>6992</v>
      </c>
      <c r="C960" s="3" t="s">
        <v>6985</v>
      </c>
      <c r="D960" s="3" t="s">
        <v>1136</v>
      </c>
      <c r="E960" s="3">
        <v>959</v>
      </c>
      <c r="F960" s="3" t="s">
        <v>4590</v>
      </c>
      <c r="G960" s="3" t="s">
        <v>1093</v>
      </c>
      <c r="H960" s="3" t="str">
        <f t="shared" si="16"/>
        <v>Data QA applied on Eastings, computed by BMT WinMon.</v>
      </c>
    </row>
    <row r="961" spans="1:8" x14ac:dyDescent="0.25">
      <c r="A961" s="3" t="s">
        <v>6983</v>
      </c>
      <c r="B961" s="3" t="s">
        <v>6992</v>
      </c>
      <c r="C961" s="3" t="s">
        <v>6985</v>
      </c>
      <c r="D961" s="3" t="s">
        <v>1136</v>
      </c>
      <c r="E961" s="3">
        <v>960</v>
      </c>
      <c r="F961" s="3" t="s">
        <v>2007</v>
      </c>
      <c r="G961" s="3" t="s">
        <v>13</v>
      </c>
      <c r="H961" s="3" t="str">
        <f t="shared" si="16"/>
        <v>Data QA applied on Wind Spd, computed by BMT WinMon.</v>
      </c>
    </row>
    <row r="962" spans="1:8" x14ac:dyDescent="0.25">
      <c r="A962" s="3" t="s">
        <v>6983</v>
      </c>
      <c r="B962" s="3" t="s">
        <v>6992</v>
      </c>
      <c r="C962" s="3" t="s">
        <v>6985</v>
      </c>
      <c r="D962" s="3" t="s">
        <v>1136</v>
      </c>
      <c r="E962" s="3">
        <v>961</v>
      </c>
      <c r="F962" s="3" t="s">
        <v>2008</v>
      </c>
      <c r="G962" s="3" t="s">
        <v>4</v>
      </c>
      <c r="H962" s="3" t="str">
        <f t="shared" si="16"/>
        <v>Data QA applied on Wind Dir, computed by BMT WinMon.</v>
      </c>
    </row>
    <row r="963" spans="1:8" x14ac:dyDescent="0.25">
      <c r="A963" s="3" t="s">
        <v>6983</v>
      </c>
      <c r="B963" s="3" t="s">
        <v>6992</v>
      </c>
      <c r="C963" s="3" t="s">
        <v>6985</v>
      </c>
      <c r="D963" s="3" t="s">
        <v>1136</v>
      </c>
      <c r="E963" s="3">
        <v>962</v>
      </c>
      <c r="F963" s="3" t="s">
        <v>4591</v>
      </c>
      <c r="G963" s="3" t="s">
        <v>13</v>
      </c>
      <c r="H963" s="3" t="str">
        <f t="shared" si="16"/>
        <v>Data QA applied on Current Spd, computed by BMT WinMon.</v>
      </c>
    </row>
    <row r="964" spans="1:8" x14ac:dyDescent="0.25">
      <c r="A964" s="3" t="s">
        <v>6983</v>
      </c>
      <c r="B964" s="3" t="s">
        <v>6992</v>
      </c>
      <c r="C964" s="3" t="s">
        <v>6985</v>
      </c>
      <c r="D964" s="3" t="s">
        <v>1136</v>
      </c>
      <c r="E964" s="3">
        <v>963</v>
      </c>
      <c r="F964" s="3" t="s">
        <v>4592</v>
      </c>
      <c r="G964" s="3" t="s">
        <v>4</v>
      </c>
      <c r="H964" s="3" t="str">
        <f t="shared" si="16"/>
        <v>Data QA applied on Current Dir, computed by BMT WinMon.</v>
      </c>
    </row>
    <row r="965" spans="1:8" x14ac:dyDescent="0.25">
      <c r="A965" s="3" t="s">
        <v>6983</v>
      </c>
      <c r="B965" s="3" t="s">
        <v>6992</v>
      </c>
      <c r="C965" s="3" t="s">
        <v>6985</v>
      </c>
      <c r="D965" s="3" t="s">
        <v>1136</v>
      </c>
      <c r="E965" s="3">
        <v>964</v>
      </c>
      <c r="F965" s="3" t="s">
        <v>4593</v>
      </c>
      <c r="G965" s="3" t="s">
        <v>1093</v>
      </c>
      <c r="H965" s="3" t="str">
        <f t="shared" si="16"/>
        <v>Data QA applied on Wave Height, computed by BMT WinMon.</v>
      </c>
    </row>
    <row r="966" spans="1:8" x14ac:dyDescent="0.25">
      <c r="A966" s="3" t="s">
        <v>6983</v>
      </c>
      <c r="B966" s="3" t="s">
        <v>6992</v>
      </c>
      <c r="C966" s="3" t="s">
        <v>6985</v>
      </c>
      <c r="D966" s="3" t="s">
        <v>1136</v>
      </c>
      <c r="E966" s="3">
        <v>965</v>
      </c>
      <c r="F966" s="3" t="s">
        <v>899</v>
      </c>
      <c r="G966" s="3" t="s">
        <v>17</v>
      </c>
      <c r="H966" s="3" t="str">
        <f t="shared" si="16"/>
        <v>Data QA applied on Wave Period, computed by BMT WinMon.</v>
      </c>
    </row>
    <row r="967" spans="1:8" x14ac:dyDescent="0.25">
      <c r="A967" s="3" t="s">
        <v>6983</v>
      </c>
      <c r="B967" s="3" t="s">
        <v>6992</v>
      </c>
      <c r="C967" s="3" t="s">
        <v>6985</v>
      </c>
      <c r="D967" s="3" t="s">
        <v>1136</v>
      </c>
      <c r="E967" s="3">
        <v>966</v>
      </c>
      <c r="F967" s="3" t="s">
        <v>4594</v>
      </c>
      <c r="G967" s="3" t="s">
        <v>4</v>
      </c>
      <c r="H967" s="3" t="str">
        <f t="shared" si="16"/>
        <v>Data QA applied on Wave Direction, computed by BMT WinMon.</v>
      </c>
    </row>
    <row r="968" spans="1:8" x14ac:dyDescent="0.25">
      <c r="A968" s="3" t="s">
        <v>6983</v>
      </c>
      <c r="B968" s="3" t="s">
        <v>6992</v>
      </c>
      <c r="C968" s="3" t="s">
        <v>6985</v>
      </c>
      <c r="D968" s="3" t="s">
        <v>1136</v>
      </c>
      <c r="E968" s="3">
        <v>967</v>
      </c>
      <c r="F968" s="3" t="s">
        <v>4595</v>
      </c>
      <c r="G968" s="3" t="s">
        <v>1093</v>
      </c>
      <c r="H968" s="3" t="str">
        <f t="shared" si="16"/>
        <v>Data QA applied on CL Draft, computed by BMT WinMon.</v>
      </c>
    </row>
    <row r="969" spans="1:8" x14ac:dyDescent="0.25">
      <c r="A969" s="3" t="s">
        <v>6983</v>
      </c>
      <c r="B969" s="3" t="s">
        <v>6992</v>
      </c>
      <c r="C969" s="3" t="s">
        <v>6985</v>
      </c>
      <c r="D969" s="3" t="s">
        <v>1136</v>
      </c>
      <c r="E969" s="3">
        <v>968</v>
      </c>
      <c r="F969" s="3" t="s">
        <v>4596</v>
      </c>
      <c r="G969" s="3" t="s">
        <v>1093</v>
      </c>
      <c r="H969" s="3" t="str">
        <f t="shared" si="16"/>
        <v>Data QA applied on BCS Draft 1, computed by BMT WinMon.</v>
      </c>
    </row>
    <row r="970" spans="1:8" x14ac:dyDescent="0.25">
      <c r="A970" s="3" t="s">
        <v>6983</v>
      </c>
      <c r="B970" s="3" t="s">
        <v>6992</v>
      </c>
      <c r="C970" s="3" t="s">
        <v>6985</v>
      </c>
      <c r="D970" s="3" t="s">
        <v>1136</v>
      </c>
      <c r="E970" s="3">
        <v>969</v>
      </c>
      <c r="F970" s="3" t="s">
        <v>4597</v>
      </c>
      <c r="G970" s="3" t="s">
        <v>1093</v>
      </c>
      <c r="H970" s="3" t="str">
        <f t="shared" si="16"/>
        <v>Data QA applied on BCS Draft 2, computed by BMT WinMon.</v>
      </c>
    </row>
    <row r="971" spans="1:8" x14ac:dyDescent="0.25">
      <c r="A971" s="3" t="s">
        <v>6983</v>
      </c>
      <c r="B971" s="3" t="s">
        <v>6992</v>
      </c>
      <c r="C971" s="3" t="s">
        <v>6985</v>
      </c>
      <c r="D971" s="3" t="s">
        <v>1136</v>
      </c>
      <c r="E971" s="3">
        <v>970</v>
      </c>
      <c r="F971" s="3" t="s">
        <v>4598</v>
      </c>
      <c r="G971" s="3" t="s">
        <v>1093</v>
      </c>
      <c r="H971" s="3" t="str">
        <f t="shared" si="16"/>
        <v>Data QA applied on Methanol1 Tank Level, computed by BMT WinMon.</v>
      </c>
    </row>
    <row r="972" spans="1:8" x14ac:dyDescent="0.25">
      <c r="A972" s="3" t="s">
        <v>6983</v>
      </c>
      <c r="B972" s="3" t="s">
        <v>6992</v>
      </c>
      <c r="C972" s="3" t="s">
        <v>6985</v>
      </c>
      <c r="D972" s="3" t="s">
        <v>1136</v>
      </c>
      <c r="E972" s="3">
        <v>971</v>
      </c>
      <c r="F972" s="3" t="s">
        <v>4599</v>
      </c>
      <c r="G972" s="3" t="s">
        <v>1093</v>
      </c>
      <c r="H972" s="3" t="str">
        <f t="shared" si="16"/>
        <v>Data QA applied on Methanol2 Tank Level, computed by BMT WinMon.</v>
      </c>
    </row>
    <row r="973" spans="1:8" x14ac:dyDescent="0.25">
      <c r="A973" s="3" t="s">
        <v>6983</v>
      </c>
      <c r="B973" s="3" t="s">
        <v>6992</v>
      </c>
      <c r="C973" s="3" t="s">
        <v>6985</v>
      </c>
      <c r="D973" s="3" t="s">
        <v>1136</v>
      </c>
      <c r="E973" s="3">
        <v>972</v>
      </c>
      <c r="F973" s="3" t="s">
        <v>4600</v>
      </c>
      <c r="G973" s="3" t="s">
        <v>1093</v>
      </c>
      <c r="H973" s="3" t="str">
        <f t="shared" si="16"/>
        <v>Data QA applied on LDHI Tank Level, computed by BMT WinMon.</v>
      </c>
    </row>
    <row r="974" spans="1:8" x14ac:dyDescent="0.25">
      <c r="A974" s="3" t="s">
        <v>6983</v>
      </c>
      <c r="B974" s="3" t="s">
        <v>6992</v>
      </c>
      <c r="C974" s="3" t="s">
        <v>6985</v>
      </c>
      <c r="D974" s="3" t="s">
        <v>1136</v>
      </c>
      <c r="E974" s="3">
        <v>973</v>
      </c>
      <c r="F974" s="3" t="s">
        <v>4601</v>
      </c>
      <c r="G974" s="3" t="s">
        <v>1093</v>
      </c>
      <c r="H974" s="3" t="str">
        <f t="shared" si="16"/>
        <v>Data QA applied on Drill Water Tank Level, computed by BMT WinMon.</v>
      </c>
    </row>
    <row r="975" spans="1:8" x14ac:dyDescent="0.25">
      <c r="A975" s="3" t="s">
        <v>6983</v>
      </c>
      <c r="B975" s="3" t="s">
        <v>6992</v>
      </c>
      <c r="C975" s="3" t="s">
        <v>6985</v>
      </c>
      <c r="D975" s="3" t="s">
        <v>1136</v>
      </c>
      <c r="E975" s="3">
        <v>974</v>
      </c>
      <c r="F975" s="3" t="s">
        <v>4602</v>
      </c>
      <c r="G975" s="3" t="s">
        <v>1093</v>
      </c>
      <c r="H975" s="3" t="str">
        <f t="shared" si="16"/>
        <v>Data QA applied on Diesel Oil Tank Level, computed by BMT WinMon.</v>
      </c>
    </row>
    <row r="976" spans="1:8" x14ac:dyDescent="0.25">
      <c r="A976" s="3" t="s">
        <v>6983</v>
      </c>
      <c r="B976" s="3" t="s">
        <v>6992</v>
      </c>
      <c r="C976" s="3" t="s">
        <v>6985</v>
      </c>
      <c r="D976" s="3" t="s">
        <v>1136</v>
      </c>
      <c r="E976" s="3">
        <v>975</v>
      </c>
      <c r="F976" s="3" t="s">
        <v>4603</v>
      </c>
      <c r="G976" s="3" t="s">
        <v>1093</v>
      </c>
      <c r="H976" s="3" t="str">
        <f t="shared" si="16"/>
        <v>Data QA applied on Hull Dead Oil1 Tnk Lvl, computed by BMT WinMon.</v>
      </c>
    </row>
    <row r="977" spans="1:8" x14ac:dyDescent="0.25">
      <c r="A977" s="3" t="s">
        <v>6983</v>
      </c>
      <c r="B977" s="3" t="s">
        <v>6992</v>
      </c>
      <c r="C977" s="3" t="s">
        <v>6985</v>
      </c>
      <c r="D977" s="3" t="s">
        <v>1136</v>
      </c>
      <c r="E977" s="3">
        <v>976</v>
      </c>
      <c r="F977" s="3" t="s">
        <v>4604</v>
      </c>
      <c r="G977" s="3" t="s">
        <v>1093</v>
      </c>
      <c r="H977" s="3" t="str">
        <f t="shared" si="16"/>
        <v>Data QA applied on Hull Dead Oil2 Tnk Lvl, computed by BMT WinMon.</v>
      </c>
    </row>
    <row r="978" spans="1:8" x14ac:dyDescent="0.25">
      <c r="A978" s="3" t="s">
        <v>6983</v>
      </c>
      <c r="B978" s="3" t="s">
        <v>6992</v>
      </c>
      <c r="C978" s="3" t="s">
        <v>6985</v>
      </c>
      <c r="D978" s="3" t="s">
        <v>1136</v>
      </c>
      <c r="E978" s="3">
        <v>977</v>
      </c>
      <c r="F978" s="3" t="s">
        <v>4605</v>
      </c>
      <c r="G978" s="3" t="s">
        <v>1093</v>
      </c>
      <c r="H978" s="3" t="str">
        <f t="shared" si="16"/>
        <v>Data QA applied on Dry Oil Tank Level, computed by BMT WinMon.</v>
      </c>
    </row>
    <row r="979" spans="1:8" x14ac:dyDescent="0.25">
      <c r="A979" s="3" t="s">
        <v>6983</v>
      </c>
      <c r="B979" s="3" t="s">
        <v>6992</v>
      </c>
      <c r="C979" s="3" t="s">
        <v>6985</v>
      </c>
      <c r="D979" s="3" t="s">
        <v>1136</v>
      </c>
      <c r="E979" s="3">
        <v>978</v>
      </c>
      <c r="F979" s="3" t="s">
        <v>4606</v>
      </c>
      <c r="G979" s="3" t="s">
        <v>16</v>
      </c>
      <c r="H979" s="3" t="str">
        <f t="shared" si="16"/>
        <v>Data QA applied on DCS Watchdog Counter, computed by BMT WinMon.</v>
      </c>
    </row>
    <row r="980" spans="1:8" x14ac:dyDescent="0.25">
      <c r="A980" s="3" t="s">
        <v>6983</v>
      </c>
      <c r="B980" s="3" t="s">
        <v>6992</v>
      </c>
      <c r="C980" s="3" t="s">
        <v>6985</v>
      </c>
      <c r="D980" s="3" t="s">
        <v>1136</v>
      </c>
      <c r="E980" s="3">
        <v>979</v>
      </c>
      <c r="F980" s="3" t="s">
        <v>4607</v>
      </c>
      <c r="G980" s="3" t="s">
        <v>1093</v>
      </c>
      <c r="H980" s="3" t="str">
        <f t="shared" si="16"/>
        <v>Data QA applied on 2060 Prt Water Tank A, computed by BMT WinMon.</v>
      </c>
    </row>
    <row r="981" spans="1:8" x14ac:dyDescent="0.25">
      <c r="A981" s="3" t="s">
        <v>6983</v>
      </c>
      <c r="B981" s="3" t="s">
        <v>6992</v>
      </c>
      <c r="C981" s="3" t="s">
        <v>6985</v>
      </c>
      <c r="D981" s="3" t="s">
        <v>1136</v>
      </c>
      <c r="E981" s="3">
        <v>980</v>
      </c>
      <c r="F981" s="3" t="s">
        <v>4608</v>
      </c>
      <c r="G981" s="3" t="s">
        <v>1093</v>
      </c>
      <c r="H981" s="3" t="str">
        <f t="shared" si="16"/>
        <v>Data QA applied on 2060 Prt Water Tank B, computed by BMT WinMon.</v>
      </c>
    </row>
    <row r="982" spans="1:8" x14ac:dyDescent="0.25">
      <c r="A982" s="3" t="s">
        <v>6983</v>
      </c>
      <c r="B982" s="3" t="s">
        <v>6992</v>
      </c>
      <c r="C982" s="3" t="s">
        <v>6985</v>
      </c>
      <c r="D982" s="3" t="s">
        <v>1136</v>
      </c>
      <c r="E982" s="3">
        <v>981</v>
      </c>
      <c r="F982" s="3" t="s">
        <v>4609</v>
      </c>
      <c r="G982" s="3" t="s">
        <v>1093</v>
      </c>
      <c r="H982" s="3" t="str">
        <f t="shared" si="16"/>
        <v>Data QA applied on 2080 Diesel Tank, computed by BMT WinMon.</v>
      </c>
    </row>
    <row r="983" spans="1:8" x14ac:dyDescent="0.25">
      <c r="A983" s="3" t="s">
        <v>6983</v>
      </c>
      <c r="B983" s="3" t="s">
        <v>6992</v>
      </c>
      <c r="C983" s="3" t="s">
        <v>6985</v>
      </c>
      <c r="D983" s="3" t="s">
        <v>1136</v>
      </c>
      <c r="E983" s="3">
        <v>982</v>
      </c>
      <c r="F983" s="3" t="s">
        <v>4610</v>
      </c>
      <c r="G983" s="3" t="s">
        <v>1093</v>
      </c>
      <c r="H983" s="3" t="str">
        <f t="shared" si="16"/>
        <v>Data QA applied on 8750 Topside HPU, computed by BMT WinMon.</v>
      </c>
    </row>
    <row r="984" spans="1:8" x14ac:dyDescent="0.25">
      <c r="A984" s="3" t="s">
        <v>6983</v>
      </c>
      <c r="B984" s="3" t="s">
        <v>6992</v>
      </c>
      <c r="C984" s="3" t="s">
        <v>6985</v>
      </c>
      <c r="D984" s="3" t="s">
        <v>1136</v>
      </c>
      <c r="E984" s="3">
        <v>983</v>
      </c>
      <c r="F984" s="3" t="s">
        <v>4611</v>
      </c>
      <c r="G984" s="3" t="s">
        <v>1093</v>
      </c>
      <c r="H984" s="3" t="str">
        <f t="shared" si="16"/>
        <v>Data QA applied on 2170 HPU Supply, computed by BMT WinMon.</v>
      </c>
    </row>
    <row r="985" spans="1:8" x14ac:dyDescent="0.25">
      <c r="A985" s="3" t="s">
        <v>6983</v>
      </c>
      <c r="B985" s="3" t="s">
        <v>6992</v>
      </c>
      <c r="C985" s="3" t="s">
        <v>6985</v>
      </c>
      <c r="D985" s="3" t="s">
        <v>1136</v>
      </c>
      <c r="E985" s="3">
        <v>984</v>
      </c>
      <c r="F985" s="3" t="s">
        <v>4612</v>
      </c>
      <c r="G985" s="3" t="s">
        <v>1093</v>
      </c>
      <c r="H985" s="3" t="str">
        <f t="shared" si="16"/>
        <v>Data QA applied on 2170 HPU Return, computed by BMT WinMon.</v>
      </c>
    </row>
    <row r="986" spans="1:8" x14ac:dyDescent="0.25">
      <c r="A986" s="3" t="s">
        <v>6983</v>
      </c>
      <c r="B986" s="3" t="s">
        <v>6992</v>
      </c>
      <c r="C986" s="3" t="s">
        <v>6985</v>
      </c>
      <c r="D986" s="3" t="s">
        <v>1136</v>
      </c>
      <c r="E986" s="3">
        <v>985</v>
      </c>
      <c r="F986" s="3" t="s">
        <v>4613</v>
      </c>
      <c r="G986" s="3" t="s">
        <v>1093</v>
      </c>
      <c r="H986" s="3" t="str">
        <f t="shared" si="16"/>
        <v>Data QA applied on 2300 Asphaltene Inh, computed by BMT WinMon.</v>
      </c>
    </row>
    <row r="987" spans="1:8" x14ac:dyDescent="0.25">
      <c r="A987" s="3" t="s">
        <v>6983</v>
      </c>
      <c r="B987" s="3" t="s">
        <v>6992</v>
      </c>
      <c r="C987" s="3" t="s">
        <v>6985</v>
      </c>
      <c r="D987" s="3" t="s">
        <v>1136</v>
      </c>
      <c r="E987" s="3">
        <v>986</v>
      </c>
      <c r="F987" s="3" t="s">
        <v>4614</v>
      </c>
      <c r="G987" s="3" t="s">
        <v>1093</v>
      </c>
      <c r="H987" s="3" t="str">
        <f t="shared" si="16"/>
        <v>Data QA applied on 2310 Corrosion Inhi, computed by BMT WinMon.</v>
      </c>
    </row>
    <row r="988" spans="1:8" x14ac:dyDescent="0.25">
      <c r="A988" s="3" t="s">
        <v>6983</v>
      </c>
      <c r="B988" s="3" t="s">
        <v>6992</v>
      </c>
      <c r="C988" s="3" t="s">
        <v>6985</v>
      </c>
      <c r="D988" s="3" t="s">
        <v>1136</v>
      </c>
      <c r="E988" s="3">
        <v>987</v>
      </c>
      <c r="F988" s="3" t="s">
        <v>4615</v>
      </c>
      <c r="G988" s="3" t="s">
        <v>1093</v>
      </c>
      <c r="H988" s="3" t="str">
        <f t="shared" si="16"/>
        <v>Data QA applied on 2320 Demulsifier, computed by BMT WinMon.</v>
      </c>
    </row>
    <row r="989" spans="1:8" x14ac:dyDescent="0.25">
      <c r="A989" s="3" t="s">
        <v>6983</v>
      </c>
      <c r="B989" s="3" t="s">
        <v>6992</v>
      </c>
      <c r="C989" s="3" t="s">
        <v>6985</v>
      </c>
      <c r="D989" s="3" t="s">
        <v>1136</v>
      </c>
      <c r="E989" s="3">
        <v>988</v>
      </c>
      <c r="F989" s="3" t="s">
        <v>4616</v>
      </c>
      <c r="G989" s="3" t="s">
        <v>1093</v>
      </c>
      <c r="H989" s="3" t="str">
        <f t="shared" si="16"/>
        <v>Data QA applied on 2330 Defoamer, computed by BMT WinMon.</v>
      </c>
    </row>
    <row r="990" spans="1:8" x14ac:dyDescent="0.25">
      <c r="A990" s="3" t="s">
        <v>6983</v>
      </c>
      <c r="B990" s="3" t="s">
        <v>6992</v>
      </c>
      <c r="C990" s="3" t="s">
        <v>6985</v>
      </c>
      <c r="D990" s="3" t="s">
        <v>1136</v>
      </c>
      <c r="E990" s="3">
        <v>989</v>
      </c>
      <c r="F990" s="3" t="s">
        <v>4617</v>
      </c>
      <c r="G990" s="3" t="s">
        <v>1093</v>
      </c>
      <c r="H990" s="3" t="str">
        <f t="shared" si="16"/>
        <v>Data QA applied on 2340 LDHI, computed by BMT WinMon.</v>
      </c>
    </row>
    <row r="991" spans="1:8" x14ac:dyDescent="0.25">
      <c r="A991" s="3" t="s">
        <v>6983</v>
      </c>
      <c r="B991" s="3" t="s">
        <v>6992</v>
      </c>
      <c r="C991" s="3" t="s">
        <v>6985</v>
      </c>
      <c r="D991" s="3" t="s">
        <v>1136</v>
      </c>
      <c r="E991" s="3">
        <v>990</v>
      </c>
      <c r="F991" s="3" t="s">
        <v>4618</v>
      </c>
      <c r="G991" s="3" t="s">
        <v>1093</v>
      </c>
      <c r="H991" s="3" t="str">
        <f t="shared" si="16"/>
        <v>Data QA applied on 2350 Methanol, computed by BMT WinMon.</v>
      </c>
    </row>
    <row r="992" spans="1:8" x14ac:dyDescent="0.25">
      <c r="A992" s="3" t="s">
        <v>6983</v>
      </c>
      <c r="B992" s="3" t="s">
        <v>6992</v>
      </c>
      <c r="C992" s="3" t="s">
        <v>6985</v>
      </c>
      <c r="D992" s="3" t="s">
        <v>1136</v>
      </c>
      <c r="E992" s="3">
        <v>991</v>
      </c>
      <c r="F992" s="3" t="s">
        <v>4619</v>
      </c>
      <c r="G992" s="3" t="s">
        <v>1093</v>
      </c>
      <c r="H992" s="3" t="str">
        <f t="shared" si="16"/>
        <v>Data QA applied on 2360 Paraffin Inhi, computed by BMT WinMon.</v>
      </c>
    </row>
    <row r="993" spans="1:8" x14ac:dyDescent="0.25">
      <c r="A993" s="3" t="s">
        <v>6983</v>
      </c>
      <c r="B993" s="3" t="s">
        <v>6992</v>
      </c>
      <c r="C993" s="3" t="s">
        <v>6985</v>
      </c>
      <c r="D993" s="3" t="s">
        <v>1136</v>
      </c>
      <c r="E993" s="3">
        <v>992</v>
      </c>
      <c r="F993" s="3" t="s">
        <v>4620</v>
      </c>
      <c r="G993" s="3" t="s">
        <v>1093</v>
      </c>
      <c r="H993" s="3" t="str">
        <f t="shared" si="16"/>
        <v>Data QA applied on 2370 Scale Inhibito, computed by BMT WinMon.</v>
      </c>
    </row>
    <row r="994" spans="1:8" x14ac:dyDescent="0.25">
      <c r="A994" s="3" t="s">
        <v>6983</v>
      </c>
      <c r="B994" s="3" t="s">
        <v>6992</v>
      </c>
      <c r="C994" s="3" t="s">
        <v>6985</v>
      </c>
      <c r="D994" s="3" t="s">
        <v>1136</v>
      </c>
      <c r="E994" s="3">
        <v>993</v>
      </c>
      <c r="F994" s="3" t="s">
        <v>4621</v>
      </c>
      <c r="G994" s="3" t="s">
        <v>1093</v>
      </c>
      <c r="H994" s="3" t="str">
        <f t="shared" si="16"/>
        <v>Data QA applied on 2380 Antifoam, computed by BMT WinMon.</v>
      </c>
    </row>
    <row r="995" spans="1:8" x14ac:dyDescent="0.25">
      <c r="A995" s="3" t="s">
        <v>6983</v>
      </c>
      <c r="B995" s="3" t="s">
        <v>6992</v>
      </c>
      <c r="C995" s="3" t="s">
        <v>6985</v>
      </c>
      <c r="D995" s="3" t="s">
        <v>1136</v>
      </c>
      <c r="E995" s="3">
        <v>994</v>
      </c>
      <c r="F995" s="3" t="s">
        <v>4622</v>
      </c>
      <c r="G995" s="3" t="s">
        <v>1093</v>
      </c>
      <c r="H995" s="3" t="str">
        <f t="shared" si="16"/>
        <v>Data QA applied on 2390 Acid Dmlsifier, computed by BMT WinMon.</v>
      </c>
    </row>
    <row r="996" spans="1:8" x14ac:dyDescent="0.25">
      <c r="A996" s="3" t="s">
        <v>6983</v>
      </c>
      <c r="B996" s="3" t="s">
        <v>6992</v>
      </c>
      <c r="C996" s="3" t="s">
        <v>6985</v>
      </c>
      <c r="D996" s="3" t="s">
        <v>1136</v>
      </c>
      <c r="E996" s="3">
        <v>995</v>
      </c>
      <c r="F996" s="3" t="s">
        <v>4623</v>
      </c>
      <c r="G996" s="3" t="s">
        <v>1093</v>
      </c>
      <c r="H996" s="3" t="str">
        <f t="shared" si="16"/>
        <v>Data QA applied on 2400 Water Clarifie, computed by BMT WinMon.</v>
      </c>
    </row>
    <row r="997" spans="1:8" x14ac:dyDescent="0.25">
      <c r="A997" s="3" t="s">
        <v>6983</v>
      </c>
      <c r="B997" s="3" t="s">
        <v>6992</v>
      </c>
      <c r="C997" s="3" t="s">
        <v>6985</v>
      </c>
      <c r="D997" s="3" t="s">
        <v>1136</v>
      </c>
      <c r="E997" s="3">
        <v>996</v>
      </c>
      <c r="F997" s="3" t="s">
        <v>4624</v>
      </c>
      <c r="G997" s="3" t="s">
        <v>1093</v>
      </c>
      <c r="H997" s="3" t="str">
        <f t="shared" si="16"/>
        <v>Data QA applied on 2410 Flotatn Aid, computed by BMT WinMon.</v>
      </c>
    </row>
    <row r="998" spans="1:8" x14ac:dyDescent="0.25">
      <c r="A998" s="3" t="s">
        <v>6983</v>
      </c>
      <c r="B998" s="3" t="s">
        <v>6992</v>
      </c>
      <c r="C998" s="3" t="s">
        <v>6985</v>
      </c>
      <c r="D998" s="3" t="s">
        <v>1136</v>
      </c>
      <c r="E998" s="3">
        <v>997</v>
      </c>
      <c r="F998" s="3" t="s">
        <v>4625</v>
      </c>
      <c r="G998" s="3" t="s">
        <v>1093</v>
      </c>
      <c r="H998" s="3" t="str">
        <f t="shared" si="16"/>
        <v>Data QA applied on 2420 Tri Ethl Glyco, computed by BMT WinMon.</v>
      </c>
    </row>
    <row r="999" spans="1:8" x14ac:dyDescent="0.25">
      <c r="A999" s="3" t="s">
        <v>6983</v>
      </c>
      <c r="B999" s="3" t="s">
        <v>6992</v>
      </c>
      <c r="C999" s="3" t="s">
        <v>6985</v>
      </c>
      <c r="D999" s="3" t="s">
        <v>1136</v>
      </c>
      <c r="E999" s="3">
        <v>998</v>
      </c>
      <c r="F999" s="3" t="s">
        <v>4626</v>
      </c>
      <c r="G999" s="3" t="s">
        <v>1093</v>
      </c>
      <c r="H999" s="3" t="str">
        <f t="shared" si="16"/>
        <v>Data QA applied on 2430 H2S Scavenger, computed by BMT WinMon.</v>
      </c>
    </row>
    <row r="1000" spans="1:8" x14ac:dyDescent="0.25">
      <c r="A1000" s="3" t="s">
        <v>6983</v>
      </c>
      <c r="B1000" s="3" t="s">
        <v>6992</v>
      </c>
      <c r="C1000" s="3" t="s">
        <v>6985</v>
      </c>
      <c r="D1000" s="3" t="s">
        <v>1136</v>
      </c>
      <c r="E1000" s="3">
        <v>999</v>
      </c>
      <c r="F1000" s="3" t="s">
        <v>4627</v>
      </c>
      <c r="G1000" s="3" t="s">
        <v>1093</v>
      </c>
      <c r="H1000" s="3" t="str">
        <f t="shared" si="16"/>
        <v>Data QA applied on 2440 Nitrate, computed by BMT WinMon.</v>
      </c>
    </row>
    <row r="1001" spans="1:8" x14ac:dyDescent="0.25">
      <c r="A1001" s="3" t="s">
        <v>6983</v>
      </c>
      <c r="B1001" s="3" t="s">
        <v>6992</v>
      </c>
      <c r="C1001" s="3" t="s">
        <v>6985</v>
      </c>
      <c r="D1001" s="3" t="s">
        <v>1136</v>
      </c>
      <c r="E1001" s="3">
        <v>1000</v>
      </c>
      <c r="F1001" s="3" t="s">
        <v>4628</v>
      </c>
      <c r="G1001" s="3" t="s">
        <v>1093</v>
      </c>
      <c r="H1001" s="3" t="str">
        <f t="shared" si="16"/>
        <v>Data QA applied on 2450 Biocide, computed by BMT WinMon.</v>
      </c>
    </row>
    <row r="1002" spans="1:8" x14ac:dyDescent="0.25">
      <c r="A1002" s="3" t="s">
        <v>6983</v>
      </c>
      <c r="B1002" s="3" t="s">
        <v>6992</v>
      </c>
      <c r="C1002" s="3" t="s">
        <v>6985</v>
      </c>
      <c r="D1002" s="3" t="s">
        <v>1136</v>
      </c>
      <c r="E1002" s="3">
        <v>1001</v>
      </c>
      <c r="F1002" s="3" t="s">
        <v>4629</v>
      </c>
      <c r="G1002" s="3" t="s">
        <v>1093</v>
      </c>
      <c r="H1002" s="3" t="str">
        <f t="shared" si="16"/>
        <v>Data QA applied on 2460 Scale Inhibito, computed by BMT WinMon.</v>
      </c>
    </row>
    <row r="1003" spans="1:8" x14ac:dyDescent="0.25">
      <c r="A1003" s="3" t="s">
        <v>6983</v>
      </c>
      <c r="B1003" s="3" t="s">
        <v>6992</v>
      </c>
      <c r="C1003" s="3" t="s">
        <v>6985</v>
      </c>
      <c r="D1003" s="3" t="s">
        <v>1136</v>
      </c>
      <c r="E1003" s="3">
        <v>1002</v>
      </c>
      <c r="F1003" s="3" t="s">
        <v>4630</v>
      </c>
      <c r="G1003" s="3" t="s">
        <v>1093</v>
      </c>
      <c r="H1003" s="3" t="str">
        <f t="shared" si="16"/>
        <v>Data QA applied on 2470 O2 Scavenger, computed by BMT WinMon.</v>
      </c>
    </row>
    <row r="1004" spans="1:8" x14ac:dyDescent="0.25">
      <c r="A1004" s="3" t="s">
        <v>6983</v>
      </c>
      <c r="B1004" s="3" t="s">
        <v>6992</v>
      </c>
      <c r="C1004" s="3" t="s">
        <v>6985</v>
      </c>
      <c r="D1004" s="3" t="s">
        <v>1136</v>
      </c>
      <c r="E1004" s="3">
        <v>1003</v>
      </c>
      <c r="F1004" s="3" t="s">
        <v>4631</v>
      </c>
      <c r="G1004" s="3" t="s">
        <v>1093</v>
      </c>
      <c r="H1004" s="3" t="str">
        <f t="shared" si="16"/>
        <v>Data QA applied on 2480 Gas P/L Corr, computed by BMT WinMon.</v>
      </c>
    </row>
    <row r="1005" spans="1:8" x14ac:dyDescent="0.25">
      <c r="A1005" s="3" t="s">
        <v>6983</v>
      </c>
      <c r="B1005" s="3" t="s">
        <v>6992</v>
      </c>
      <c r="C1005" s="3" t="s">
        <v>6985</v>
      </c>
      <c r="D1005" s="3" t="s">
        <v>1136</v>
      </c>
      <c r="E1005" s="3">
        <v>1004</v>
      </c>
      <c r="F1005" s="3" t="s">
        <v>4632</v>
      </c>
      <c r="G1005" s="3" t="s">
        <v>1093</v>
      </c>
      <c r="H1005" s="3" t="str">
        <f t="shared" si="16"/>
        <v>Data QA applied on 2490 Oil P/L Corr, computed by BMT WinMon.</v>
      </c>
    </row>
    <row r="1006" spans="1:8" x14ac:dyDescent="0.25">
      <c r="A1006" s="3" t="s">
        <v>6983</v>
      </c>
      <c r="B1006" s="3" t="s">
        <v>6992</v>
      </c>
      <c r="C1006" s="3" t="s">
        <v>6985</v>
      </c>
      <c r="D1006" s="3" t="s">
        <v>1136</v>
      </c>
      <c r="E1006" s="3">
        <v>1005</v>
      </c>
      <c r="F1006" s="3" t="s">
        <v>4633</v>
      </c>
      <c r="G1006" s="3" t="s">
        <v>1093</v>
      </c>
      <c r="H1006" s="3" t="str">
        <f t="shared" si="16"/>
        <v>Data QA applied on 2500 Pour Point Dep, computed by BMT WinMon.</v>
      </c>
    </row>
    <row r="1007" spans="1:8" x14ac:dyDescent="0.25">
      <c r="A1007" s="3" t="s">
        <v>6983</v>
      </c>
      <c r="B1007" s="3" t="s">
        <v>6992</v>
      </c>
      <c r="C1007" s="3" t="s">
        <v>6985</v>
      </c>
      <c r="D1007" s="3" t="s">
        <v>1136</v>
      </c>
      <c r="E1007" s="3">
        <v>1006</v>
      </c>
      <c r="F1007" s="3" t="s">
        <v>4634</v>
      </c>
      <c r="G1007" s="3" t="s">
        <v>1093</v>
      </c>
      <c r="H1007" s="3" t="str">
        <f t="shared" si="16"/>
        <v>Data QA applied on DRY OIL TANK, computed by BMT WinMon.</v>
      </c>
    </row>
    <row r="1008" spans="1:8" x14ac:dyDescent="0.25">
      <c r="A1008" s="3" t="s">
        <v>6983</v>
      </c>
      <c r="B1008" s="3" t="s">
        <v>6992</v>
      </c>
      <c r="C1008" s="3" t="s">
        <v>6985</v>
      </c>
      <c r="D1008" s="3" t="s">
        <v>1136</v>
      </c>
      <c r="E1008" s="3">
        <v>1007</v>
      </c>
      <c r="F1008" s="3" t="s">
        <v>4635</v>
      </c>
      <c r="G1008" s="3" t="s">
        <v>1093</v>
      </c>
      <c r="H1008" s="3" t="str">
        <f t="shared" si="16"/>
        <v>Data QA applied on Potable Water Tank A, computed by BMT WinMon.</v>
      </c>
    </row>
    <row r="1009" spans="1:8" x14ac:dyDescent="0.25">
      <c r="A1009" s="3" t="s">
        <v>6983</v>
      </c>
      <c r="B1009" s="3" t="s">
        <v>6992</v>
      </c>
      <c r="C1009" s="3" t="s">
        <v>6985</v>
      </c>
      <c r="D1009" s="3" t="s">
        <v>1136</v>
      </c>
      <c r="E1009" s="3">
        <v>1008</v>
      </c>
      <c r="F1009" s="3" t="s">
        <v>4636</v>
      </c>
      <c r="G1009" s="3" t="s">
        <v>1093</v>
      </c>
      <c r="H1009" s="3" t="str">
        <f t="shared" si="16"/>
        <v>Data QA applied on Potable Water Tank B, computed by BMT WinMon.</v>
      </c>
    </row>
    <row r="1010" spans="1:8" x14ac:dyDescent="0.25">
      <c r="A1010" s="3" t="s">
        <v>6983</v>
      </c>
      <c r="B1010" s="3" t="s">
        <v>6992</v>
      </c>
      <c r="C1010" s="3" t="s">
        <v>6985</v>
      </c>
      <c r="D1010" s="3" t="s">
        <v>1136</v>
      </c>
      <c r="E1010" s="3">
        <v>1009</v>
      </c>
      <c r="F1010" s="3" t="s">
        <v>4637</v>
      </c>
      <c r="G1010" s="3" t="s">
        <v>1097</v>
      </c>
      <c r="H1010" s="3" t="str">
        <f t="shared" si="16"/>
        <v>Data QA applied on MBD-1060, computed by BMT WinMon.</v>
      </c>
    </row>
    <row r="1011" spans="1:8" x14ac:dyDescent="0.25">
      <c r="A1011" s="3" t="s">
        <v>6983</v>
      </c>
      <c r="B1011" s="3" t="s">
        <v>6992</v>
      </c>
      <c r="C1011" s="3" t="s">
        <v>6985</v>
      </c>
      <c r="D1011" s="3" t="s">
        <v>1136</v>
      </c>
      <c r="E1011" s="3">
        <v>1010</v>
      </c>
      <c r="F1011" s="3" t="s">
        <v>4638</v>
      </c>
      <c r="G1011" s="3" t="s">
        <v>1097</v>
      </c>
      <c r="H1011" s="3" t="str">
        <f t="shared" si="16"/>
        <v>Data QA applied on MBD-1610A, computed by BMT WinMon.</v>
      </c>
    </row>
    <row r="1012" spans="1:8" x14ac:dyDescent="0.25">
      <c r="A1012" s="3" t="s">
        <v>6983</v>
      </c>
      <c r="B1012" s="3" t="s">
        <v>6992</v>
      </c>
      <c r="C1012" s="3" t="s">
        <v>6985</v>
      </c>
      <c r="D1012" s="3" t="s">
        <v>1136</v>
      </c>
      <c r="E1012" s="3">
        <v>1011</v>
      </c>
      <c r="F1012" s="3" t="s">
        <v>4639</v>
      </c>
      <c r="G1012" s="3" t="s">
        <v>1097</v>
      </c>
      <c r="H1012" s="3" t="str">
        <f t="shared" si="16"/>
        <v>Data QA applied on MBD-1610B, computed by BMT WinMon.</v>
      </c>
    </row>
    <row r="1013" spans="1:8" x14ac:dyDescent="0.25">
      <c r="A1013" s="3" t="s">
        <v>6983</v>
      </c>
      <c r="B1013" s="3" t="s">
        <v>6992</v>
      </c>
      <c r="C1013" s="3" t="s">
        <v>6985</v>
      </c>
      <c r="D1013" s="3" t="s">
        <v>1136</v>
      </c>
      <c r="E1013" s="3">
        <v>1012</v>
      </c>
      <c r="F1013" s="3" t="s">
        <v>4640</v>
      </c>
      <c r="G1013" s="3" t="s">
        <v>1097</v>
      </c>
      <c r="H1013" s="3" t="str">
        <f t="shared" si="16"/>
        <v>Data QA applied on MBD-1610C, computed by BMT WinMon.</v>
      </c>
    </row>
    <row r="1014" spans="1:8" x14ac:dyDescent="0.25">
      <c r="A1014" s="3" t="s">
        <v>6983</v>
      </c>
      <c r="B1014" s="3" t="s">
        <v>6992</v>
      </c>
      <c r="C1014" s="3" t="s">
        <v>6985</v>
      </c>
      <c r="D1014" s="3" t="s">
        <v>1136</v>
      </c>
      <c r="E1014" s="3">
        <v>1013</v>
      </c>
      <c r="F1014" s="3" t="s">
        <v>4641</v>
      </c>
      <c r="G1014" s="3" t="s">
        <v>1097</v>
      </c>
      <c r="H1014" s="3" t="str">
        <f t="shared" si="16"/>
        <v>Data QA applied on MBD-1610D, computed by BMT WinMon.</v>
      </c>
    </row>
    <row r="1015" spans="1:8" x14ac:dyDescent="0.25">
      <c r="A1015" s="3" t="s">
        <v>6983</v>
      </c>
      <c r="B1015" s="3" t="s">
        <v>6992</v>
      </c>
      <c r="C1015" s="3" t="s">
        <v>6985</v>
      </c>
      <c r="D1015" s="3" t="s">
        <v>1136</v>
      </c>
      <c r="E1015" s="3">
        <v>1014</v>
      </c>
      <c r="F1015" s="3" t="s">
        <v>4642</v>
      </c>
      <c r="G1015" s="3" t="s">
        <v>1097</v>
      </c>
      <c r="H1015" s="3" t="str">
        <f t="shared" si="16"/>
        <v>Data QA applied on MBD-1610E, computed by BMT WinMon.</v>
      </c>
    </row>
    <row r="1016" spans="1:8" x14ac:dyDescent="0.25">
      <c r="A1016" s="3" t="s">
        <v>6983</v>
      </c>
      <c r="B1016" s="3" t="s">
        <v>6992</v>
      </c>
      <c r="C1016" s="3" t="s">
        <v>6985</v>
      </c>
      <c r="D1016" s="3" t="s">
        <v>1136</v>
      </c>
      <c r="E1016" s="3">
        <v>1015</v>
      </c>
      <c r="F1016" s="3" t="s">
        <v>4643</v>
      </c>
      <c r="G1016" s="3" t="s">
        <v>1097</v>
      </c>
      <c r="H1016" s="3" t="str">
        <f t="shared" si="16"/>
        <v>Data QA applied on BBC1220, computed by BMT WinMon.</v>
      </c>
    </row>
    <row r="1017" spans="1:8" x14ac:dyDescent="0.25">
      <c r="A1017" s="3" t="s">
        <v>6983</v>
      </c>
      <c r="B1017" s="3" t="s">
        <v>6992</v>
      </c>
      <c r="C1017" s="3" t="s">
        <v>6985</v>
      </c>
      <c r="D1017" s="3" t="s">
        <v>1136</v>
      </c>
      <c r="E1017" s="3">
        <v>1016</v>
      </c>
      <c r="F1017" s="3" t="s">
        <v>4644</v>
      </c>
      <c r="G1017" s="3" t="s">
        <v>1097</v>
      </c>
      <c r="H1017" s="3" t="str">
        <f t="shared" si="16"/>
        <v>Data QA applied on ABJ-2030, computed by BMT WinMon.</v>
      </c>
    </row>
    <row r="1018" spans="1:8" x14ac:dyDescent="0.25">
      <c r="A1018" s="3" t="s">
        <v>6983</v>
      </c>
      <c r="B1018" s="3" t="s">
        <v>6992</v>
      </c>
      <c r="C1018" s="3" t="s">
        <v>6985</v>
      </c>
      <c r="D1018" s="3" t="s">
        <v>1136</v>
      </c>
      <c r="E1018" s="3">
        <v>1017</v>
      </c>
      <c r="F1018" s="3" t="s">
        <v>4645</v>
      </c>
      <c r="G1018" s="3" t="s">
        <v>1097</v>
      </c>
      <c r="H1018" s="3" t="str">
        <f t="shared" si="16"/>
        <v>Data QA applied on MBD-124003, computed by BMT WinMon.</v>
      </c>
    </row>
    <row r="1019" spans="1:8" x14ac:dyDescent="0.25">
      <c r="A1019" s="3" t="s">
        <v>6983</v>
      </c>
      <c r="B1019" s="3" t="s">
        <v>6992</v>
      </c>
      <c r="C1019" s="3" t="s">
        <v>6985</v>
      </c>
      <c r="D1019" s="3" t="s">
        <v>1136</v>
      </c>
      <c r="E1019" s="3">
        <v>1018</v>
      </c>
      <c r="F1019" s="3" t="s">
        <v>4646</v>
      </c>
      <c r="G1019" s="3" t="s">
        <v>1097</v>
      </c>
      <c r="H1019" s="3" t="str">
        <f t="shared" si="16"/>
        <v>Data QA applied on MBD-124005, computed by BMT WinMon.</v>
      </c>
    </row>
    <row r="1020" spans="1:8" x14ac:dyDescent="0.25">
      <c r="A1020" s="3" t="s">
        <v>6983</v>
      </c>
      <c r="B1020" s="3" t="s">
        <v>6992</v>
      </c>
      <c r="C1020" s="3" t="s">
        <v>6985</v>
      </c>
      <c r="D1020" s="3" t="s">
        <v>1136</v>
      </c>
      <c r="E1020" s="3">
        <v>1019</v>
      </c>
      <c r="F1020" s="3" t="s">
        <v>4647</v>
      </c>
      <c r="G1020" s="3" t="s">
        <v>1097</v>
      </c>
      <c r="H1020" s="3" t="str">
        <f t="shared" ref="H1020:H1072" si="17">_xlfn.CONCAT("Data QA applied on ",_xlfn.TEXTAFTER(F1020, "MAS "), ", computed by BMT WinMon.")</f>
        <v>Data QA applied on MBJ-1330, computed by BMT WinMon.</v>
      </c>
    </row>
    <row r="1021" spans="1:8" x14ac:dyDescent="0.25">
      <c r="A1021" s="3" t="s">
        <v>6983</v>
      </c>
      <c r="B1021" s="3" t="s">
        <v>6992</v>
      </c>
      <c r="C1021" s="3" t="s">
        <v>6985</v>
      </c>
      <c r="D1021" s="3" t="s">
        <v>1136</v>
      </c>
      <c r="E1021" s="3">
        <v>1020</v>
      </c>
      <c r="F1021" s="3" t="s">
        <v>4648</v>
      </c>
      <c r="G1021" s="3" t="s">
        <v>1097</v>
      </c>
      <c r="H1021" s="3" t="str">
        <f t="shared" si="17"/>
        <v>Data QA applied on MBD-1520A, computed by BMT WinMon.</v>
      </c>
    </row>
    <row r="1022" spans="1:8" x14ac:dyDescent="0.25">
      <c r="A1022" s="3" t="s">
        <v>6983</v>
      </c>
      <c r="B1022" s="3" t="s">
        <v>6992</v>
      </c>
      <c r="C1022" s="3" t="s">
        <v>6985</v>
      </c>
      <c r="D1022" s="3" t="s">
        <v>1136</v>
      </c>
      <c r="E1022" s="3">
        <v>1021</v>
      </c>
      <c r="F1022" s="3" t="s">
        <v>4649</v>
      </c>
      <c r="G1022" s="3" t="s">
        <v>1097</v>
      </c>
      <c r="H1022" s="3" t="str">
        <f t="shared" si="17"/>
        <v>Data QA applied on MBD-1520B, computed by BMT WinMon.</v>
      </c>
    </row>
    <row r="1023" spans="1:8" x14ac:dyDescent="0.25">
      <c r="A1023" s="3" t="s">
        <v>6983</v>
      </c>
      <c r="B1023" s="3" t="s">
        <v>6992</v>
      </c>
      <c r="C1023" s="3" t="s">
        <v>6985</v>
      </c>
      <c r="D1023" s="3" t="s">
        <v>1136</v>
      </c>
      <c r="E1023" s="3">
        <v>1022</v>
      </c>
      <c r="F1023" s="3" t="s">
        <v>4650</v>
      </c>
      <c r="G1023" s="3" t="s">
        <v>1097</v>
      </c>
      <c r="H1023" s="3" t="str">
        <f t="shared" si="17"/>
        <v>Data QA applied on MBD-1520C, computed by BMT WinMon.</v>
      </c>
    </row>
    <row r="1024" spans="1:8" x14ac:dyDescent="0.25">
      <c r="A1024" s="3" t="s">
        <v>6983</v>
      </c>
      <c r="B1024" s="3" t="s">
        <v>6992</v>
      </c>
      <c r="C1024" s="3" t="s">
        <v>6985</v>
      </c>
      <c r="D1024" s="3" t="s">
        <v>1136</v>
      </c>
      <c r="E1024" s="3">
        <v>1023</v>
      </c>
      <c r="F1024" s="3" t="s">
        <v>4651</v>
      </c>
      <c r="G1024" s="3" t="s">
        <v>1097</v>
      </c>
      <c r="H1024" s="3" t="str">
        <f t="shared" si="17"/>
        <v>Data QA applied on MBD-1520D, computed by BMT WinMon.</v>
      </c>
    </row>
    <row r="1025" spans="1:8" x14ac:dyDescent="0.25">
      <c r="A1025" s="3" t="s">
        <v>6983</v>
      </c>
      <c r="B1025" s="3" t="s">
        <v>6992</v>
      </c>
      <c r="C1025" s="3" t="s">
        <v>6985</v>
      </c>
      <c r="D1025" s="3" t="s">
        <v>1136</v>
      </c>
      <c r="E1025" s="3">
        <v>1024</v>
      </c>
      <c r="F1025" s="3" t="s">
        <v>4652</v>
      </c>
      <c r="G1025" s="3" t="s">
        <v>1097</v>
      </c>
      <c r="H1025" s="3" t="str">
        <f t="shared" si="17"/>
        <v>Data QA applied on MBD-1520E, computed by BMT WinMon.</v>
      </c>
    </row>
    <row r="1026" spans="1:8" x14ac:dyDescent="0.25">
      <c r="A1026" s="3" t="s">
        <v>6983</v>
      </c>
      <c r="B1026" s="3" t="s">
        <v>6992</v>
      </c>
      <c r="C1026" s="3" t="s">
        <v>6985</v>
      </c>
      <c r="D1026" s="3" t="s">
        <v>1136</v>
      </c>
      <c r="E1026" s="3">
        <v>1025</v>
      </c>
      <c r="F1026" s="3" t="s">
        <v>4653</v>
      </c>
      <c r="G1026" s="3" t="s">
        <v>1097</v>
      </c>
      <c r="H1026" s="3" t="str">
        <f t="shared" si="17"/>
        <v>Data QA applied on MBF-1190A, computed by BMT WinMon.</v>
      </c>
    </row>
    <row r="1027" spans="1:8" x14ac:dyDescent="0.25">
      <c r="A1027" s="3" t="s">
        <v>6983</v>
      </c>
      <c r="B1027" s="3" t="s">
        <v>6992</v>
      </c>
      <c r="C1027" s="3" t="s">
        <v>6985</v>
      </c>
      <c r="D1027" s="3" t="s">
        <v>1136</v>
      </c>
      <c r="E1027" s="3">
        <v>1026</v>
      </c>
      <c r="F1027" s="3" t="s">
        <v>4654</v>
      </c>
      <c r="G1027" s="3" t="s">
        <v>1097</v>
      </c>
      <c r="H1027" s="3" t="str">
        <f t="shared" si="17"/>
        <v>Data QA applied on MBF-1190B, computed by BMT WinMon.</v>
      </c>
    </row>
    <row r="1028" spans="1:8" x14ac:dyDescent="0.25">
      <c r="A1028" s="3" t="s">
        <v>6983</v>
      </c>
      <c r="B1028" s="3" t="s">
        <v>6992</v>
      </c>
      <c r="C1028" s="3" t="s">
        <v>6985</v>
      </c>
      <c r="D1028" s="3" t="s">
        <v>1136</v>
      </c>
      <c r="E1028" s="3">
        <v>1027</v>
      </c>
      <c r="F1028" s="3" t="s">
        <v>4655</v>
      </c>
      <c r="G1028" s="3" t="s">
        <v>1097</v>
      </c>
      <c r="H1028" s="3" t="str">
        <f t="shared" si="17"/>
        <v>Data QA applied on MBF-1200A, computed by BMT WinMon.</v>
      </c>
    </row>
    <row r="1029" spans="1:8" x14ac:dyDescent="0.25">
      <c r="A1029" s="3" t="s">
        <v>6983</v>
      </c>
      <c r="B1029" s="3" t="s">
        <v>6992</v>
      </c>
      <c r="C1029" s="3" t="s">
        <v>6985</v>
      </c>
      <c r="D1029" s="3" t="s">
        <v>1136</v>
      </c>
      <c r="E1029" s="3">
        <v>1028</v>
      </c>
      <c r="F1029" s="3" t="s">
        <v>4656</v>
      </c>
      <c r="G1029" s="3" t="s">
        <v>1097</v>
      </c>
      <c r="H1029" s="3" t="str">
        <f t="shared" si="17"/>
        <v>Data QA applied on MBF-1200B, computed by BMT WinMon.</v>
      </c>
    </row>
    <row r="1030" spans="1:8" x14ac:dyDescent="0.25">
      <c r="A1030" s="3" t="s">
        <v>6983</v>
      </c>
      <c r="B1030" s="3" t="s">
        <v>6992</v>
      </c>
      <c r="C1030" s="3" t="s">
        <v>6985</v>
      </c>
      <c r="D1030" s="3" t="s">
        <v>1136</v>
      </c>
      <c r="E1030" s="3">
        <v>1029</v>
      </c>
      <c r="F1030" s="3" t="s">
        <v>4657</v>
      </c>
      <c r="G1030" s="3" t="s">
        <v>1097</v>
      </c>
      <c r="H1030" s="3" t="str">
        <f t="shared" si="17"/>
        <v>Data QA applied on MBM-151001, computed by BMT WinMon.</v>
      </c>
    </row>
    <row r="1031" spans="1:8" x14ac:dyDescent="0.25">
      <c r="A1031" s="3" t="s">
        <v>6983</v>
      </c>
      <c r="B1031" s="3" t="s">
        <v>6992</v>
      </c>
      <c r="C1031" s="3" t="s">
        <v>6985</v>
      </c>
      <c r="D1031" s="3" t="s">
        <v>1136</v>
      </c>
      <c r="E1031" s="3">
        <v>1030</v>
      </c>
      <c r="F1031" s="3" t="s">
        <v>4658</v>
      </c>
      <c r="G1031" s="3" t="s">
        <v>1097</v>
      </c>
      <c r="H1031" s="3" t="str">
        <f t="shared" si="17"/>
        <v>Data QA applied on MBM-151006, computed by BMT WinMon.</v>
      </c>
    </row>
    <row r="1032" spans="1:8" x14ac:dyDescent="0.25">
      <c r="A1032" s="3" t="s">
        <v>6983</v>
      </c>
      <c r="B1032" s="3" t="s">
        <v>6992</v>
      </c>
      <c r="C1032" s="3" t="s">
        <v>6985</v>
      </c>
      <c r="D1032" s="3" t="s">
        <v>1136</v>
      </c>
      <c r="E1032" s="3">
        <v>1031</v>
      </c>
      <c r="F1032" s="3" t="s">
        <v>4659</v>
      </c>
      <c r="G1032" s="3" t="s">
        <v>1097</v>
      </c>
      <c r="H1032" s="3" t="str">
        <f t="shared" si="17"/>
        <v>Data QA applied on MBD-105013, computed by BMT WinMon.</v>
      </c>
    </row>
    <row r="1033" spans="1:8" x14ac:dyDescent="0.25">
      <c r="A1033" s="3" t="s">
        <v>6983</v>
      </c>
      <c r="B1033" s="3" t="s">
        <v>6992</v>
      </c>
      <c r="C1033" s="3" t="s">
        <v>6985</v>
      </c>
      <c r="D1033" s="3" t="s">
        <v>1136</v>
      </c>
      <c r="E1033" s="3">
        <v>1032</v>
      </c>
      <c r="F1033" s="3" t="s">
        <v>4660</v>
      </c>
      <c r="G1033" s="3" t="s">
        <v>1097</v>
      </c>
      <c r="H1033" s="3" t="str">
        <f t="shared" si="17"/>
        <v>Data QA applied on MBD-105018, computed by BMT WinMon.</v>
      </c>
    </row>
    <row r="1034" spans="1:8" x14ac:dyDescent="0.25">
      <c r="A1034" s="3" t="s">
        <v>6983</v>
      </c>
      <c r="B1034" s="3" t="s">
        <v>6992</v>
      </c>
      <c r="C1034" s="3" t="s">
        <v>6985</v>
      </c>
      <c r="D1034" s="3" t="s">
        <v>1136</v>
      </c>
      <c r="E1034" s="3">
        <v>1033</v>
      </c>
      <c r="F1034" s="3" t="s">
        <v>4661</v>
      </c>
      <c r="G1034" s="3" t="s">
        <v>1097</v>
      </c>
      <c r="H1034" s="3" t="str">
        <f t="shared" si="17"/>
        <v>Data QA applied on MAK-1110A04, computed by BMT WinMon.</v>
      </c>
    </row>
    <row r="1035" spans="1:8" x14ac:dyDescent="0.25">
      <c r="A1035" s="3" t="s">
        <v>6983</v>
      </c>
      <c r="B1035" s="3" t="s">
        <v>6992</v>
      </c>
      <c r="C1035" s="3" t="s">
        <v>6985</v>
      </c>
      <c r="D1035" s="3" t="s">
        <v>1136</v>
      </c>
      <c r="E1035" s="3">
        <v>1034</v>
      </c>
      <c r="F1035" s="3" t="s">
        <v>4662</v>
      </c>
      <c r="G1035" s="3" t="s">
        <v>1097</v>
      </c>
      <c r="H1035" s="3" t="str">
        <f t="shared" si="17"/>
        <v>Data QA applied on MAK-1110A06, computed by BMT WinMon.</v>
      </c>
    </row>
    <row r="1036" spans="1:8" x14ac:dyDescent="0.25">
      <c r="A1036" s="3" t="s">
        <v>6983</v>
      </c>
      <c r="B1036" s="3" t="s">
        <v>6992</v>
      </c>
      <c r="C1036" s="3" t="s">
        <v>6985</v>
      </c>
      <c r="D1036" s="3" t="s">
        <v>1136</v>
      </c>
      <c r="E1036" s="3">
        <v>1035</v>
      </c>
      <c r="F1036" s="3" t="s">
        <v>4663</v>
      </c>
      <c r="G1036" s="3" t="s">
        <v>1097</v>
      </c>
      <c r="H1036" s="3" t="str">
        <f t="shared" si="17"/>
        <v>Data QA applied on MAK-1110B04, computed by BMT WinMon.</v>
      </c>
    </row>
    <row r="1037" spans="1:8" x14ac:dyDescent="0.25">
      <c r="A1037" s="3" t="s">
        <v>6983</v>
      </c>
      <c r="B1037" s="3" t="s">
        <v>6992</v>
      </c>
      <c r="C1037" s="3" t="s">
        <v>6985</v>
      </c>
      <c r="D1037" s="3" t="s">
        <v>1136</v>
      </c>
      <c r="E1037" s="3">
        <v>1036</v>
      </c>
      <c r="F1037" s="3" t="s">
        <v>4664</v>
      </c>
      <c r="G1037" s="3" t="s">
        <v>1097</v>
      </c>
      <c r="H1037" s="3" t="str">
        <f t="shared" si="17"/>
        <v>Data QA applied on MAK-1110B06, computed by BMT WinMon.</v>
      </c>
    </row>
    <row r="1038" spans="1:8" x14ac:dyDescent="0.25">
      <c r="A1038" s="3" t="s">
        <v>6983</v>
      </c>
      <c r="B1038" s="3" t="s">
        <v>6992</v>
      </c>
      <c r="C1038" s="3" t="s">
        <v>6985</v>
      </c>
      <c r="D1038" s="3" t="s">
        <v>1136</v>
      </c>
      <c r="E1038" s="3">
        <v>1037</v>
      </c>
      <c r="F1038" s="3" t="s">
        <v>4665</v>
      </c>
      <c r="G1038" s="3" t="s">
        <v>1097</v>
      </c>
      <c r="H1038" s="3" t="str">
        <f t="shared" si="17"/>
        <v>Data QA applied on MBF-1090, computed by BMT WinMon.</v>
      </c>
    </row>
    <row r="1039" spans="1:8" x14ac:dyDescent="0.25">
      <c r="A1039" s="3" t="s">
        <v>6983</v>
      </c>
      <c r="B1039" s="3" t="s">
        <v>6992</v>
      </c>
      <c r="C1039" s="3" t="s">
        <v>6985</v>
      </c>
      <c r="D1039" s="3" t="s">
        <v>1136</v>
      </c>
      <c r="E1039" s="3">
        <v>1038</v>
      </c>
      <c r="F1039" s="3" t="s">
        <v>4666</v>
      </c>
      <c r="G1039" s="3" t="s">
        <v>1097</v>
      </c>
      <c r="H1039" s="3" t="str">
        <f t="shared" si="17"/>
        <v>Data QA applied on MBM-154001, computed by BMT WinMon.</v>
      </c>
    </row>
    <row r="1040" spans="1:8" x14ac:dyDescent="0.25">
      <c r="A1040" s="3" t="s">
        <v>6983</v>
      </c>
      <c r="B1040" s="3" t="s">
        <v>6992</v>
      </c>
      <c r="C1040" s="3" t="s">
        <v>6985</v>
      </c>
      <c r="D1040" s="3" t="s">
        <v>1136</v>
      </c>
      <c r="E1040" s="3">
        <v>1039</v>
      </c>
      <c r="F1040" s="3" t="s">
        <v>4667</v>
      </c>
      <c r="G1040" s="3" t="s">
        <v>1097</v>
      </c>
      <c r="H1040" s="3" t="str">
        <f t="shared" si="17"/>
        <v>Data QA applied on MBM-154003, computed by BMT WinMon.</v>
      </c>
    </row>
    <row r="1041" spans="1:8" x14ac:dyDescent="0.25">
      <c r="A1041" s="3" t="s">
        <v>6983</v>
      </c>
      <c r="B1041" s="3" t="s">
        <v>6992</v>
      </c>
      <c r="C1041" s="3" t="s">
        <v>6985</v>
      </c>
      <c r="D1041" s="3" t="s">
        <v>1136</v>
      </c>
      <c r="E1041" s="3">
        <v>1040</v>
      </c>
      <c r="F1041" s="3" t="s">
        <v>4668</v>
      </c>
      <c r="G1041" s="3" t="s">
        <v>1097</v>
      </c>
      <c r="H1041" s="3" t="str">
        <f t="shared" si="17"/>
        <v>Data QA applied on MBF-1080, computed by BMT WinMon.</v>
      </c>
    </row>
    <row r="1042" spans="1:8" x14ac:dyDescent="0.25">
      <c r="A1042" s="3" t="s">
        <v>6983</v>
      </c>
      <c r="B1042" s="3" t="s">
        <v>6992</v>
      </c>
      <c r="C1042" s="3" t="s">
        <v>6985</v>
      </c>
      <c r="D1042" s="3" t="s">
        <v>1136</v>
      </c>
      <c r="E1042" s="3">
        <v>1041</v>
      </c>
      <c r="F1042" s="3" t="s">
        <v>4669</v>
      </c>
      <c r="G1042" s="3" t="s">
        <v>1097</v>
      </c>
      <c r="H1042" s="3" t="str">
        <f t="shared" si="17"/>
        <v>Data QA applied on MBD-1630-25, computed by BMT WinMon.</v>
      </c>
    </row>
    <row r="1043" spans="1:8" x14ac:dyDescent="0.25">
      <c r="A1043" s="3" t="s">
        <v>6983</v>
      </c>
      <c r="B1043" s="3" t="s">
        <v>6992</v>
      </c>
      <c r="C1043" s="3" t="s">
        <v>6985</v>
      </c>
      <c r="D1043" s="3" t="s">
        <v>1136</v>
      </c>
      <c r="E1043" s="3">
        <v>1042</v>
      </c>
      <c r="F1043" s="3" t="s">
        <v>4670</v>
      </c>
      <c r="G1043" s="3" t="s">
        <v>1097</v>
      </c>
      <c r="H1043" s="3" t="str">
        <f t="shared" si="17"/>
        <v>Data QA applied on MBD-1630-35, computed by BMT WinMon.</v>
      </c>
    </row>
    <row r="1044" spans="1:8" x14ac:dyDescent="0.25">
      <c r="A1044" s="3" t="s">
        <v>6983</v>
      </c>
      <c r="B1044" s="3" t="s">
        <v>6992</v>
      </c>
      <c r="C1044" s="3" t="s">
        <v>6985</v>
      </c>
      <c r="D1044" s="3" t="s">
        <v>1136</v>
      </c>
      <c r="E1044" s="3">
        <v>1043</v>
      </c>
      <c r="F1044" s="3" t="s">
        <v>4671</v>
      </c>
      <c r="G1044" s="3" t="s">
        <v>1100</v>
      </c>
      <c r="H1044" s="3" t="str">
        <f t="shared" si="17"/>
        <v>Data QA applied on Static Tension ML1, computed by BMT WinMon.</v>
      </c>
    </row>
    <row r="1045" spans="1:8" x14ac:dyDescent="0.25">
      <c r="A1045" s="3" t="s">
        <v>6983</v>
      </c>
      <c r="B1045" s="3" t="s">
        <v>6992</v>
      </c>
      <c r="C1045" s="3" t="s">
        <v>6985</v>
      </c>
      <c r="D1045" s="3" t="s">
        <v>1136</v>
      </c>
      <c r="E1045" s="3">
        <v>1044</v>
      </c>
      <c r="F1045" s="3" t="s">
        <v>4672</v>
      </c>
      <c r="G1045" s="3" t="s">
        <v>1100</v>
      </c>
      <c r="H1045" s="3" t="str">
        <f t="shared" si="17"/>
        <v>Data QA applied on Static Tension ML2, computed by BMT WinMon.</v>
      </c>
    </row>
    <row r="1046" spans="1:8" x14ac:dyDescent="0.25">
      <c r="A1046" s="3" t="s">
        <v>6983</v>
      </c>
      <c r="B1046" s="3" t="s">
        <v>6992</v>
      </c>
      <c r="C1046" s="3" t="s">
        <v>6985</v>
      </c>
      <c r="D1046" s="3" t="s">
        <v>1136</v>
      </c>
      <c r="E1046" s="3">
        <v>1045</v>
      </c>
      <c r="F1046" s="3" t="s">
        <v>4673</v>
      </c>
      <c r="G1046" s="3" t="s">
        <v>1100</v>
      </c>
      <c r="H1046" s="3" t="str">
        <f t="shared" si="17"/>
        <v>Data QA applied on Static Tension ML3, computed by BMT WinMon.</v>
      </c>
    </row>
    <row r="1047" spans="1:8" x14ac:dyDescent="0.25">
      <c r="A1047" s="3" t="s">
        <v>6983</v>
      </c>
      <c r="B1047" s="3" t="s">
        <v>6992</v>
      </c>
      <c r="C1047" s="3" t="s">
        <v>6985</v>
      </c>
      <c r="D1047" s="3" t="s">
        <v>1136</v>
      </c>
      <c r="E1047" s="3">
        <v>1046</v>
      </c>
      <c r="F1047" s="3" t="s">
        <v>4674</v>
      </c>
      <c r="G1047" s="3" t="s">
        <v>1100</v>
      </c>
      <c r="H1047" s="3" t="str">
        <f t="shared" si="17"/>
        <v>Data QA applied on Static Tension ML4, computed by BMT WinMon.</v>
      </c>
    </row>
    <row r="1048" spans="1:8" x14ac:dyDescent="0.25">
      <c r="A1048" s="3" t="s">
        <v>6983</v>
      </c>
      <c r="B1048" s="3" t="s">
        <v>6992</v>
      </c>
      <c r="C1048" s="3" t="s">
        <v>6985</v>
      </c>
      <c r="D1048" s="3" t="s">
        <v>1136</v>
      </c>
      <c r="E1048" s="3">
        <v>1047</v>
      </c>
      <c r="F1048" s="3" t="s">
        <v>4675</v>
      </c>
      <c r="G1048" s="3" t="s">
        <v>1100</v>
      </c>
      <c r="H1048" s="3" t="str">
        <f t="shared" si="17"/>
        <v>Data QA applied on Static Tension ML5, computed by BMT WinMon.</v>
      </c>
    </row>
    <row r="1049" spans="1:8" x14ac:dyDescent="0.25">
      <c r="A1049" s="3" t="s">
        <v>6983</v>
      </c>
      <c r="B1049" s="3" t="s">
        <v>6992</v>
      </c>
      <c r="C1049" s="3" t="s">
        <v>6985</v>
      </c>
      <c r="D1049" s="3" t="s">
        <v>1136</v>
      </c>
      <c r="E1049" s="3">
        <v>1048</v>
      </c>
      <c r="F1049" s="3" t="s">
        <v>4676</v>
      </c>
      <c r="G1049" s="3" t="s">
        <v>1100</v>
      </c>
      <c r="H1049" s="3" t="str">
        <f t="shared" si="17"/>
        <v>Data QA applied on Static Tension ML6, computed by BMT WinMon.</v>
      </c>
    </row>
    <row r="1050" spans="1:8" x14ac:dyDescent="0.25">
      <c r="A1050" s="3" t="s">
        <v>6983</v>
      </c>
      <c r="B1050" s="3" t="s">
        <v>6992</v>
      </c>
      <c r="C1050" s="3" t="s">
        <v>6985</v>
      </c>
      <c r="D1050" s="3" t="s">
        <v>1136</v>
      </c>
      <c r="E1050" s="3">
        <v>1049</v>
      </c>
      <c r="F1050" s="3" t="s">
        <v>4677</v>
      </c>
      <c r="G1050" s="3" t="s">
        <v>1100</v>
      </c>
      <c r="H1050" s="3" t="str">
        <f t="shared" si="17"/>
        <v>Data QA applied on Static Tension ML7, computed by BMT WinMon.</v>
      </c>
    </row>
    <row r="1051" spans="1:8" x14ac:dyDescent="0.25">
      <c r="A1051" s="3" t="s">
        <v>6983</v>
      </c>
      <c r="B1051" s="3" t="s">
        <v>6992</v>
      </c>
      <c r="C1051" s="3" t="s">
        <v>6985</v>
      </c>
      <c r="D1051" s="3" t="s">
        <v>1136</v>
      </c>
      <c r="E1051" s="3">
        <v>1050</v>
      </c>
      <c r="F1051" s="3" t="s">
        <v>4678</v>
      </c>
      <c r="G1051" s="3" t="s">
        <v>1100</v>
      </c>
      <c r="H1051" s="3" t="str">
        <f t="shared" si="17"/>
        <v>Data QA applied on Static Tension ML8, computed by BMT WinMon.</v>
      </c>
    </row>
    <row r="1052" spans="1:8" x14ac:dyDescent="0.25">
      <c r="A1052" s="3" t="s">
        <v>6983</v>
      </c>
      <c r="B1052" s="3" t="s">
        <v>6992</v>
      </c>
      <c r="C1052" s="3" t="s">
        <v>6985</v>
      </c>
      <c r="D1052" s="3" t="s">
        <v>1136</v>
      </c>
      <c r="E1052" s="3">
        <v>1051</v>
      </c>
      <c r="F1052" s="3" t="s">
        <v>4679</v>
      </c>
      <c r="G1052" s="3" t="s">
        <v>1100</v>
      </c>
      <c r="H1052" s="3" t="str">
        <f t="shared" si="17"/>
        <v>Data QA applied on Static Tension ML9, computed by BMT WinMon.</v>
      </c>
    </row>
    <row r="1053" spans="1:8" x14ac:dyDescent="0.25">
      <c r="A1053" s="3" t="s">
        <v>6983</v>
      </c>
      <c r="B1053" s="3" t="s">
        <v>6992</v>
      </c>
      <c r="C1053" s="3" t="s">
        <v>6985</v>
      </c>
      <c r="D1053" s="3" t="s">
        <v>1136</v>
      </c>
      <c r="E1053" s="3">
        <v>1052</v>
      </c>
      <c r="F1053" s="3" t="s">
        <v>4680</v>
      </c>
      <c r="G1053" s="3" t="s">
        <v>1093</v>
      </c>
      <c r="H1053" s="3" t="str">
        <f t="shared" si="17"/>
        <v>Data QA applied on Chain Footage ML1, computed by BMT WinMon.</v>
      </c>
    </row>
    <row r="1054" spans="1:8" x14ac:dyDescent="0.25">
      <c r="A1054" s="3" t="s">
        <v>6983</v>
      </c>
      <c r="B1054" s="3" t="s">
        <v>6992</v>
      </c>
      <c r="C1054" s="3" t="s">
        <v>6985</v>
      </c>
      <c r="D1054" s="3" t="s">
        <v>1136</v>
      </c>
      <c r="E1054" s="3">
        <v>1053</v>
      </c>
      <c r="F1054" s="3" t="s">
        <v>4681</v>
      </c>
      <c r="G1054" s="3" t="s">
        <v>1093</v>
      </c>
      <c r="H1054" s="3" t="str">
        <f t="shared" si="17"/>
        <v>Data QA applied on Chain Footage ML2, computed by BMT WinMon.</v>
      </c>
    </row>
    <row r="1055" spans="1:8" x14ac:dyDescent="0.25">
      <c r="A1055" s="3" t="s">
        <v>6983</v>
      </c>
      <c r="B1055" s="3" t="s">
        <v>6992</v>
      </c>
      <c r="C1055" s="3" t="s">
        <v>6985</v>
      </c>
      <c r="D1055" s="3" t="s">
        <v>1136</v>
      </c>
      <c r="E1055" s="3">
        <v>1054</v>
      </c>
      <c r="F1055" s="3" t="s">
        <v>4682</v>
      </c>
      <c r="G1055" s="3" t="s">
        <v>1093</v>
      </c>
      <c r="H1055" s="3" t="str">
        <f t="shared" si="17"/>
        <v>Data QA applied on Chain Footage ML3, computed by BMT WinMon.</v>
      </c>
    </row>
    <row r="1056" spans="1:8" x14ac:dyDescent="0.25">
      <c r="A1056" s="3" t="s">
        <v>6983</v>
      </c>
      <c r="B1056" s="3" t="s">
        <v>6992</v>
      </c>
      <c r="C1056" s="3" t="s">
        <v>6985</v>
      </c>
      <c r="D1056" s="3" t="s">
        <v>1136</v>
      </c>
      <c r="E1056" s="3">
        <v>1055</v>
      </c>
      <c r="F1056" s="3" t="s">
        <v>4683</v>
      </c>
      <c r="G1056" s="3" t="s">
        <v>1093</v>
      </c>
      <c r="H1056" s="3" t="str">
        <f t="shared" si="17"/>
        <v>Data QA applied on Chain Footage ML4, computed by BMT WinMon.</v>
      </c>
    </row>
    <row r="1057" spans="1:8" x14ac:dyDescent="0.25">
      <c r="A1057" s="3" t="s">
        <v>6983</v>
      </c>
      <c r="B1057" s="3" t="s">
        <v>6992</v>
      </c>
      <c r="C1057" s="3" t="s">
        <v>6985</v>
      </c>
      <c r="D1057" s="3" t="s">
        <v>1136</v>
      </c>
      <c r="E1057" s="3">
        <v>1056</v>
      </c>
      <c r="F1057" s="3" t="s">
        <v>4684</v>
      </c>
      <c r="G1057" s="3" t="s">
        <v>1093</v>
      </c>
      <c r="H1057" s="3" t="str">
        <f t="shared" si="17"/>
        <v>Data QA applied on Chain Footage ML5, computed by BMT WinMon.</v>
      </c>
    </row>
    <row r="1058" spans="1:8" x14ac:dyDescent="0.25">
      <c r="A1058" s="3" t="s">
        <v>6983</v>
      </c>
      <c r="B1058" s="3" t="s">
        <v>6992</v>
      </c>
      <c r="C1058" s="3" t="s">
        <v>6985</v>
      </c>
      <c r="D1058" s="3" t="s">
        <v>1136</v>
      </c>
      <c r="E1058" s="3">
        <v>1057</v>
      </c>
      <c r="F1058" s="3" t="s">
        <v>4685</v>
      </c>
      <c r="G1058" s="3" t="s">
        <v>1093</v>
      </c>
      <c r="H1058" s="3" t="str">
        <f t="shared" si="17"/>
        <v>Data QA applied on Chain Footage ML6, computed by BMT WinMon.</v>
      </c>
    </row>
    <row r="1059" spans="1:8" x14ac:dyDescent="0.25">
      <c r="A1059" s="3" t="s">
        <v>6983</v>
      </c>
      <c r="B1059" s="3" t="s">
        <v>6992</v>
      </c>
      <c r="C1059" s="3" t="s">
        <v>6985</v>
      </c>
      <c r="D1059" s="3" t="s">
        <v>1136</v>
      </c>
      <c r="E1059" s="3">
        <v>1058</v>
      </c>
      <c r="F1059" s="3" t="s">
        <v>4686</v>
      </c>
      <c r="G1059" s="3" t="s">
        <v>1093</v>
      </c>
      <c r="H1059" s="3" t="str">
        <f t="shared" si="17"/>
        <v>Data QA applied on Chain Footage ML7, computed by BMT WinMon.</v>
      </c>
    </row>
    <row r="1060" spans="1:8" x14ac:dyDescent="0.25">
      <c r="A1060" s="3" t="s">
        <v>6983</v>
      </c>
      <c r="B1060" s="3" t="s">
        <v>6992</v>
      </c>
      <c r="C1060" s="3" t="s">
        <v>6985</v>
      </c>
      <c r="D1060" s="3" t="s">
        <v>1136</v>
      </c>
      <c r="E1060" s="3">
        <v>1059</v>
      </c>
      <c r="F1060" s="3" t="s">
        <v>4687</v>
      </c>
      <c r="G1060" s="3" t="s">
        <v>1093</v>
      </c>
      <c r="H1060" s="3" t="str">
        <f t="shared" si="17"/>
        <v>Data QA applied on Chain Footage ML8, computed by BMT WinMon.</v>
      </c>
    </row>
    <row r="1061" spans="1:8" x14ac:dyDescent="0.25">
      <c r="A1061" s="3" t="s">
        <v>6983</v>
      </c>
      <c r="B1061" s="3" t="s">
        <v>6992</v>
      </c>
      <c r="C1061" s="3" t="s">
        <v>6985</v>
      </c>
      <c r="D1061" s="3" t="s">
        <v>1136</v>
      </c>
      <c r="E1061" s="3">
        <v>1060</v>
      </c>
      <c r="F1061" s="3" t="s">
        <v>4688</v>
      </c>
      <c r="G1061" s="3" t="s">
        <v>1093</v>
      </c>
      <c r="H1061" s="3" t="str">
        <f t="shared" si="17"/>
        <v>Data QA applied on Chain Footage ML9, computed by BMT WinMon.</v>
      </c>
    </row>
    <row r="1062" spans="1:8" x14ac:dyDescent="0.25">
      <c r="A1062" s="3" t="s">
        <v>6983</v>
      </c>
      <c r="B1062" s="3" t="s">
        <v>6992</v>
      </c>
      <c r="C1062" s="3" t="s">
        <v>6985</v>
      </c>
      <c r="D1062" s="3" t="s">
        <v>1136</v>
      </c>
      <c r="E1062" s="3">
        <v>1061</v>
      </c>
      <c r="F1062" s="3" t="s">
        <v>4689</v>
      </c>
      <c r="G1062" s="3" t="s">
        <v>1093</v>
      </c>
      <c r="H1062" s="3" t="str">
        <f t="shared" si="17"/>
        <v>Data QA applied on 3NVB Ballast Tank Lvl, computed by BMT WinMon.</v>
      </c>
    </row>
    <row r="1063" spans="1:8" x14ac:dyDescent="0.25">
      <c r="A1063" s="3" t="s">
        <v>6983</v>
      </c>
      <c r="B1063" s="3" t="s">
        <v>6992</v>
      </c>
      <c r="C1063" s="3" t="s">
        <v>6985</v>
      </c>
      <c r="D1063" s="3" t="s">
        <v>1136</v>
      </c>
      <c r="E1063" s="3">
        <v>1062</v>
      </c>
      <c r="F1063" s="3" t="s">
        <v>4690</v>
      </c>
      <c r="G1063" s="3" t="s">
        <v>1093</v>
      </c>
      <c r="H1063" s="3" t="str">
        <f t="shared" si="17"/>
        <v>Data QA applied on 3EVB Ballast Tank Lvl, computed by BMT WinMon.</v>
      </c>
    </row>
    <row r="1064" spans="1:8" x14ac:dyDescent="0.25">
      <c r="A1064" s="3" t="s">
        <v>6983</v>
      </c>
      <c r="B1064" s="3" t="s">
        <v>6992</v>
      </c>
      <c r="C1064" s="3" t="s">
        <v>6985</v>
      </c>
      <c r="D1064" s="3" t="s">
        <v>1136</v>
      </c>
      <c r="E1064" s="3">
        <v>1063</v>
      </c>
      <c r="F1064" s="3" t="s">
        <v>4691</v>
      </c>
      <c r="G1064" s="3" t="s">
        <v>1093</v>
      </c>
      <c r="H1064" s="3" t="str">
        <f t="shared" si="17"/>
        <v>Data QA applied on 3SVB Ballast Tank Lvl, computed by BMT WinMon.</v>
      </c>
    </row>
    <row r="1065" spans="1:8" x14ac:dyDescent="0.25">
      <c r="A1065" s="3" t="s">
        <v>6983</v>
      </c>
      <c r="B1065" s="3" t="s">
        <v>6992</v>
      </c>
      <c r="C1065" s="3" t="s">
        <v>6985</v>
      </c>
      <c r="D1065" s="3" t="s">
        <v>1136</v>
      </c>
      <c r="E1065" s="3">
        <v>1064</v>
      </c>
      <c r="F1065" s="3" t="s">
        <v>4692</v>
      </c>
      <c r="G1065" s="3" t="s">
        <v>1093</v>
      </c>
      <c r="H1065" s="3" t="str">
        <f t="shared" si="17"/>
        <v>Data QA applied on 3WVB Ballast Tank Lvl, computed by BMT WinMon.</v>
      </c>
    </row>
    <row r="1066" spans="1:8" x14ac:dyDescent="0.25">
      <c r="A1066" s="3" t="s">
        <v>6983</v>
      </c>
      <c r="B1066" s="3" t="s">
        <v>6992</v>
      </c>
      <c r="C1066" s="3" t="s">
        <v>6985</v>
      </c>
      <c r="D1066" s="3" t="s">
        <v>1136</v>
      </c>
      <c r="E1066" s="3">
        <v>1065</v>
      </c>
      <c r="F1066" s="3" t="s">
        <v>4693</v>
      </c>
      <c r="G1066" s="3" t="s">
        <v>1100</v>
      </c>
      <c r="H1066" s="3" t="str">
        <f t="shared" si="17"/>
        <v>Data QA applied on Hookload, computed by BMT WinMon.</v>
      </c>
    </row>
    <row r="1067" spans="1:8" x14ac:dyDescent="0.25">
      <c r="A1067" s="3" t="s">
        <v>6983</v>
      </c>
      <c r="B1067" s="3" t="s">
        <v>6992</v>
      </c>
      <c r="C1067" s="3" t="s">
        <v>6985</v>
      </c>
      <c r="D1067" s="3" t="s">
        <v>1136</v>
      </c>
      <c r="E1067" s="3">
        <v>1066</v>
      </c>
      <c r="F1067" s="3" t="s">
        <v>4694</v>
      </c>
      <c r="G1067" s="3" t="s">
        <v>1100</v>
      </c>
      <c r="H1067" s="3" t="str">
        <f t="shared" si="17"/>
        <v>Data QA applied on Riser S-A Tension, computed by BMT WinMon.</v>
      </c>
    </row>
    <row r="1068" spans="1:8" x14ac:dyDescent="0.25">
      <c r="A1068" s="3" t="s">
        <v>6983</v>
      </c>
      <c r="B1068" s="3" t="s">
        <v>6992</v>
      </c>
      <c r="C1068" s="3" t="s">
        <v>6985</v>
      </c>
      <c r="D1068" s="3" t="s">
        <v>1136</v>
      </c>
      <c r="E1068" s="3">
        <v>1067</v>
      </c>
      <c r="F1068" s="3" t="s">
        <v>4695</v>
      </c>
      <c r="G1068" s="3" t="s">
        <v>1100</v>
      </c>
      <c r="H1068" s="3" t="str">
        <f t="shared" si="17"/>
        <v>Data QA applied on Riser S-B Tension, computed by BMT WinMon.</v>
      </c>
    </row>
    <row r="1069" spans="1:8" x14ac:dyDescent="0.25">
      <c r="A1069" s="3" t="s">
        <v>6983</v>
      </c>
      <c r="B1069" s="3" t="s">
        <v>6992</v>
      </c>
      <c r="C1069" s="3" t="s">
        <v>6985</v>
      </c>
      <c r="D1069" s="3" t="s">
        <v>1136</v>
      </c>
      <c r="E1069" s="3">
        <v>1068</v>
      </c>
      <c r="F1069" s="3" t="s">
        <v>4696</v>
      </c>
      <c r="G1069" s="3" t="s">
        <v>1100</v>
      </c>
      <c r="H1069" s="3" t="str">
        <f t="shared" si="17"/>
        <v>Data QA applied on Riser S-C Tension, computed by BMT WinMon.</v>
      </c>
    </row>
    <row r="1070" spans="1:8" x14ac:dyDescent="0.25">
      <c r="A1070" s="3" t="s">
        <v>6983</v>
      </c>
      <c r="B1070" s="3" t="s">
        <v>6992</v>
      </c>
      <c r="C1070" s="3" t="s">
        <v>6985</v>
      </c>
      <c r="D1070" s="3" t="s">
        <v>1136</v>
      </c>
      <c r="E1070" s="3">
        <v>1069</v>
      </c>
      <c r="F1070" s="3" t="s">
        <v>4697</v>
      </c>
      <c r="G1070" s="3" t="s">
        <v>1100</v>
      </c>
      <c r="H1070" s="3" t="str">
        <f t="shared" si="17"/>
        <v>Data QA applied on Riser S-D Tension, computed by BMT WinMon.</v>
      </c>
    </row>
    <row r="1071" spans="1:8" x14ac:dyDescent="0.25">
      <c r="A1071" s="3" t="s">
        <v>6983</v>
      </c>
      <c r="B1071" s="3" t="s">
        <v>6992</v>
      </c>
      <c r="C1071" s="3" t="s">
        <v>6985</v>
      </c>
      <c r="D1071" s="3" t="s">
        <v>1136</v>
      </c>
      <c r="E1071" s="3">
        <v>1070</v>
      </c>
      <c r="F1071" s="3" t="s">
        <v>4698</v>
      </c>
      <c r="G1071" s="3" t="s">
        <v>1100</v>
      </c>
      <c r="H1071" s="3" t="str">
        <f t="shared" si="17"/>
        <v>Data QA applied on Riser S-E Tension, computed by BMT WinMon.</v>
      </c>
    </row>
    <row r="1072" spans="1:8" x14ac:dyDescent="0.25">
      <c r="A1072" s="3" t="s">
        <v>6983</v>
      </c>
      <c r="B1072" s="3" t="s">
        <v>6992</v>
      </c>
      <c r="C1072" s="3" t="s">
        <v>6985</v>
      </c>
      <c r="D1072" s="3" t="s">
        <v>1136</v>
      </c>
      <c r="E1072" s="3">
        <v>1071</v>
      </c>
      <c r="F1072" s="3" t="s">
        <v>4699</v>
      </c>
      <c r="G1072" s="3" t="s">
        <v>1100</v>
      </c>
      <c r="H1072" s="3" t="str">
        <f t="shared" si="17"/>
        <v>Data QA applied on Riser S-DCR Tension, computed by BMT WinMon.</v>
      </c>
    </row>
    <row r="1073" spans="1:10" x14ac:dyDescent="0.25">
      <c r="A1073" s="3" t="s">
        <v>6983</v>
      </c>
      <c r="B1073" s="3" t="s">
        <v>6992</v>
      </c>
      <c r="C1073" s="3" t="s">
        <v>6985</v>
      </c>
      <c r="D1073" s="3" t="s">
        <v>6328</v>
      </c>
      <c r="E1073" s="3">
        <v>1072</v>
      </c>
      <c r="F1073" s="3" t="s">
        <v>878</v>
      </c>
      <c r="G1073" s="3" t="s">
        <v>16</v>
      </c>
      <c r="H1073" s="4" t="s">
        <v>6954</v>
      </c>
    </row>
    <row r="1074" spans="1:10" x14ac:dyDescent="0.25">
      <c r="A1074" s="3" t="s">
        <v>6983</v>
      </c>
      <c r="B1074" s="3" t="s">
        <v>6992</v>
      </c>
      <c r="C1074" s="3" t="s">
        <v>6985</v>
      </c>
      <c r="D1074" s="3" t="s">
        <v>6328</v>
      </c>
      <c r="E1074" s="3">
        <v>1073</v>
      </c>
      <c r="F1074" s="3" t="s">
        <v>879</v>
      </c>
      <c r="G1074" s="3" t="s">
        <v>1110</v>
      </c>
      <c r="H1074" s="4" t="s">
        <v>6955</v>
      </c>
    </row>
    <row r="1075" spans="1:10" x14ac:dyDescent="0.25">
      <c r="A1075" s="3" t="s">
        <v>6983</v>
      </c>
      <c r="B1075" s="3" t="s">
        <v>6992</v>
      </c>
      <c r="C1075" s="3" t="s">
        <v>6985</v>
      </c>
      <c r="D1075" s="3" t="s">
        <v>6328</v>
      </c>
      <c r="E1075" s="3">
        <v>1074</v>
      </c>
      <c r="F1075" s="3" t="s">
        <v>880</v>
      </c>
      <c r="G1075" s="3" t="s">
        <v>1110</v>
      </c>
      <c r="H1075" s="4" t="s">
        <v>6956</v>
      </c>
    </row>
    <row r="1076" spans="1:10" x14ac:dyDescent="0.25">
      <c r="A1076" s="3" t="s">
        <v>6983</v>
      </c>
      <c r="B1076" s="3" t="s">
        <v>6992</v>
      </c>
      <c r="C1076" s="3" t="s">
        <v>6985</v>
      </c>
      <c r="D1076" s="3" t="s">
        <v>6327</v>
      </c>
      <c r="E1076" s="3">
        <v>1075</v>
      </c>
      <c r="F1076" s="3" t="s">
        <v>2096</v>
      </c>
      <c r="G1076" s="3" t="s">
        <v>13</v>
      </c>
      <c r="H1076" s="3" t="s">
        <v>6691</v>
      </c>
      <c r="J1076" s="3" t="s">
        <v>6696</v>
      </c>
    </row>
    <row r="1077" spans="1:10" x14ac:dyDescent="0.25">
      <c r="A1077" s="3" t="s">
        <v>6983</v>
      </c>
      <c r="B1077" s="3" t="s">
        <v>6992</v>
      </c>
      <c r="C1077" s="3" t="s">
        <v>6985</v>
      </c>
      <c r="D1077" s="3" t="s">
        <v>6327</v>
      </c>
      <c r="E1077" s="3">
        <v>1076</v>
      </c>
      <c r="F1077" s="3" t="s">
        <v>2097</v>
      </c>
      <c r="G1077" s="3" t="s">
        <v>13</v>
      </c>
      <c r="H1077" s="3" t="s">
        <v>6692</v>
      </c>
    </row>
    <row r="1078" spans="1:10" x14ac:dyDescent="0.25">
      <c r="A1078" s="3" t="s">
        <v>6983</v>
      </c>
      <c r="B1078" s="3" t="s">
        <v>6992</v>
      </c>
      <c r="C1078" s="3" t="s">
        <v>6985</v>
      </c>
      <c r="D1078" s="3" t="s">
        <v>6324</v>
      </c>
      <c r="E1078" s="3">
        <v>1077</v>
      </c>
      <c r="F1078" s="3" t="s">
        <v>883</v>
      </c>
      <c r="G1078" s="3" t="s">
        <v>13</v>
      </c>
      <c r="H1078" s="3" t="s">
        <v>6693</v>
      </c>
    </row>
    <row r="1079" spans="1:10" x14ac:dyDescent="0.25">
      <c r="A1079" s="3" t="s">
        <v>6983</v>
      </c>
      <c r="B1079" s="3" t="s">
        <v>6992</v>
      </c>
      <c r="C1079" s="3" t="s">
        <v>6985</v>
      </c>
      <c r="D1079" s="3" t="s">
        <v>6324</v>
      </c>
      <c r="E1079" s="3">
        <v>1078</v>
      </c>
      <c r="F1079" s="3" t="s">
        <v>884</v>
      </c>
      <c r="G1079" s="3" t="s">
        <v>13</v>
      </c>
      <c r="H1079" s="3" t="s">
        <v>6694</v>
      </c>
    </row>
    <row r="1080" spans="1:10" x14ac:dyDescent="0.25">
      <c r="A1080" s="3" t="s">
        <v>6983</v>
      </c>
      <c r="B1080" s="3" t="s">
        <v>6992</v>
      </c>
      <c r="C1080" s="3" t="s">
        <v>6985</v>
      </c>
      <c r="D1080" s="3" t="s">
        <v>6324</v>
      </c>
      <c r="E1080" s="3">
        <v>1079</v>
      </c>
      <c r="F1080" s="3" t="s">
        <v>885</v>
      </c>
      <c r="G1080" s="3" t="s">
        <v>13</v>
      </c>
      <c r="H1080" s="3" t="s">
        <v>6695</v>
      </c>
    </row>
    <row r="1081" spans="1:10" x14ac:dyDescent="0.25">
      <c r="A1081" s="3" t="s">
        <v>6983</v>
      </c>
      <c r="B1081" s="3" t="s">
        <v>6992</v>
      </c>
      <c r="C1081" s="3" t="s">
        <v>6985</v>
      </c>
      <c r="D1081" s="3" t="s">
        <v>1138</v>
      </c>
      <c r="E1081" s="3">
        <v>1080</v>
      </c>
      <c r="F1081" s="3" t="s">
        <v>4700</v>
      </c>
      <c r="G1081" s="3" t="s">
        <v>1093</v>
      </c>
      <c r="H1081" s="4" t="s">
        <v>1221</v>
      </c>
    </row>
    <row r="1082" spans="1:10" x14ac:dyDescent="0.25">
      <c r="A1082" s="3" t="s">
        <v>6983</v>
      </c>
      <c r="B1082" s="3" t="s">
        <v>6992</v>
      </c>
      <c r="C1082" s="3" t="s">
        <v>6985</v>
      </c>
      <c r="D1082" s="3" t="s">
        <v>1136</v>
      </c>
      <c r="E1082" s="3">
        <v>1081</v>
      </c>
      <c r="F1082" s="3" t="s">
        <v>4701</v>
      </c>
      <c r="G1082" s="3" t="s">
        <v>16</v>
      </c>
    </row>
    <row r="1083" spans="1:10" x14ac:dyDescent="0.25">
      <c r="A1083" s="3" t="s">
        <v>6983</v>
      </c>
      <c r="B1083" s="3" t="s">
        <v>6992</v>
      </c>
      <c r="C1083" s="3" t="s">
        <v>6985</v>
      </c>
      <c r="D1083" s="3" t="s">
        <v>1136</v>
      </c>
      <c r="E1083" s="3">
        <v>1082</v>
      </c>
      <c r="F1083" s="3" t="s">
        <v>4702</v>
      </c>
      <c r="G1083" s="3" t="s">
        <v>16</v>
      </c>
    </row>
    <row r="1084" spans="1:10" x14ac:dyDescent="0.25">
      <c r="A1084" s="3" t="s">
        <v>6983</v>
      </c>
      <c r="B1084" s="3" t="s">
        <v>6992</v>
      </c>
      <c r="C1084" s="3" t="s">
        <v>6985</v>
      </c>
      <c r="D1084" s="3" t="s">
        <v>1136</v>
      </c>
      <c r="E1084" s="3">
        <v>1083</v>
      </c>
      <c r="F1084" s="3" t="s">
        <v>4703</v>
      </c>
      <c r="G1084" s="3" t="s">
        <v>16</v>
      </c>
    </row>
    <row r="1085" spans="1:10" x14ac:dyDescent="0.25">
      <c r="A1085" s="3" t="s">
        <v>6983</v>
      </c>
      <c r="B1085" s="3" t="s">
        <v>6992</v>
      </c>
      <c r="C1085" s="3" t="s">
        <v>6985</v>
      </c>
      <c r="D1085" s="3" t="s">
        <v>1136</v>
      </c>
      <c r="E1085" s="3">
        <v>1084</v>
      </c>
      <c r="F1085" s="3" t="s">
        <v>4704</v>
      </c>
      <c r="G1085" s="3" t="s">
        <v>16</v>
      </c>
    </row>
    <row r="1086" spans="1:10" x14ac:dyDescent="0.25">
      <c r="A1086" s="3" t="s">
        <v>6983</v>
      </c>
      <c r="B1086" s="3" t="s">
        <v>6992</v>
      </c>
      <c r="C1086" s="3" t="s">
        <v>6985</v>
      </c>
      <c r="D1086" s="3" t="s">
        <v>1136</v>
      </c>
      <c r="E1086" s="3">
        <v>1085</v>
      </c>
      <c r="F1086" s="3" t="s">
        <v>4705</v>
      </c>
      <c r="G1086" s="3" t="s">
        <v>16</v>
      </c>
    </row>
    <row r="1087" spans="1:10" x14ac:dyDescent="0.25">
      <c r="A1087" s="3" t="s">
        <v>6983</v>
      </c>
      <c r="B1087" s="3" t="s">
        <v>6992</v>
      </c>
      <c r="C1087" s="3" t="s">
        <v>6985</v>
      </c>
      <c r="D1087" s="3" t="s">
        <v>1136</v>
      </c>
      <c r="E1087" s="3">
        <v>1086</v>
      </c>
      <c r="F1087" s="3" t="s">
        <v>4706</v>
      </c>
      <c r="G1087" s="3" t="s">
        <v>16</v>
      </c>
    </row>
    <row r="1088" spans="1:10" x14ac:dyDescent="0.25">
      <c r="A1088" s="3" t="s">
        <v>6983</v>
      </c>
      <c r="B1088" s="3" t="s">
        <v>6992</v>
      </c>
      <c r="C1088" s="3" t="s">
        <v>6985</v>
      </c>
      <c r="D1088" s="3" t="s">
        <v>1136</v>
      </c>
      <c r="E1088" s="3">
        <v>1087</v>
      </c>
      <c r="F1088" s="3" t="s">
        <v>4707</v>
      </c>
      <c r="G1088" s="3" t="s">
        <v>16</v>
      </c>
    </row>
    <row r="1089" spans="1:8" x14ac:dyDescent="0.25">
      <c r="A1089" s="3" t="s">
        <v>6983</v>
      </c>
      <c r="B1089" s="3" t="s">
        <v>6992</v>
      </c>
      <c r="C1089" s="3" t="s">
        <v>6985</v>
      </c>
      <c r="D1089" s="3" t="s">
        <v>1136</v>
      </c>
      <c r="E1089" s="3">
        <v>1088</v>
      </c>
      <c r="F1089" s="3" t="s">
        <v>4708</v>
      </c>
      <c r="G1089" s="3" t="s">
        <v>16</v>
      </c>
    </row>
    <row r="1090" spans="1:8" x14ac:dyDescent="0.25">
      <c r="A1090" s="3" t="s">
        <v>6983</v>
      </c>
      <c r="B1090" s="3" t="s">
        <v>6992</v>
      </c>
      <c r="C1090" s="3" t="s">
        <v>6985</v>
      </c>
      <c r="D1090" s="3" t="s">
        <v>1136</v>
      </c>
      <c r="E1090" s="3">
        <v>1089</v>
      </c>
      <c r="F1090" s="3" t="s">
        <v>4709</v>
      </c>
      <c r="G1090" s="3" t="s">
        <v>16</v>
      </c>
    </row>
    <row r="1091" spans="1:8" x14ac:dyDescent="0.25">
      <c r="A1091" s="3" t="s">
        <v>6983</v>
      </c>
      <c r="B1091" s="3" t="s">
        <v>6992</v>
      </c>
      <c r="C1091" s="3" t="s">
        <v>6985</v>
      </c>
      <c r="D1091" s="3" t="s">
        <v>6326</v>
      </c>
      <c r="E1091" s="3">
        <v>1090</v>
      </c>
      <c r="F1091" s="3" t="s">
        <v>4710</v>
      </c>
      <c r="G1091" s="3" t="s">
        <v>1101</v>
      </c>
      <c r="H1091" s="4" t="str">
        <f>_xlfn.CONCAT("Output ",F1091, " from LMP.")</f>
        <v>Output Lightship Mt Vert from LMP.</v>
      </c>
    </row>
    <row r="1092" spans="1:8" x14ac:dyDescent="0.25">
      <c r="A1092" s="3" t="s">
        <v>6983</v>
      </c>
      <c r="B1092" s="3" t="s">
        <v>6992</v>
      </c>
      <c r="C1092" s="3" t="s">
        <v>6985</v>
      </c>
      <c r="D1092" s="3" t="s">
        <v>6326</v>
      </c>
      <c r="E1092" s="3">
        <v>1091</v>
      </c>
      <c r="F1092" s="3" t="s">
        <v>4711</v>
      </c>
      <c r="G1092" s="3" t="s">
        <v>1101</v>
      </c>
      <c r="H1092" s="4" t="str">
        <f t="shared" ref="H1092:H1155" si="18">_xlfn.CONCAT("Output ",F1092, " from LMP.")</f>
        <v>Output Lightship Mt EW from LMP.</v>
      </c>
    </row>
    <row r="1093" spans="1:8" x14ac:dyDescent="0.25">
      <c r="A1093" s="3" t="s">
        <v>6983</v>
      </c>
      <c r="B1093" s="3" t="s">
        <v>6992</v>
      </c>
      <c r="C1093" s="3" t="s">
        <v>6985</v>
      </c>
      <c r="D1093" s="3" t="s">
        <v>6326</v>
      </c>
      <c r="E1093" s="3">
        <v>1092</v>
      </c>
      <c r="F1093" s="3" t="s">
        <v>4712</v>
      </c>
      <c r="G1093" s="3" t="s">
        <v>1101</v>
      </c>
      <c r="H1093" s="4" t="str">
        <f t="shared" si="18"/>
        <v>Output Lightship Mt NS from LMP.</v>
      </c>
    </row>
    <row r="1094" spans="1:8" x14ac:dyDescent="0.25">
      <c r="A1094" s="3" t="s">
        <v>6983</v>
      </c>
      <c r="B1094" s="3" t="s">
        <v>6992</v>
      </c>
      <c r="C1094" s="3" t="s">
        <v>6985</v>
      </c>
      <c r="D1094" s="3" t="s">
        <v>6326</v>
      </c>
      <c r="E1094" s="3">
        <v>1093</v>
      </c>
      <c r="F1094" s="3" t="s">
        <v>4713</v>
      </c>
      <c r="G1094" s="3" t="s">
        <v>1101</v>
      </c>
      <c r="H1094" s="4" t="str">
        <f t="shared" si="18"/>
        <v>Output Lightship Ch Mt Vert from LMP.</v>
      </c>
    </row>
    <row r="1095" spans="1:8" x14ac:dyDescent="0.25">
      <c r="A1095" s="3" t="s">
        <v>6983</v>
      </c>
      <c r="B1095" s="3" t="s">
        <v>6992</v>
      </c>
      <c r="C1095" s="3" t="s">
        <v>6985</v>
      </c>
      <c r="D1095" s="3" t="s">
        <v>6326</v>
      </c>
      <c r="E1095" s="3">
        <v>1094</v>
      </c>
      <c r="F1095" s="3" t="s">
        <v>4714</v>
      </c>
      <c r="G1095" s="3" t="s">
        <v>1101</v>
      </c>
      <c r="H1095" s="4" t="str">
        <f t="shared" si="18"/>
        <v>Output Lightship Ch Mt EW from LMP.</v>
      </c>
    </row>
    <row r="1096" spans="1:8" x14ac:dyDescent="0.25">
      <c r="A1096" s="3" t="s">
        <v>6983</v>
      </c>
      <c r="B1096" s="3" t="s">
        <v>6992</v>
      </c>
      <c r="C1096" s="3" t="s">
        <v>6985</v>
      </c>
      <c r="D1096" s="3" t="s">
        <v>6326</v>
      </c>
      <c r="E1096" s="3">
        <v>1095</v>
      </c>
      <c r="F1096" s="3" t="s">
        <v>4715</v>
      </c>
      <c r="G1096" s="3" t="s">
        <v>1101</v>
      </c>
      <c r="H1096" s="4" t="str">
        <f t="shared" si="18"/>
        <v>Output Lightship Ch Mt NS from LMP.</v>
      </c>
    </row>
    <row r="1097" spans="1:8" x14ac:dyDescent="0.25">
      <c r="A1097" s="3" t="s">
        <v>6983</v>
      </c>
      <c r="B1097" s="3" t="s">
        <v>6992</v>
      </c>
      <c r="C1097" s="3" t="s">
        <v>6985</v>
      </c>
      <c r="D1097" s="3" t="s">
        <v>6326</v>
      </c>
      <c r="E1097" s="3">
        <v>1096</v>
      </c>
      <c r="F1097" s="3" t="s">
        <v>4716</v>
      </c>
      <c r="G1097" s="3" t="s">
        <v>1101</v>
      </c>
      <c r="H1097" s="4" t="str">
        <f t="shared" si="18"/>
        <v>Output Ballast Mt Vert from LMP.</v>
      </c>
    </row>
    <row r="1098" spans="1:8" x14ac:dyDescent="0.25">
      <c r="A1098" s="3" t="s">
        <v>6983</v>
      </c>
      <c r="B1098" s="3" t="s">
        <v>6992</v>
      </c>
      <c r="C1098" s="3" t="s">
        <v>6985</v>
      </c>
      <c r="D1098" s="3" t="s">
        <v>6326</v>
      </c>
      <c r="E1098" s="3">
        <v>1097</v>
      </c>
      <c r="F1098" s="3" t="s">
        <v>4717</v>
      </c>
      <c r="G1098" s="3" t="s">
        <v>1101</v>
      </c>
      <c r="H1098" s="4" t="str">
        <f t="shared" si="18"/>
        <v>Output Ballast Mt EW from LMP.</v>
      </c>
    </row>
    <row r="1099" spans="1:8" x14ac:dyDescent="0.25">
      <c r="A1099" s="3" t="s">
        <v>6983</v>
      </c>
      <c r="B1099" s="3" t="s">
        <v>6992</v>
      </c>
      <c r="C1099" s="3" t="s">
        <v>6985</v>
      </c>
      <c r="D1099" s="3" t="s">
        <v>6326</v>
      </c>
      <c r="E1099" s="3">
        <v>1098</v>
      </c>
      <c r="F1099" s="3" t="s">
        <v>4718</v>
      </c>
      <c r="G1099" s="3" t="s">
        <v>1101</v>
      </c>
      <c r="H1099" s="4" t="str">
        <f t="shared" si="18"/>
        <v>Output Ballast Mt NS from LMP.</v>
      </c>
    </row>
    <row r="1100" spans="1:8" x14ac:dyDescent="0.25">
      <c r="A1100" s="3" t="s">
        <v>6983</v>
      </c>
      <c r="B1100" s="3" t="s">
        <v>6992</v>
      </c>
      <c r="C1100" s="3" t="s">
        <v>6985</v>
      </c>
      <c r="D1100" s="3" t="s">
        <v>6326</v>
      </c>
      <c r="E1100" s="3">
        <v>1099</v>
      </c>
      <c r="F1100" s="3" t="s">
        <v>4719</v>
      </c>
      <c r="G1100" s="3" t="s">
        <v>1101</v>
      </c>
      <c r="H1100" s="4" t="str">
        <f t="shared" si="18"/>
        <v>Output Ballast FS Mt EW from LMP.</v>
      </c>
    </row>
    <row r="1101" spans="1:8" x14ac:dyDescent="0.25">
      <c r="A1101" s="3" t="s">
        <v>6983</v>
      </c>
      <c r="B1101" s="3" t="s">
        <v>6992</v>
      </c>
      <c r="C1101" s="3" t="s">
        <v>6985</v>
      </c>
      <c r="D1101" s="3" t="s">
        <v>6326</v>
      </c>
      <c r="E1101" s="3">
        <v>1100</v>
      </c>
      <c r="F1101" s="3" t="s">
        <v>4720</v>
      </c>
      <c r="G1101" s="3" t="s">
        <v>1101</v>
      </c>
      <c r="H1101" s="4" t="str">
        <f t="shared" si="18"/>
        <v>Output Ballast FS Mt NS from LMP.</v>
      </c>
    </row>
    <row r="1102" spans="1:8" x14ac:dyDescent="0.25">
      <c r="A1102" s="3" t="s">
        <v>6983</v>
      </c>
      <c r="B1102" s="3" t="s">
        <v>6992</v>
      </c>
      <c r="C1102" s="3" t="s">
        <v>6985</v>
      </c>
      <c r="D1102" s="3" t="s">
        <v>6326</v>
      </c>
      <c r="E1102" s="3">
        <v>1101</v>
      </c>
      <c r="F1102" s="3" t="s">
        <v>4721</v>
      </c>
      <c r="G1102" s="3" t="s">
        <v>1101</v>
      </c>
      <c r="H1102" s="4" t="str">
        <f t="shared" si="18"/>
        <v>Output Diesel Oil Mt Vert from LMP.</v>
      </c>
    </row>
    <row r="1103" spans="1:8" x14ac:dyDescent="0.25">
      <c r="A1103" s="3" t="s">
        <v>6983</v>
      </c>
      <c r="B1103" s="3" t="s">
        <v>6992</v>
      </c>
      <c r="C1103" s="3" t="s">
        <v>6985</v>
      </c>
      <c r="D1103" s="3" t="s">
        <v>6326</v>
      </c>
      <c r="E1103" s="3">
        <v>1102</v>
      </c>
      <c r="F1103" s="3" t="s">
        <v>4722</v>
      </c>
      <c r="G1103" s="3" t="s">
        <v>1101</v>
      </c>
      <c r="H1103" s="4" t="str">
        <f t="shared" si="18"/>
        <v>Output Diesel Oil Mt EW from LMP.</v>
      </c>
    </row>
    <row r="1104" spans="1:8" x14ac:dyDescent="0.25">
      <c r="A1104" s="3" t="s">
        <v>6983</v>
      </c>
      <c r="B1104" s="3" t="s">
        <v>6992</v>
      </c>
      <c r="C1104" s="3" t="s">
        <v>6985</v>
      </c>
      <c r="D1104" s="3" t="s">
        <v>6326</v>
      </c>
      <c r="E1104" s="3">
        <v>1103</v>
      </c>
      <c r="F1104" s="3" t="s">
        <v>4723</v>
      </c>
      <c r="G1104" s="3" t="s">
        <v>1101</v>
      </c>
      <c r="H1104" s="4" t="str">
        <f t="shared" si="18"/>
        <v>Output Diesel Oil FS Mt EW from LMP.</v>
      </c>
    </row>
    <row r="1105" spans="1:8" x14ac:dyDescent="0.25">
      <c r="A1105" s="3" t="s">
        <v>6983</v>
      </c>
      <c r="B1105" s="3" t="s">
        <v>6992</v>
      </c>
      <c r="C1105" s="3" t="s">
        <v>6985</v>
      </c>
      <c r="D1105" s="3" t="s">
        <v>6326</v>
      </c>
      <c r="E1105" s="3">
        <v>1104</v>
      </c>
      <c r="F1105" s="3" t="s">
        <v>4724</v>
      </c>
      <c r="G1105" s="3" t="s">
        <v>1101</v>
      </c>
      <c r="H1105" s="4" t="str">
        <f t="shared" si="18"/>
        <v>Output Diesel Oil FS Mt NS from LMP.</v>
      </c>
    </row>
    <row r="1106" spans="1:8" x14ac:dyDescent="0.25">
      <c r="A1106" s="3" t="s">
        <v>6983</v>
      </c>
      <c r="B1106" s="3" t="s">
        <v>6992</v>
      </c>
      <c r="C1106" s="3" t="s">
        <v>6985</v>
      </c>
      <c r="D1106" s="3" t="s">
        <v>6326</v>
      </c>
      <c r="E1106" s="3">
        <v>1105</v>
      </c>
      <c r="F1106" s="3" t="s">
        <v>4725</v>
      </c>
      <c r="G1106" s="3" t="s">
        <v>1101</v>
      </c>
      <c r="H1106" s="4" t="str">
        <f t="shared" si="18"/>
        <v>Output Drill Water Mt Vert from LMP.</v>
      </c>
    </row>
    <row r="1107" spans="1:8" x14ac:dyDescent="0.25">
      <c r="A1107" s="3" t="s">
        <v>6983</v>
      </c>
      <c r="B1107" s="3" t="s">
        <v>6992</v>
      </c>
      <c r="C1107" s="3" t="s">
        <v>6985</v>
      </c>
      <c r="D1107" s="3" t="s">
        <v>6326</v>
      </c>
      <c r="E1107" s="3">
        <v>1106</v>
      </c>
      <c r="F1107" s="3" t="s">
        <v>4726</v>
      </c>
      <c r="G1107" s="3" t="s">
        <v>1101</v>
      </c>
      <c r="H1107" s="4" t="str">
        <f t="shared" si="18"/>
        <v>Output Drill Water Mt EW from LMP.</v>
      </c>
    </row>
    <row r="1108" spans="1:8" x14ac:dyDescent="0.25">
      <c r="A1108" s="3" t="s">
        <v>6983</v>
      </c>
      <c r="B1108" s="3" t="s">
        <v>6992</v>
      </c>
      <c r="C1108" s="3" t="s">
        <v>6985</v>
      </c>
      <c r="D1108" s="3" t="s">
        <v>6326</v>
      </c>
      <c r="E1108" s="3">
        <v>1107</v>
      </c>
      <c r="F1108" s="3" t="s">
        <v>4727</v>
      </c>
      <c r="G1108" s="3" t="s">
        <v>1101</v>
      </c>
      <c r="H1108" s="4" t="str">
        <f t="shared" si="18"/>
        <v>Output Drill Water Mt NS from LMP.</v>
      </c>
    </row>
    <row r="1109" spans="1:8" x14ac:dyDescent="0.25">
      <c r="A1109" s="3" t="s">
        <v>6983</v>
      </c>
      <c r="B1109" s="3" t="s">
        <v>6992</v>
      </c>
      <c r="C1109" s="3" t="s">
        <v>6985</v>
      </c>
      <c r="D1109" s="3" t="s">
        <v>6326</v>
      </c>
      <c r="E1109" s="3">
        <v>1108</v>
      </c>
      <c r="F1109" s="3" t="s">
        <v>4728</v>
      </c>
      <c r="G1109" s="3" t="s">
        <v>1101</v>
      </c>
      <c r="H1109" s="4" t="str">
        <f t="shared" si="18"/>
        <v>Output Drill Water FS Mt EW from LMP.</v>
      </c>
    </row>
    <row r="1110" spans="1:8" x14ac:dyDescent="0.25">
      <c r="A1110" s="3" t="s">
        <v>6983</v>
      </c>
      <c r="B1110" s="3" t="s">
        <v>6992</v>
      </c>
      <c r="C1110" s="3" t="s">
        <v>6985</v>
      </c>
      <c r="D1110" s="3" t="s">
        <v>6326</v>
      </c>
      <c r="E1110" s="3">
        <v>1109</v>
      </c>
      <c r="F1110" s="3" t="s">
        <v>4729</v>
      </c>
      <c r="G1110" s="3" t="s">
        <v>1101</v>
      </c>
      <c r="H1110" s="4" t="str">
        <f t="shared" si="18"/>
        <v>Output Drill Water FS Mt NS from LMP.</v>
      </c>
    </row>
    <row r="1111" spans="1:8" x14ac:dyDescent="0.25">
      <c r="A1111" s="3" t="s">
        <v>6983</v>
      </c>
      <c r="B1111" s="3" t="s">
        <v>6992</v>
      </c>
      <c r="C1111" s="3" t="s">
        <v>6985</v>
      </c>
      <c r="D1111" s="3" t="s">
        <v>6326</v>
      </c>
      <c r="E1111" s="3">
        <v>1110</v>
      </c>
      <c r="F1111" s="3" t="s">
        <v>4730</v>
      </c>
      <c r="G1111" s="3" t="s">
        <v>1101</v>
      </c>
      <c r="H1111" s="4" t="str">
        <f t="shared" si="18"/>
        <v>Output Methanol Mt Vert from LMP.</v>
      </c>
    </row>
    <row r="1112" spans="1:8" x14ac:dyDescent="0.25">
      <c r="A1112" s="3" t="s">
        <v>6983</v>
      </c>
      <c r="B1112" s="3" t="s">
        <v>6992</v>
      </c>
      <c r="C1112" s="3" t="s">
        <v>6985</v>
      </c>
      <c r="D1112" s="3" t="s">
        <v>6326</v>
      </c>
      <c r="E1112" s="3">
        <v>1111</v>
      </c>
      <c r="F1112" s="3" t="s">
        <v>4731</v>
      </c>
      <c r="G1112" s="3" t="s">
        <v>1101</v>
      </c>
      <c r="H1112" s="4" t="str">
        <f t="shared" si="18"/>
        <v>Output Methanol Mt EW from LMP.</v>
      </c>
    </row>
    <row r="1113" spans="1:8" x14ac:dyDescent="0.25">
      <c r="A1113" s="3" t="s">
        <v>6983</v>
      </c>
      <c r="B1113" s="3" t="s">
        <v>6992</v>
      </c>
      <c r="C1113" s="3" t="s">
        <v>6985</v>
      </c>
      <c r="D1113" s="3" t="s">
        <v>6326</v>
      </c>
      <c r="E1113" s="3">
        <v>1112</v>
      </c>
      <c r="F1113" s="3" t="s">
        <v>4732</v>
      </c>
      <c r="G1113" s="3" t="s">
        <v>1101</v>
      </c>
      <c r="H1113" s="4" t="str">
        <f t="shared" si="18"/>
        <v>Output Methanol Mt NS from LMP.</v>
      </c>
    </row>
    <row r="1114" spans="1:8" x14ac:dyDescent="0.25">
      <c r="A1114" s="3" t="s">
        <v>6983</v>
      </c>
      <c r="B1114" s="3" t="s">
        <v>6992</v>
      </c>
      <c r="C1114" s="3" t="s">
        <v>6985</v>
      </c>
      <c r="D1114" s="3" t="s">
        <v>6326</v>
      </c>
      <c r="E1114" s="3">
        <v>1113</v>
      </c>
      <c r="F1114" s="3" t="s">
        <v>4733</v>
      </c>
      <c r="G1114" s="3" t="s">
        <v>1101</v>
      </c>
      <c r="H1114" s="4" t="str">
        <f t="shared" si="18"/>
        <v>Output Methanol FS Mt EW from LMP.</v>
      </c>
    </row>
    <row r="1115" spans="1:8" x14ac:dyDescent="0.25">
      <c r="A1115" s="3" t="s">
        <v>6983</v>
      </c>
      <c r="B1115" s="3" t="s">
        <v>6992</v>
      </c>
      <c r="C1115" s="3" t="s">
        <v>6985</v>
      </c>
      <c r="D1115" s="3" t="s">
        <v>6326</v>
      </c>
      <c r="E1115" s="3">
        <v>1114</v>
      </c>
      <c r="F1115" s="3" t="s">
        <v>4734</v>
      </c>
      <c r="G1115" s="3" t="s">
        <v>1101</v>
      </c>
      <c r="H1115" s="4" t="str">
        <f t="shared" si="18"/>
        <v>Output Methanol FS Mt NS from LMP.</v>
      </c>
    </row>
    <row r="1116" spans="1:8" x14ac:dyDescent="0.25">
      <c r="A1116" s="3" t="s">
        <v>6983</v>
      </c>
      <c r="B1116" s="3" t="s">
        <v>6992</v>
      </c>
      <c r="C1116" s="3" t="s">
        <v>6985</v>
      </c>
      <c r="D1116" s="3" t="s">
        <v>6326</v>
      </c>
      <c r="E1116" s="3">
        <v>1115</v>
      </c>
      <c r="F1116" s="3" t="s">
        <v>4735</v>
      </c>
      <c r="G1116" s="3" t="s">
        <v>1101</v>
      </c>
      <c r="H1116" s="4" t="str">
        <f t="shared" si="18"/>
        <v>Output DO LDHI Mt Vert from LMP.</v>
      </c>
    </row>
    <row r="1117" spans="1:8" x14ac:dyDescent="0.25">
      <c r="A1117" s="3" t="s">
        <v>6983</v>
      </c>
      <c r="B1117" s="3" t="s">
        <v>6992</v>
      </c>
      <c r="C1117" s="3" t="s">
        <v>6985</v>
      </c>
      <c r="D1117" s="3" t="s">
        <v>6326</v>
      </c>
      <c r="E1117" s="3">
        <v>1116</v>
      </c>
      <c r="F1117" s="3" t="s">
        <v>4736</v>
      </c>
      <c r="G1117" s="3" t="s">
        <v>1101</v>
      </c>
      <c r="H1117" s="4" t="str">
        <f t="shared" si="18"/>
        <v>Output DO LDHI Mt EW from LMP.</v>
      </c>
    </row>
    <row r="1118" spans="1:8" x14ac:dyDescent="0.25">
      <c r="A1118" s="3" t="s">
        <v>6983</v>
      </c>
      <c r="B1118" s="3" t="s">
        <v>6992</v>
      </c>
      <c r="C1118" s="3" t="s">
        <v>6985</v>
      </c>
      <c r="D1118" s="3" t="s">
        <v>6326</v>
      </c>
      <c r="E1118" s="3">
        <v>1117</v>
      </c>
      <c r="F1118" s="3" t="s">
        <v>4737</v>
      </c>
      <c r="G1118" s="3" t="s">
        <v>1101</v>
      </c>
      <c r="H1118" s="4" t="str">
        <f t="shared" si="18"/>
        <v>Output DO LDHI Mt NS from LMP.</v>
      </c>
    </row>
    <row r="1119" spans="1:8" x14ac:dyDescent="0.25">
      <c r="A1119" s="3" t="s">
        <v>6983</v>
      </c>
      <c r="B1119" s="3" t="s">
        <v>6992</v>
      </c>
      <c r="C1119" s="3" t="s">
        <v>6985</v>
      </c>
      <c r="D1119" s="3" t="s">
        <v>6326</v>
      </c>
      <c r="E1119" s="3">
        <v>1118</v>
      </c>
      <c r="F1119" s="3" t="s">
        <v>4738</v>
      </c>
      <c r="G1119" s="3" t="s">
        <v>1101</v>
      </c>
      <c r="H1119" s="4" t="str">
        <f t="shared" si="18"/>
        <v>Output DO LDHI FS Mt EW from LMP.</v>
      </c>
    </row>
    <row r="1120" spans="1:8" x14ac:dyDescent="0.25">
      <c r="A1120" s="3" t="s">
        <v>6983</v>
      </c>
      <c r="B1120" s="3" t="s">
        <v>6992</v>
      </c>
      <c r="C1120" s="3" t="s">
        <v>6985</v>
      </c>
      <c r="D1120" s="3" t="s">
        <v>6326</v>
      </c>
      <c r="E1120" s="3">
        <v>1119</v>
      </c>
      <c r="F1120" s="3" t="s">
        <v>4739</v>
      </c>
      <c r="G1120" s="3" t="s">
        <v>1101</v>
      </c>
      <c r="H1120" s="4" t="str">
        <f t="shared" si="18"/>
        <v>Output DO LDHI FS Mt NS from LMP.</v>
      </c>
    </row>
    <row r="1121" spans="1:8" x14ac:dyDescent="0.25">
      <c r="A1121" s="3" t="s">
        <v>6983</v>
      </c>
      <c r="B1121" s="3" t="s">
        <v>6992</v>
      </c>
      <c r="C1121" s="3" t="s">
        <v>6985</v>
      </c>
      <c r="D1121" s="3" t="s">
        <v>6326</v>
      </c>
      <c r="E1121" s="3">
        <v>1120</v>
      </c>
      <c r="F1121" s="3" t="s">
        <v>4740</v>
      </c>
      <c r="G1121" s="3" t="s">
        <v>1101</v>
      </c>
      <c r="H1121" s="4" t="str">
        <f t="shared" si="18"/>
        <v>Output Chain Locker Mt Vert from LMP.</v>
      </c>
    </row>
    <row r="1122" spans="1:8" x14ac:dyDescent="0.25">
      <c r="A1122" s="3" t="s">
        <v>6983</v>
      </c>
      <c r="B1122" s="3" t="s">
        <v>6992</v>
      </c>
      <c r="C1122" s="3" t="s">
        <v>6985</v>
      </c>
      <c r="D1122" s="3" t="s">
        <v>6326</v>
      </c>
      <c r="E1122" s="3">
        <v>1121</v>
      </c>
      <c r="F1122" s="3" t="s">
        <v>4741</v>
      </c>
      <c r="G1122" s="3" t="s">
        <v>1101</v>
      </c>
      <c r="H1122" s="4" t="str">
        <f t="shared" si="18"/>
        <v>Output Chain Locker Mt EW from LMP.</v>
      </c>
    </row>
    <row r="1123" spans="1:8" x14ac:dyDescent="0.25">
      <c r="A1123" s="3" t="s">
        <v>6983</v>
      </c>
      <c r="B1123" s="3" t="s">
        <v>6992</v>
      </c>
      <c r="C1123" s="3" t="s">
        <v>6985</v>
      </c>
      <c r="D1123" s="3" t="s">
        <v>6326</v>
      </c>
      <c r="E1123" s="3">
        <v>1122</v>
      </c>
      <c r="F1123" s="3" t="s">
        <v>4742</v>
      </c>
      <c r="G1123" s="3" t="s">
        <v>1101</v>
      </c>
      <c r="H1123" s="4" t="str">
        <f t="shared" si="18"/>
        <v>Output Chain Locker Mt NS from LMP.</v>
      </c>
    </row>
    <row r="1124" spans="1:8" x14ac:dyDescent="0.25">
      <c r="A1124" s="3" t="s">
        <v>6983</v>
      </c>
      <c r="B1124" s="3" t="s">
        <v>6992</v>
      </c>
      <c r="C1124" s="3" t="s">
        <v>6985</v>
      </c>
      <c r="D1124" s="3" t="s">
        <v>6326</v>
      </c>
      <c r="E1124" s="3">
        <v>1123</v>
      </c>
      <c r="F1124" s="3" t="s">
        <v>4743</v>
      </c>
      <c r="G1124" s="3" t="s">
        <v>1101</v>
      </c>
      <c r="H1124" s="4" t="str">
        <f t="shared" si="18"/>
        <v>Output Chain Weights Mt Vert from LMP.</v>
      </c>
    </row>
    <row r="1125" spans="1:8" x14ac:dyDescent="0.25">
      <c r="A1125" s="3" t="s">
        <v>6983</v>
      </c>
      <c r="B1125" s="3" t="s">
        <v>6992</v>
      </c>
      <c r="C1125" s="3" t="s">
        <v>6985</v>
      </c>
      <c r="D1125" s="3" t="s">
        <v>6326</v>
      </c>
      <c r="E1125" s="3">
        <v>1124</v>
      </c>
      <c r="F1125" s="3" t="s">
        <v>4744</v>
      </c>
      <c r="G1125" s="3" t="s">
        <v>1101</v>
      </c>
      <c r="H1125" s="4" t="str">
        <f t="shared" si="18"/>
        <v>Output Chain Weights Mt EW from LMP.</v>
      </c>
    </row>
    <row r="1126" spans="1:8" x14ac:dyDescent="0.25">
      <c r="A1126" s="3" t="s">
        <v>6983</v>
      </c>
      <c r="B1126" s="3" t="s">
        <v>6992</v>
      </c>
      <c r="C1126" s="3" t="s">
        <v>6985</v>
      </c>
      <c r="D1126" s="3" t="s">
        <v>6326</v>
      </c>
      <c r="E1126" s="3">
        <v>1125</v>
      </c>
      <c r="F1126" s="3" t="s">
        <v>4745</v>
      </c>
      <c r="G1126" s="3" t="s">
        <v>1101</v>
      </c>
      <c r="H1126" s="4" t="str">
        <f t="shared" si="18"/>
        <v>Output Chain Weights Mt NS from LMP.</v>
      </c>
    </row>
    <row r="1127" spans="1:8" x14ac:dyDescent="0.25">
      <c r="A1127" s="3" t="s">
        <v>6983</v>
      </c>
      <c r="B1127" s="3" t="s">
        <v>6992</v>
      </c>
      <c r="C1127" s="3" t="s">
        <v>6985</v>
      </c>
      <c r="D1127" s="3" t="s">
        <v>6326</v>
      </c>
      <c r="E1127" s="3">
        <v>1126</v>
      </c>
      <c r="F1127" s="3" t="s">
        <v>4746</v>
      </c>
      <c r="G1127" s="3" t="s">
        <v>1101</v>
      </c>
      <c r="H1127" s="4" t="str">
        <f t="shared" si="18"/>
        <v>Output Mooring Lines Mt Vert from LMP.</v>
      </c>
    </row>
    <row r="1128" spans="1:8" x14ac:dyDescent="0.25">
      <c r="A1128" s="3" t="s">
        <v>6983</v>
      </c>
      <c r="B1128" s="3" t="s">
        <v>6992</v>
      </c>
      <c r="C1128" s="3" t="s">
        <v>6985</v>
      </c>
      <c r="D1128" s="3" t="s">
        <v>6326</v>
      </c>
      <c r="E1128" s="3">
        <v>1127</v>
      </c>
      <c r="F1128" s="3" t="s">
        <v>4747</v>
      </c>
      <c r="G1128" s="3" t="s">
        <v>1101</v>
      </c>
      <c r="H1128" s="4" t="str">
        <f t="shared" si="18"/>
        <v>Output Mooring Lines Mt EW from LMP.</v>
      </c>
    </row>
    <row r="1129" spans="1:8" x14ac:dyDescent="0.25">
      <c r="A1129" s="3" t="s">
        <v>6983</v>
      </c>
      <c r="B1129" s="3" t="s">
        <v>6992</v>
      </c>
      <c r="C1129" s="3" t="s">
        <v>6985</v>
      </c>
      <c r="D1129" s="3" t="s">
        <v>6326</v>
      </c>
      <c r="E1129" s="3">
        <v>1128</v>
      </c>
      <c r="F1129" s="3" t="s">
        <v>4748</v>
      </c>
      <c r="G1129" s="3" t="s">
        <v>1101</v>
      </c>
      <c r="H1129" s="4" t="str">
        <f t="shared" si="18"/>
        <v>Output Mooring Lines Mt NS from LMP.</v>
      </c>
    </row>
    <row r="1130" spans="1:8" x14ac:dyDescent="0.25">
      <c r="A1130" s="3" t="s">
        <v>6983</v>
      </c>
      <c r="B1130" s="3" t="s">
        <v>6992</v>
      </c>
      <c r="C1130" s="3" t="s">
        <v>6985</v>
      </c>
      <c r="D1130" s="3" t="s">
        <v>6326</v>
      </c>
      <c r="E1130" s="3">
        <v>1129</v>
      </c>
      <c r="F1130" s="3" t="s">
        <v>4749</v>
      </c>
      <c r="G1130" s="3" t="s">
        <v>1101</v>
      </c>
      <c r="H1130" s="4" t="str">
        <f t="shared" si="18"/>
        <v>Output Risers Mt Vert from LMP.</v>
      </c>
    </row>
    <row r="1131" spans="1:8" x14ac:dyDescent="0.25">
      <c r="A1131" s="3" t="s">
        <v>6983</v>
      </c>
      <c r="B1131" s="3" t="s">
        <v>6992</v>
      </c>
      <c r="C1131" s="3" t="s">
        <v>6985</v>
      </c>
      <c r="D1131" s="3" t="s">
        <v>6326</v>
      </c>
      <c r="E1131" s="3">
        <v>1130</v>
      </c>
      <c r="F1131" s="3" t="s">
        <v>4750</v>
      </c>
      <c r="G1131" s="3" t="s">
        <v>1101</v>
      </c>
      <c r="H1131" s="4" t="str">
        <f t="shared" si="18"/>
        <v>Output Risers Mt EW from LMP.</v>
      </c>
    </row>
    <row r="1132" spans="1:8" x14ac:dyDescent="0.25">
      <c r="A1132" s="3" t="s">
        <v>6983</v>
      </c>
      <c r="B1132" s="3" t="s">
        <v>6992</v>
      </c>
      <c r="C1132" s="3" t="s">
        <v>6985</v>
      </c>
      <c r="D1132" s="3" t="s">
        <v>6326</v>
      </c>
      <c r="E1132" s="3">
        <v>1131</v>
      </c>
      <c r="F1132" s="3" t="s">
        <v>4751</v>
      </c>
      <c r="G1132" s="3" t="s">
        <v>1101</v>
      </c>
      <c r="H1132" s="4" t="str">
        <f t="shared" si="18"/>
        <v>Output Risers Mt NS from LMP.</v>
      </c>
    </row>
    <row r="1133" spans="1:8" x14ac:dyDescent="0.25">
      <c r="A1133" s="3" t="s">
        <v>6983</v>
      </c>
      <c r="B1133" s="3" t="s">
        <v>6992</v>
      </c>
      <c r="C1133" s="3" t="s">
        <v>6985</v>
      </c>
      <c r="D1133" s="3" t="s">
        <v>6326</v>
      </c>
      <c r="E1133" s="3">
        <v>1132</v>
      </c>
      <c r="F1133" s="3" t="s">
        <v>4752</v>
      </c>
      <c r="G1133" s="3" t="s">
        <v>1101</v>
      </c>
      <c r="H1133" s="4" t="str">
        <f t="shared" si="18"/>
        <v>Output Drilling Rig Mt Vert from LMP.</v>
      </c>
    </row>
    <row r="1134" spans="1:8" x14ac:dyDescent="0.25">
      <c r="A1134" s="3" t="s">
        <v>6983</v>
      </c>
      <c r="B1134" s="3" t="s">
        <v>6992</v>
      </c>
      <c r="C1134" s="3" t="s">
        <v>6985</v>
      </c>
      <c r="D1134" s="3" t="s">
        <v>6326</v>
      </c>
      <c r="E1134" s="3">
        <v>1133</v>
      </c>
      <c r="F1134" s="3" t="s">
        <v>4753</v>
      </c>
      <c r="G1134" s="3" t="s">
        <v>1101</v>
      </c>
      <c r="H1134" s="4" t="str">
        <f t="shared" si="18"/>
        <v>Output Drilling Rig Mt EW from LMP.</v>
      </c>
    </row>
    <row r="1135" spans="1:8" x14ac:dyDescent="0.25">
      <c r="A1135" s="3" t="s">
        <v>6983</v>
      </c>
      <c r="B1135" s="3" t="s">
        <v>6992</v>
      </c>
      <c r="C1135" s="3" t="s">
        <v>6985</v>
      </c>
      <c r="D1135" s="3" t="s">
        <v>6326</v>
      </c>
      <c r="E1135" s="3">
        <v>1134</v>
      </c>
      <c r="F1135" s="3" t="s">
        <v>4754</v>
      </c>
      <c r="G1135" s="3" t="s">
        <v>1101</v>
      </c>
      <c r="H1135" s="4" t="str">
        <f t="shared" si="18"/>
        <v>Output Drilling Rig Mt NS from LMP.</v>
      </c>
    </row>
    <row r="1136" spans="1:8" x14ac:dyDescent="0.25">
      <c r="A1136" s="3" t="s">
        <v>6983</v>
      </c>
      <c r="B1136" s="3" t="s">
        <v>6992</v>
      </c>
      <c r="C1136" s="3" t="s">
        <v>6985</v>
      </c>
      <c r="D1136" s="3" t="s">
        <v>6326</v>
      </c>
      <c r="E1136" s="3">
        <v>1135</v>
      </c>
      <c r="F1136" s="3" t="s">
        <v>4755</v>
      </c>
      <c r="G1136" s="3" t="s">
        <v>1101</v>
      </c>
      <c r="H1136" s="4" t="str">
        <f t="shared" si="18"/>
        <v>Output Prod Dk LIQ Mt Vert from LMP.</v>
      </c>
    </row>
    <row r="1137" spans="1:8" x14ac:dyDescent="0.25">
      <c r="A1137" s="3" t="s">
        <v>6983</v>
      </c>
      <c r="B1137" s="3" t="s">
        <v>6992</v>
      </c>
      <c r="C1137" s="3" t="s">
        <v>6985</v>
      </c>
      <c r="D1137" s="3" t="s">
        <v>6326</v>
      </c>
      <c r="E1137" s="3">
        <v>1136</v>
      </c>
      <c r="F1137" s="3" t="s">
        <v>4756</v>
      </c>
      <c r="G1137" s="3" t="s">
        <v>1101</v>
      </c>
      <c r="H1137" s="4" t="str">
        <f t="shared" si="18"/>
        <v>Output Prod Dk LIQ Mt EW from LMP.</v>
      </c>
    </row>
    <row r="1138" spans="1:8" x14ac:dyDescent="0.25">
      <c r="A1138" s="3" t="s">
        <v>6983</v>
      </c>
      <c r="B1138" s="3" t="s">
        <v>6992</v>
      </c>
      <c r="C1138" s="3" t="s">
        <v>6985</v>
      </c>
      <c r="D1138" s="3" t="s">
        <v>6326</v>
      </c>
      <c r="E1138" s="3">
        <v>1137</v>
      </c>
      <c r="F1138" s="3" t="s">
        <v>4757</v>
      </c>
      <c r="G1138" s="3" t="s">
        <v>1101</v>
      </c>
      <c r="H1138" s="4" t="str">
        <f t="shared" si="18"/>
        <v>Output Prod Dk LIQ Mt NS from LMP.</v>
      </c>
    </row>
    <row r="1139" spans="1:8" x14ac:dyDescent="0.25">
      <c r="A1139" s="3" t="s">
        <v>6983</v>
      </c>
      <c r="B1139" s="3" t="s">
        <v>6992</v>
      </c>
      <c r="C1139" s="3" t="s">
        <v>6985</v>
      </c>
      <c r="D1139" s="3" t="s">
        <v>6326</v>
      </c>
      <c r="E1139" s="3">
        <v>1138</v>
      </c>
      <c r="F1139" s="3" t="s">
        <v>4758</v>
      </c>
      <c r="G1139" s="3" t="s">
        <v>1101</v>
      </c>
      <c r="H1139" s="4" t="str">
        <f t="shared" si="18"/>
        <v>Output Prod Dk LIQ FS Mt EW from LMP.</v>
      </c>
    </row>
    <row r="1140" spans="1:8" x14ac:dyDescent="0.25">
      <c r="A1140" s="3" t="s">
        <v>6983</v>
      </c>
      <c r="B1140" s="3" t="s">
        <v>6992</v>
      </c>
      <c r="C1140" s="3" t="s">
        <v>6985</v>
      </c>
      <c r="D1140" s="3" t="s">
        <v>6326</v>
      </c>
      <c r="E1140" s="3">
        <v>1139</v>
      </c>
      <c r="F1140" s="3" t="s">
        <v>4759</v>
      </c>
      <c r="G1140" s="3" t="s">
        <v>1101</v>
      </c>
      <c r="H1140" s="4" t="str">
        <f t="shared" si="18"/>
        <v>Output Prod Dk LIQ FS Mt NS from LMP.</v>
      </c>
    </row>
    <row r="1141" spans="1:8" x14ac:dyDescent="0.25">
      <c r="A1141" s="3" t="s">
        <v>6983</v>
      </c>
      <c r="B1141" s="3" t="s">
        <v>6992</v>
      </c>
      <c r="C1141" s="3" t="s">
        <v>6985</v>
      </c>
      <c r="D1141" s="3" t="s">
        <v>6326</v>
      </c>
      <c r="E1141" s="3">
        <v>1140</v>
      </c>
      <c r="F1141" s="3" t="s">
        <v>4760</v>
      </c>
      <c r="G1141" s="3" t="s">
        <v>1101</v>
      </c>
      <c r="H1141" s="4" t="str">
        <f t="shared" si="18"/>
        <v>Output Cellr Dk Liq Mt Vert from LMP.</v>
      </c>
    </row>
    <row r="1142" spans="1:8" x14ac:dyDescent="0.25">
      <c r="A1142" s="3" t="s">
        <v>6983</v>
      </c>
      <c r="B1142" s="3" t="s">
        <v>6992</v>
      </c>
      <c r="C1142" s="3" t="s">
        <v>6985</v>
      </c>
      <c r="D1142" s="3" t="s">
        <v>6326</v>
      </c>
      <c r="E1142" s="3">
        <v>1141</v>
      </c>
      <c r="F1142" s="3" t="s">
        <v>4761</v>
      </c>
      <c r="G1142" s="3" t="s">
        <v>1101</v>
      </c>
      <c r="H1142" s="4" t="str">
        <f t="shared" si="18"/>
        <v>Output Cellr Dk Liq Mt EW from LMP.</v>
      </c>
    </row>
    <row r="1143" spans="1:8" x14ac:dyDescent="0.25">
      <c r="A1143" s="3" t="s">
        <v>6983</v>
      </c>
      <c r="B1143" s="3" t="s">
        <v>6992</v>
      </c>
      <c r="C1143" s="3" t="s">
        <v>6985</v>
      </c>
      <c r="D1143" s="3" t="s">
        <v>6326</v>
      </c>
      <c r="E1143" s="3">
        <v>1142</v>
      </c>
      <c r="F1143" s="3" t="s">
        <v>4762</v>
      </c>
      <c r="G1143" s="3" t="s">
        <v>1101</v>
      </c>
      <c r="H1143" s="4" t="str">
        <f t="shared" si="18"/>
        <v>Output Cellr Dk Liq Mt NS from LMP.</v>
      </c>
    </row>
    <row r="1144" spans="1:8" x14ac:dyDescent="0.25">
      <c r="A1144" s="3" t="s">
        <v>6983</v>
      </c>
      <c r="B1144" s="3" t="s">
        <v>6992</v>
      </c>
      <c r="C1144" s="3" t="s">
        <v>6985</v>
      </c>
      <c r="D1144" s="3" t="s">
        <v>6326</v>
      </c>
      <c r="E1144" s="3">
        <v>1143</v>
      </c>
      <c r="F1144" s="3" t="s">
        <v>4763</v>
      </c>
      <c r="G1144" s="3" t="s">
        <v>1101</v>
      </c>
      <c r="H1144" s="4" t="str">
        <f t="shared" si="18"/>
        <v>Output Cellr Dk Liq FS Mt EW from LMP.</v>
      </c>
    </row>
    <row r="1145" spans="1:8" x14ac:dyDescent="0.25">
      <c r="A1145" s="3" t="s">
        <v>6983</v>
      </c>
      <c r="B1145" s="3" t="s">
        <v>6992</v>
      </c>
      <c r="C1145" s="3" t="s">
        <v>6985</v>
      </c>
      <c r="D1145" s="3" t="s">
        <v>6326</v>
      </c>
      <c r="E1145" s="3">
        <v>1144</v>
      </c>
      <c r="F1145" s="3" t="s">
        <v>4764</v>
      </c>
      <c r="G1145" s="3" t="s">
        <v>1101</v>
      </c>
      <c r="H1145" s="4" t="str">
        <f t="shared" si="18"/>
        <v>Output Cellr Dk Liq FS Mt NS from LMP.</v>
      </c>
    </row>
    <row r="1146" spans="1:8" x14ac:dyDescent="0.25">
      <c r="A1146" s="3" t="s">
        <v>6983</v>
      </c>
      <c r="B1146" s="3" t="s">
        <v>6992</v>
      </c>
      <c r="C1146" s="3" t="s">
        <v>6985</v>
      </c>
      <c r="D1146" s="3" t="s">
        <v>6326</v>
      </c>
      <c r="E1146" s="3">
        <v>1145</v>
      </c>
      <c r="F1146" s="3" t="s">
        <v>4765</v>
      </c>
      <c r="G1146" s="3" t="s">
        <v>1101</v>
      </c>
      <c r="H1146" s="4" t="str">
        <f t="shared" si="18"/>
        <v>Output Drilling Flds Mt Vert from LMP.</v>
      </c>
    </row>
    <row r="1147" spans="1:8" x14ac:dyDescent="0.25">
      <c r="A1147" s="3" t="s">
        <v>6983</v>
      </c>
      <c r="B1147" s="3" t="s">
        <v>6992</v>
      </c>
      <c r="C1147" s="3" t="s">
        <v>6985</v>
      </c>
      <c r="D1147" s="3" t="s">
        <v>6326</v>
      </c>
      <c r="E1147" s="3">
        <v>1146</v>
      </c>
      <c r="F1147" s="3" t="s">
        <v>4766</v>
      </c>
      <c r="G1147" s="3" t="s">
        <v>1101</v>
      </c>
      <c r="H1147" s="4" t="str">
        <f t="shared" si="18"/>
        <v>Output Drilling Fluids Mt EW from LMP.</v>
      </c>
    </row>
    <row r="1148" spans="1:8" x14ac:dyDescent="0.25">
      <c r="A1148" s="3" t="s">
        <v>6983</v>
      </c>
      <c r="B1148" s="3" t="s">
        <v>6992</v>
      </c>
      <c r="C1148" s="3" t="s">
        <v>6985</v>
      </c>
      <c r="D1148" s="3" t="s">
        <v>6326</v>
      </c>
      <c r="E1148" s="3">
        <v>1147</v>
      </c>
      <c r="F1148" s="3" t="s">
        <v>4767</v>
      </c>
      <c r="G1148" s="3" t="s">
        <v>1101</v>
      </c>
      <c r="H1148" s="4" t="str">
        <f t="shared" si="18"/>
        <v>Output Drilling Fluids Mt NS from LMP.</v>
      </c>
    </row>
    <row r="1149" spans="1:8" x14ac:dyDescent="0.25">
      <c r="A1149" s="3" t="s">
        <v>6983</v>
      </c>
      <c r="B1149" s="3" t="s">
        <v>6992</v>
      </c>
      <c r="C1149" s="3" t="s">
        <v>6985</v>
      </c>
      <c r="D1149" s="3" t="s">
        <v>6326</v>
      </c>
      <c r="E1149" s="3">
        <v>1148</v>
      </c>
      <c r="F1149" s="3" t="s">
        <v>4768</v>
      </c>
      <c r="G1149" s="3" t="s">
        <v>1101</v>
      </c>
      <c r="H1149" s="4" t="str">
        <f t="shared" si="18"/>
        <v>Output Drilling Flds FS Mt EW from LMP.</v>
      </c>
    </row>
    <row r="1150" spans="1:8" x14ac:dyDescent="0.25">
      <c r="A1150" s="3" t="s">
        <v>6983</v>
      </c>
      <c r="B1150" s="3" t="s">
        <v>6992</v>
      </c>
      <c r="C1150" s="3" t="s">
        <v>6985</v>
      </c>
      <c r="D1150" s="3" t="s">
        <v>6326</v>
      </c>
      <c r="E1150" s="3">
        <v>1149</v>
      </c>
      <c r="F1150" s="3" t="s">
        <v>4769</v>
      </c>
      <c r="G1150" s="3" t="s">
        <v>1101</v>
      </c>
      <c r="H1150" s="4" t="str">
        <f t="shared" si="18"/>
        <v>Output Drilling Flds FS Mt NS from LMP.</v>
      </c>
    </row>
    <row r="1151" spans="1:8" x14ac:dyDescent="0.25">
      <c r="A1151" s="3" t="s">
        <v>6983</v>
      </c>
      <c r="B1151" s="3" t="s">
        <v>6992</v>
      </c>
      <c r="C1151" s="3" t="s">
        <v>6985</v>
      </c>
      <c r="D1151" s="3" t="s">
        <v>6326</v>
      </c>
      <c r="E1151" s="3">
        <v>1150</v>
      </c>
      <c r="F1151" s="3" t="s">
        <v>4770</v>
      </c>
      <c r="G1151" s="3" t="s">
        <v>1101</v>
      </c>
      <c r="H1151" s="4" t="str">
        <f t="shared" si="18"/>
        <v>Output Spaces Mt Vert from LMP.</v>
      </c>
    </row>
    <row r="1152" spans="1:8" x14ac:dyDescent="0.25">
      <c r="A1152" s="3" t="s">
        <v>6983</v>
      </c>
      <c r="B1152" s="3" t="s">
        <v>6992</v>
      </c>
      <c r="C1152" s="3" t="s">
        <v>6985</v>
      </c>
      <c r="D1152" s="3" t="s">
        <v>6326</v>
      </c>
      <c r="E1152" s="3">
        <v>1151</v>
      </c>
      <c r="F1152" s="3" t="s">
        <v>4771</v>
      </c>
      <c r="G1152" s="3" t="s">
        <v>1101</v>
      </c>
      <c r="H1152" s="4" t="str">
        <f t="shared" si="18"/>
        <v>Output Spaces Mt EW from LMP.</v>
      </c>
    </row>
    <row r="1153" spans="1:8" x14ac:dyDescent="0.25">
      <c r="A1153" s="3" t="s">
        <v>6983</v>
      </c>
      <c r="B1153" s="3" t="s">
        <v>6992</v>
      </c>
      <c r="C1153" s="3" t="s">
        <v>6985</v>
      </c>
      <c r="D1153" s="3" t="s">
        <v>6326</v>
      </c>
      <c r="E1153" s="3">
        <v>1152</v>
      </c>
      <c r="F1153" s="3" t="s">
        <v>4772</v>
      </c>
      <c r="G1153" s="3" t="s">
        <v>1101</v>
      </c>
      <c r="H1153" s="4" t="str">
        <f t="shared" si="18"/>
        <v>Output Spaces Mt NS from LMP.</v>
      </c>
    </row>
    <row r="1154" spans="1:8" x14ac:dyDescent="0.25">
      <c r="A1154" s="3" t="s">
        <v>6983</v>
      </c>
      <c r="B1154" s="3" t="s">
        <v>6992</v>
      </c>
      <c r="C1154" s="3" t="s">
        <v>6985</v>
      </c>
      <c r="D1154" s="3" t="s">
        <v>6326</v>
      </c>
      <c r="E1154" s="3">
        <v>1153</v>
      </c>
      <c r="F1154" s="3" t="s">
        <v>4773</v>
      </c>
      <c r="G1154" s="3" t="s">
        <v>1101</v>
      </c>
      <c r="H1154" s="4" t="str">
        <f t="shared" si="18"/>
        <v>Output Main Dk Mt Vert from LMP.</v>
      </c>
    </row>
    <row r="1155" spans="1:8" x14ac:dyDescent="0.25">
      <c r="A1155" s="3" t="s">
        <v>6983</v>
      </c>
      <c r="B1155" s="3" t="s">
        <v>6992</v>
      </c>
      <c r="C1155" s="3" t="s">
        <v>6985</v>
      </c>
      <c r="D1155" s="3" t="s">
        <v>6326</v>
      </c>
      <c r="E1155" s="3">
        <v>1154</v>
      </c>
      <c r="F1155" s="3" t="s">
        <v>4774</v>
      </c>
      <c r="G1155" s="3" t="s">
        <v>1101</v>
      </c>
      <c r="H1155" s="4" t="str">
        <f t="shared" si="18"/>
        <v>Output Main Dk Mt EW from LMP.</v>
      </c>
    </row>
    <row r="1156" spans="1:8" x14ac:dyDescent="0.25">
      <c r="A1156" s="3" t="s">
        <v>6983</v>
      </c>
      <c r="B1156" s="3" t="s">
        <v>6992</v>
      </c>
      <c r="C1156" s="3" t="s">
        <v>6985</v>
      </c>
      <c r="D1156" s="3" t="s">
        <v>6326</v>
      </c>
      <c r="E1156" s="3">
        <v>1155</v>
      </c>
      <c r="F1156" s="3" t="s">
        <v>4775</v>
      </c>
      <c r="G1156" s="3" t="s">
        <v>1101</v>
      </c>
      <c r="H1156" s="4" t="str">
        <f t="shared" ref="H1156:H1177" si="19">_xlfn.CONCAT("Output ",F1156, " from LMP.")</f>
        <v>Output Main Dk Mt NS from LMP.</v>
      </c>
    </row>
    <row r="1157" spans="1:8" x14ac:dyDescent="0.25">
      <c r="A1157" s="3" t="s">
        <v>6983</v>
      </c>
      <c r="B1157" s="3" t="s">
        <v>6992</v>
      </c>
      <c r="C1157" s="3" t="s">
        <v>6985</v>
      </c>
      <c r="D1157" s="3" t="s">
        <v>6326</v>
      </c>
      <c r="E1157" s="3">
        <v>1156</v>
      </c>
      <c r="F1157" s="3" t="s">
        <v>4776</v>
      </c>
      <c r="G1157" s="3" t="s">
        <v>1101</v>
      </c>
      <c r="H1157" s="4" t="str">
        <f t="shared" si="19"/>
        <v>Output Prod Dk Mt Vert from LMP.</v>
      </c>
    </row>
    <row r="1158" spans="1:8" x14ac:dyDescent="0.25">
      <c r="A1158" s="3" t="s">
        <v>6983</v>
      </c>
      <c r="B1158" s="3" t="s">
        <v>6992</v>
      </c>
      <c r="C1158" s="3" t="s">
        <v>6985</v>
      </c>
      <c r="D1158" s="3" t="s">
        <v>6326</v>
      </c>
      <c r="E1158" s="3">
        <v>1157</v>
      </c>
      <c r="F1158" s="3" t="s">
        <v>4777</v>
      </c>
      <c r="G1158" s="3" t="s">
        <v>1101</v>
      </c>
      <c r="H1158" s="4" t="str">
        <f t="shared" si="19"/>
        <v>Output Prod Dk Mt EW from LMP.</v>
      </c>
    </row>
    <row r="1159" spans="1:8" x14ac:dyDescent="0.25">
      <c r="A1159" s="3" t="s">
        <v>6983</v>
      </c>
      <c r="B1159" s="3" t="s">
        <v>6992</v>
      </c>
      <c r="C1159" s="3" t="s">
        <v>6985</v>
      </c>
      <c r="D1159" s="3" t="s">
        <v>6326</v>
      </c>
      <c r="E1159" s="3">
        <v>1158</v>
      </c>
      <c r="F1159" s="3" t="s">
        <v>4778</v>
      </c>
      <c r="G1159" s="3" t="s">
        <v>1101</v>
      </c>
      <c r="H1159" s="4" t="str">
        <f t="shared" si="19"/>
        <v>Output Prod Dk Mt NS from LMP.</v>
      </c>
    </row>
    <row r="1160" spans="1:8" x14ac:dyDescent="0.25">
      <c r="A1160" s="3" t="s">
        <v>6983</v>
      </c>
      <c r="B1160" s="3" t="s">
        <v>6992</v>
      </c>
      <c r="C1160" s="3" t="s">
        <v>6985</v>
      </c>
      <c r="D1160" s="3" t="s">
        <v>6326</v>
      </c>
      <c r="E1160" s="3">
        <v>1159</v>
      </c>
      <c r="F1160" s="3" t="s">
        <v>4779</v>
      </c>
      <c r="G1160" s="3" t="s">
        <v>1101</v>
      </c>
      <c r="H1160" s="4" t="str">
        <f t="shared" si="19"/>
        <v>Output Cllr Dk Mt Vert from LMP.</v>
      </c>
    </row>
    <row r="1161" spans="1:8" x14ac:dyDescent="0.25">
      <c r="A1161" s="3" t="s">
        <v>6983</v>
      </c>
      <c r="B1161" s="3" t="s">
        <v>6992</v>
      </c>
      <c r="C1161" s="3" t="s">
        <v>6985</v>
      </c>
      <c r="D1161" s="3" t="s">
        <v>6326</v>
      </c>
      <c r="E1161" s="3">
        <v>1160</v>
      </c>
      <c r="F1161" s="3" t="s">
        <v>4780</v>
      </c>
      <c r="G1161" s="3" t="s">
        <v>1101</v>
      </c>
      <c r="H1161" s="4" t="str">
        <f t="shared" si="19"/>
        <v>Output Cllr Dk Mt EW from LMP.</v>
      </c>
    </row>
    <row r="1162" spans="1:8" x14ac:dyDescent="0.25">
      <c r="A1162" s="3" t="s">
        <v>6983</v>
      </c>
      <c r="B1162" s="3" t="s">
        <v>6992</v>
      </c>
      <c r="C1162" s="3" t="s">
        <v>6985</v>
      </c>
      <c r="D1162" s="3" t="s">
        <v>6326</v>
      </c>
      <c r="E1162" s="3">
        <v>1161</v>
      </c>
      <c r="F1162" s="3" t="s">
        <v>4781</v>
      </c>
      <c r="G1162" s="3" t="s">
        <v>1101</v>
      </c>
      <c r="H1162" s="4" t="str">
        <f t="shared" si="19"/>
        <v>Output Cllr Dk Mt NS from LMP.</v>
      </c>
    </row>
    <row r="1163" spans="1:8" x14ac:dyDescent="0.25">
      <c r="A1163" s="3" t="s">
        <v>6983</v>
      </c>
      <c r="B1163" s="3" t="s">
        <v>6992</v>
      </c>
      <c r="C1163" s="3" t="s">
        <v>6985</v>
      </c>
      <c r="D1163" s="3" t="s">
        <v>6326</v>
      </c>
      <c r="E1163" s="3">
        <v>1162</v>
      </c>
      <c r="F1163" s="3" t="s">
        <v>4782</v>
      </c>
      <c r="G1163" s="3" t="s">
        <v>1101</v>
      </c>
      <c r="H1163" s="4" t="str">
        <f t="shared" si="19"/>
        <v>Output Spar Dk Mt Vert from LMP.</v>
      </c>
    </row>
    <row r="1164" spans="1:8" x14ac:dyDescent="0.25">
      <c r="A1164" s="3" t="s">
        <v>6983</v>
      </c>
      <c r="B1164" s="3" t="s">
        <v>6992</v>
      </c>
      <c r="C1164" s="3" t="s">
        <v>6985</v>
      </c>
      <c r="D1164" s="3" t="s">
        <v>6326</v>
      </c>
      <c r="E1164" s="3">
        <v>1163</v>
      </c>
      <c r="F1164" s="3" t="s">
        <v>4783</v>
      </c>
      <c r="G1164" s="3" t="s">
        <v>1101</v>
      </c>
      <c r="H1164" s="4" t="str">
        <f t="shared" si="19"/>
        <v>Output Spar Dk Mt EW from LMP.</v>
      </c>
    </row>
    <row r="1165" spans="1:8" x14ac:dyDescent="0.25">
      <c r="A1165" s="3" t="s">
        <v>6983</v>
      </c>
      <c r="B1165" s="3" t="s">
        <v>6992</v>
      </c>
      <c r="C1165" s="3" t="s">
        <v>6985</v>
      </c>
      <c r="D1165" s="3" t="s">
        <v>6326</v>
      </c>
      <c r="E1165" s="3">
        <v>1164</v>
      </c>
      <c r="F1165" s="3" t="s">
        <v>4784</v>
      </c>
      <c r="G1165" s="3" t="s">
        <v>1101</v>
      </c>
      <c r="H1165" s="4" t="str">
        <f t="shared" si="19"/>
        <v>Output Spar Dk Mt NS from LMP.</v>
      </c>
    </row>
    <row r="1166" spans="1:8" x14ac:dyDescent="0.25">
      <c r="A1166" s="3" t="s">
        <v>6983</v>
      </c>
      <c r="B1166" s="3" t="s">
        <v>6992</v>
      </c>
      <c r="C1166" s="3" t="s">
        <v>6985</v>
      </c>
      <c r="D1166" s="3" t="s">
        <v>6326</v>
      </c>
      <c r="E1166" s="3">
        <v>1165</v>
      </c>
      <c r="F1166" s="3" t="s">
        <v>4785</v>
      </c>
      <c r="G1166" s="3" t="s">
        <v>1101</v>
      </c>
      <c r="H1166" s="4" t="str">
        <f t="shared" si="19"/>
        <v>Output Voids Mt Vert from LMP.</v>
      </c>
    </row>
    <row r="1167" spans="1:8" x14ac:dyDescent="0.25">
      <c r="A1167" s="3" t="s">
        <v>6983</v>
      </c>
      <c r="B1167" s="3" t="s">
        <v>6992</v>
      </c>
      <c r="C1167" s="3" t="s">
        <v>6985</v>
      </c>
      <c r="D1167" s="3" t="s">
        <v>6326</v>
      </c>
      <c r="E1167" s="3">
        <v>1166</v>
      </c>
      <c r="F1167" s="3" t="s">
        <v>4786</v>
      </c>
      <c r="G1167" s="3" t="s">
        <v>1101</v>
      </c>
      <c r="H1167" s="4" t="str">
        <f t="shared" si="19"/>
        <v>Output Voids Mt EW from LMP.</v>
      </c>
    </row>
    <row r="1168" spans="1:8" x14ac:dyDescent="0.25">
      <c r="A1168" s="3" t="s">
        <v>6983</v>
      </c>
      <c r="B1168" s="3" t="s">
        <v>6992</v>
      </c>
      <c r="C1168" s="3" t="s">
        <v>6985</v>
      </c>
      <c r="D1168" s="3" t="s">
        <v>6326</v>
      </c>
      <c r="E1168" s="3">
        <v>1167</v>
      </c>
      <c r="F1168" s="3" t="s">
        <v>4787</v>
      </c>
      <c r="G1168" s="3" t="s">
        <v>1101</v>
      </c>
      <c r="H1168" s="4" t="str">
        <f t="shared" si="19"/>
        <v>Output Voids Mt NS from LMP.</v>
      </c>
    </row>
    <row r="1169" spans="1:8" x14ac:dyDescent="0.25">
      <c r="A1169" s="3" t="s">
        <v>6983</v>
      </c>
      <c r="B1169" s="3" t="s">
        <v>6992</v>
      </c>
      <c r="C1169" s="3" t="s">
        <v>6985</v>
      </c>
      <c r="D1169" s="3" t="s">
        <v>6326</v>
      </c>
      <c r="E1169" s="3">
        <v>1168</v>
      </c>
      <c r="F1169" s="3" t="s">
        <v>4788</v>
      </c>
      <c r="G1169" s="3" t="s">
        <v>1101</v>
      </c>
      <c r="H1169" s="4" t="str">
        <f t="shared" si="19"/>
        <v>Output Voids FS Mt EW from LMP.</v>
      </c>
    </row>
    <row r="1170" spans="1:8" x14ac:dyDescent="0.25">
      <c r="A1170" s="3" t="s">
        <v>6983</v>
      </c>
      <c r="B1170" s="3" t="s">
        <v>6992</v>
      </c>
      <c r="C1170" s="3" t="s">
        <v>6985</v>
      </c>
      <c r="D1170" s="3" t="s">
        <v>6326</v>
      </c>
      <c r="E1170" s="3">
        <v>1169</v>
      </c>
      <c r="F1170" s="3" t="s">
        <v>4789</v>
      </c>
      <c r="G1170" s="3" t="s">
        <v>1101</v>
      </c>
      <c r="H1170" s="4" t="str">
        <f t="shared" si="19"/>
        <v>Output Voids FS Mt NS from LMP.</v>
      </c>
    </row>
    <row r="1171" spans="1:8" x14ac:dyDescent="0.25">
      <c r="A1171" s="3" t="s">
        <v>6983</v>
      </c>
      <c r="B1171" s="3" t="s">
        <v>6992</v>
      </c>
      <c r="C1171" s="3" t="s">
        <v>6985</v>
      </c>
      <c r="D1171" s="3" t="s">
        <v>6326</v>
      </c>
      <c r="E1171" s="3">
        <v>1170</v>
      </c>
      <c r="F1171" s="3" t="s">
        <v>4790</v>
      </c>
      <c r="G1171" s="3" t="s">
        <v>1101</v>
      </c>
      <c r="H1171" s="4" t="str">
        <f t="shared" si="19"/>
        <v>Output HFM Mt Vert from LMP.</v>
      </c>
    </row>
    <row r="1172" spans="1:8" x14ac:dyDescent="0.25">
      <c r="A1172" s="3" t="s">
        <v>6983</v>
      </c>
      <c r="B1172" s="3" t="s">
        <v>6992</v>
      </c>
      <c r="C1172" s="3" t="s">
        <v>6985</v>
      </c>
      <c r="D1172" s="3" t="s">
        <v>6326</v>
      </c>
      <c r="E1172" s="3">
        <v>1171</v>
      </c>
      <c r="F1172" s="3" t="s">
        <v>4791</v>
      </c>
      <c r="G1172" s="3" t="s">
        <v>1101</v>
      </c>
      <c r="H1172" s="4" t="str">
        <f t="shared" si="19"/>
        <v>Output HFM Mt EW from LMP.</v>
      </c>
    </row>
    <row r="1173" spans="1:8" x14ac:dyDescent="0.25">
      <c r="A1173" s="3" t="s">
        <v>6983</v>
      </c>
      <c r="B1173" s="3" t="s">
        <v>6992</v>
      </c>
      <c r="C1173" s="3" t="s">
        <v>6985</v>
      </c>
      <c r="D1173" s="3" t="s">
        <v>6326</v>
      </c>
      <c r="E1173" s="3">
        <v>1172</v>
      </c>
      <c r="F1173" s="3" t="s">
        <v>4792</v>
      </c>
      <c r="G1173" s="3" t="s">
        <v>1101</v>
      </c>
      <c r="H1173" s="4" t="str">
        <f t="shared" si="19"/>
        <v>Output HFM Mt NS from LMP.</v>
      </c>
    </row>
    <row r="1174" spans="1:8" x14ac:dyDescent="0.25">
      <c r="A1174" s="3" t="s">
        <v>6983</v>
      </c>
      <c r="B1174" s="3" t="s">
        <v>6992</v>
      </c>
      <c r="C1174" s="3" t="s">
        <v>6985</v>
      </c>
      <c r="D1174" s="3" t="s">
        <v>6326</v>
      </c>
      <c r="E1174" s="3">
        <v>1173</v>
      </c>
      <c r="F1174" s="3" t="s">
        <v>4793</v>
      </c>
      <c r="G1174" s="3" t="s">
        <v>1101</v>
      </c>
      <c r="H1174" s="4" t="str">
        <f t="shared" si="19"/>
        <v>Output LPF Mt EW from LMP.</v>
      </c>
    </row>
    <row r="1175" spans="1:8" x14ac:dyDescent="0.25">
      <c r="A1175" s="3" t="s">
        <v>6983</v>
      </c>
      <c r="B1175" s="3" t="s">
        <v>6992</v>
      </c>
      <c r="C1175" s="3" t="s">
        <v>6985</v>
      </c>
      <c r="D1175" s="3" t="s">
        <v>6326</v>
      </c>
      <c r="E1175" s="3">
        <v>1174</v>
      </c>
      <c r="F1175" s="3" t="s">
        <v>4794</v>
      </c>
      <c r="G1175" s="3" t="s">
        <v>1101</v>
      </c>
      <c r="H1175" s="4" t="str">
        <f t="shared" si="19"/>
        <v>Output LPF Mt NS from LMP.</v>
      </c>
    </row>
    <row r="1176" spans="1:8" x14ac:dyDescent="0.25">
      <c r="A1176" s="3" t="s">
        <v>6983</v>
      </c>
      <c r="B1176" s="3" t="s">
        <v>6992</v>
      </c>
      <c r="C1176" s="3" t="s">
        <v>6985</v>
      </c>
      <c r="D1176" s="3" t="s">
        <v>6326</v>
      </c>
      <c r="E1176" s="3">
        <v>1175</v>
      </c>
      <c r="F1176" s="3" t="s">
        <v>4795</v>
      </c>
      <c r="G1176" s="3" t="s">
        <v>1101</v>
      </c>
      <c r="H1176" s="4" t="str">
        <f t="shared" si="19"/>
        <v>Output Total Weight FS Mt EW from LMP.</v>
      </c>
    </row>
    <row r="1177" spans="1:8" x14ac:dyDescent="0.25">
      <c r="A1177" s="3" t="s">
        <v>6983</v>
      </c>
      <c r="B1177" s="3" t="s">
        <v>6992</v>
      </c>
      <c r="C1177" s="3" t="s">
        <v>6985</v>
      </c>
      <c r="D1177" s="3" t="s">
        <v>6326</v>
      </c>
      <c r="E1177" s="3">
        <v>1176</v>
      </c>
      <c r="F1177" s="3" t="s">
        <v>4796</v>
      </c>
      <c r="G1177" s="3" t="s">
        <v>1101</v>
      </c>
      <c r="H1177" s="4" t="str">
        <f t="shared" si="19"/>
        <v>Output Total Weight FS Mt NS from LMP.</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158A4-D95A-468A-A220-27B29DF557BA}">
  <dimension ref="A1:K1200"/>
  <sheetViews>
    <sheetView tabSelected="1" topLeftCell="D1175" workbookViewId="0">
      <selection activeCell="H1193" sqref="H1193"/>
    </sheetView>
  </sheetViews>
  <sheetFormatPr defaultRowHeight="15" x14ac:dyDescent="0.25"/>
  <cols>
    <col min="1" max="3" width="9.140625" style="3"/>
    <col min="4" max="4" width="14.5703125" style="3" customWidth="1"/>
    <col min="5" max="5" width="6.140625" style="3" customWidth="1"/>
    <col min="6" max="6" width="24.28515625" style="3" customWidth="1"/>
    <col min="7" max="7" width="7.28515625" style="3" customWidth="1"/>
    <col min="8" max="8" width="87.28515625" style="3" customWidth="1"/>
    <col min="9" max="9" width="21.28515625" style="3" customWidth="1"/>
  </cols>
  <sheetData>
    <row r="1" spans="1:10" x14ac:dyDescent="0.25">
      <c r="A1" s="6" t="s">
        <v>6980</v>
      </c>
      <c r="B1" s="6" t="s">
        <v>6981</v>
      </c>
      <c r="C1" s="6" t="s">
        <v>6982</v>
      </c>
      <c r="D1" s="6" t="s">
        <v>0</v>
      </c>
      <c r="E1" s="6" t="s">
        <v>1</v>
      </c>
      <c r="F1" s="6" t="s">
        <v>2</v>
      </c>
      <c r="G1" s="6" t="s">
        <v>3</v>
      </c>
      <c r="H1" s="6" t="s">
        <v>22</v>
      </c>
      <c r="I1" s="6" t="s">
        <v>1139</v>
      </c>
      <c r="J1" s="2" t="s">
        <v>1269</v>
      </c>
    </row>
    <row r="2" spans="1:10" ht="15" customHeight="1" x14ac:dyDescent="0.25">
      <c r="A2" s="3" t="s">
        <v>6983</v>
      </c>
      <c r="B2" s="3" t="s">
        <v>6991</v>
      </c>
      <c r="C2" s="3" t="s">
        <v>6985</v>
      </c>
      <c r="D2" s="11" t="s">
        <v>6278</v>
      </c>
      <c r="E2" s="3">
        <v>1</v>
      </c>
      <c r="F2" s="3" t="s">
        <v>4799</v>
      </c>
      <c r="G2" s="3" t="s">
        <v>6</v>
      </c>
      <c r="H2" s="3" t="s">
        <v>23</v>
      </c>
      <c r="I2" s="3" t="s">
        <v>6529</v>
      </c>
    </row>
    <row r="3" spans="1:10" x14ac:dyDescent="0.25">
      <c r="A3" s="3" t="s">
        <v>6983</v>
      </c>
      <c r="B3" s="3" t="s">
        <v>6991</v>
      </c>
      <c r="C3" s="3" t="s">
        <v>6985</v>
      </c>
      <c r="D3" s="3" t="s">
        <v>6278</v>
      </c>
      <c r="E3" s="3">
        <v>2</v>
      </c>
      <c r="F3" s="3" t="s">
        <v>4800</v>
      </c>
      <c r="G3" s="3" t="s">
        <v>6</v>
      </c>
      <c r="H3" s="3" t="s">
        <v>24</v>
      </c>
      <c r="I3" s="3" t="s">
        <v>6529</v>
      </c>
    </row>
    <row r="4" spans="1:10" x14ac:dyDescent="0.25">
      <c r="A4" s="3" t="s">
        <v>6983</v>
      </c>
      <c r="B4" s="3" t="s">
        <v>6991</v>
      </c>
      <c r="C4" s="3" t="s">
        <v>6985</v>
      </c>
      <c r="D4" s="3" t="s">
        <v>6278</v>
      </c>
      <c r="E4" s="3">
        <v>3</v>
      </c>
      <c r="F4" s="3" t="s">
        <v>4801</v>
      </c>
      <c r="G4" s="3" t="s">
        <v>6</v>
      </c>
      <c r="H4" s="3" t="s">
        <v>25</v>
      </c>
      <c r="I4" s="3" t="s">
        <v>6529</v>
      </c>
    </row>
    <row r="5" spans="1:10" x14ac:dyDescent="0.25">
      <c r="A5" s="3" t="s">
        <v>6983</v>
      </c>
      <c r="B5" s="3" t="s">
        <v>6991</v>
      </c>
      <c r="C5" s="3" t="s">
        <v>6985</v>
      </c>
      <c r="D5" s="3" t="s">
        <v>6278</v>
      </c>
      <c r="E5" s="3">
        <v>4</v>
      </c>
      <c r="F5" s="3" t="s">
        <v>4802</v>
      </c>
      <c r="G5" s="3" t="s">
        <v>7</v>
      </c>
      <c r="H5" s="3" t="s">
        <v>26</v>
      </c>
      <c r="I5" s="3" t="s">
        <v>6529</v>
      </c>
    </row>
    <row r="6" spans="1:10" x14ac:dyDescent="0.25">
      <c r="A6" s="3" t="s">
        <v>6983</v>
      </c>
      <c r="B6" s="3" t="s">
        <v>6991</v>
      </c>
      <c r="C6" s="3" t="s">
        <v>6985</v>
      </c>
      <c r="D6" s="3" t="s">
        <v>6278</v>
      </c>
      <c r="E6" s="3">
        <v>5</v>
      </c>
      <c r="F6" s="3" t="s">
        <v>4803</v>
      </c>
      <c r="G6" s="3" t="s">
        <v>7</v>
      </c>
      <c r="H6" s="3" t="s">
        <v>27</v>
      </c>
      <c r="I6" s="3" t="s">
        <v>6529</v>
      </c>
    </row>
    <row r="7" spans="1:10" x14ac:dyDescent="0.25">
      <c r="A7" s="3" t="s">
        <v>6983</v>
      </c>
      <c r="B7" s="3" t="s">
        <v>6991</v>
      </c>
      <c r="C7" s="3" t="s">
        <v>6985</v>
      </c>
      <c r="D7" s="3" t="s">
        <v>6278</v>
      </c>
      <c r="E7" s="3">
        <v>6</v>
      </c>
      <c r="F7" s="3" t="s">
        <v>4804</v>
      </c>
      <c r="G7" s="3" t="s">
        <v>7</v>
      </c>
      <c r="H7" s="3" t="s">
        <v>28</v>
      </c>
      <c r="I7" s="3" t="s">
        <v>6529</v>
      </c>
    </row>
    <row r="8" spans="1:10" x14ac:dyDescent="0.25">
      <c r="A8" s="3" t="s">
        <v>6983</v>
      </c>
      <c r="B8" s="3" t="s">
        <v>6991</v>
      </c>
      <c r="C8" s="3" t="s">
        <v>6985</v>
      </c>
      <c r="D8" s="3" t="s">
        <v>6278</v>
      </c>
      <c r="E8" s="3">
        <v>7</v>
      </c>
      <c r="F8" s="3" t="s">
        <v>4805</v>
      </c>
      <c r="G8" s="3" t="s">
        <v>11</v>
      </c>
      <c r="H8" s="3" t="s">
        <v>6526</v>
      </c>
      <c r="I8" s="3" t="s">
        <v>6529</v>
      </c>
    </row>
    <row r="9" spans="1:10" x14ac:dyDescent="0.25">
      <c r="A9" s="3" t="s">
        <v>6983</v>
      </c>
      <c r="B9" s="3" t="s">
        <v>6991</v>
      </c>
      <c r="C9" s="3" t="s">
        <v>6985</v>
      </c>
      <c r="D9" s="3" t="s">
        <v>6278</v>
      </c>
      <c r="E9" s="3">
        <v>8</v>
      </c>
      <c r="F9" s="3" t="s">
        <v>4806</v>
      </c>
      <c r="G9" s="3" t="s">
        <v>11</v>
      </c>
      <c r="H9" s="3" t="s">
        <v>6527</v>
      </c>
      <c r="I9" s="3" t="s">
        <v>6529</v>
      </c>
    </row>
    <row r="10" spans="1:10" x14ac:dyDescent="0.25">
      <c r="A10" s="3" t="s">
        <v>6983</v>
      </c>
      <c r="B10" s="3" t="s">
        <v>6991</v>
      </c>
      <c r="C10" s="3" t="s">
        <v>6985</v>
      </c>
      <c r="D10" s="3" t="s">
        <v>6278</v>
      </c>
      <c r="E10" s="3">
        <v>9</v>
      </c>
      <c r="F10" s="3" t="s">
        <v>4807</v>
      </c>
      <c r="G10" s="3" t="s">
        <v>11</v>
      </c>
      <c r="H10" s="3" t="s">
        <v>6528</v>
      </c>
      <c r="I10" s="3" t="s">
        <v>6529</v>
      </c>
    </row>
    <row r="11" spans="1:10" ht="17.25" customHeight="1" x14ac:dyDescent="0.25">
      <c r="A11" s="3" t="s">
        <v>6983</v>
      </c>
      <c r="B11" s="3" t="s">
        <v>6991</v>
      </c>
      <c r="C11" s="3" t="s">
        <v>6985</v>
      </c>
      <c r="D11" s="3" t="s">
        <v>6279</v>
      </c>
      <c r="E11" s="3">
        <v>10</v>
      </c>
      <c r="F11" s="3" t="s">
        <v>4808</v>
      </c>
      <c r="G11" s="3" t="s">
        <v>4</v>
      </c>
      <c r="H11" s="3" t="s">
        <v>6375</v>
      </c>
      <c r="I11" s="3" t="s">
        <v>6529</v>
      </c>
    </row>
    <row r="12" spans="1:10" x14ac:dyDescent="0.25">
      <c r="A12" s="3" t="s">
        <v>6983</v>
      </c>
      <c r="B12" s="3" t="s">
        <v>6991</v>
      </c>
      <c r="C12" s="3" t="s">
        <v>6985</v>
      </c>
      <c r="D12" s="3" t="s">
        <v>6279</v>
      </c>
      <c r="E12" s="3">
        <v>11</v>
      </c>
      <c r="F12" s="3" t="s">
        <v>4809</v>
      </c>
      <c r="G12" s="3" t="s">
        <v>4</v>
      </c>
      <c r="H12" s="3" t="s">
        <v>6376</v>
      </c>
      <c r="I12" s="3" t="s">
        <v>6529</v>
      </c>
    </row>
    <row r="13" spans="1:10" x14ac:dyDescent="0.25">
      <c r="A13" s="3" t="s">
        <v>6983</v>
      </c>
      <c r="B13" s="3" t="s">
        <v>6991</v>
      </c>
      <c r="C13" s="3" t="s">
        <v>6985</v>
      </c>
      <c r="D13" s="3" t="s">
        <v>6279</v>
      </c>
      <c r="E13" s="3">
        <v>12</v>
      </c>
      <c r="F13" s="3" t="s">
        <v>4810</v>
      </c>
      <c r="G13" s="3" t="s">
        <v>5</v>
      </c>
      <c r="H13" s="4" t="s">
        <v>6374</v>
      </c>
      <c r="I13" s="3" t="s">
        <v>6529</v>
      </c>
    </row>
    <row r="14" spans="1:10" x14ac:dyDescent="0.25">
      <c r="A14" s="3" t="s">
        <v>6983</v>
      </c>
      <c r="B14" s="3" t="s">
        <v>6991</v>
      </c>
      <c r="C14" s="3" t="s">
        <v>6985</v>
      </c>
      <c r="D14" s="3" t="s">
        <v>6279</v>
      </c>
      <c r="E14" s="3">
        <v>13</v>
      </c>
      <c r="F14" s="3" t="s">
        <v>4811</v>
      </c>
      <c r="G14" s="3" t="s">
        <v>6</v>
      </c>
      <c r="H14" s="3" t="s">
        <v>23</v>
      </c>
      <c r="I14" s="3" t="s">
        <v>6529</v>
      </c>
    </row>
    <row r="15" spans="1:10" x14ac:dyDescent="0.25">
      <c r="A15" s="3" t="s">
        <v>6983</v>
      </c>
      <c r="B15" s="3" t="s">
        <v>6991</v>
      </c>
      <c r="C15" s="3" t="s">
        <v>6985</v>
      </c>
      <c r="D15" s="3" t="s">
        <v>6279</v>
      </c>
      <c r="E15" s="3">
        <v>14</v>
      </c>
      <c r="F15" s="3" t="s">
        <v>4812</v>
      </c>
      <c r="G15" s="3" t="s">
        <v>6</v>
      </c>
      <c r="H15" s="3" t="s">
        <v>24</v>
      </c>
      <c r="I15" s="3" t="s">
        <v>6529</v>
      </c>
    </row>
    <row r="16" spans="1:10" x14ac:dyDescent="0.25">
      <c r="A16" s="3" t="s">
        <v>6983</v>
      </c>
      <c r="B16" s="3" t="s">
        <v>6991</v>
      </c>
      <c r="C16" s="3" t="s">
        <v>6985</v>
      </c>
      <c r="D16" s="3" t="s">
        <v>6279</v>
      </c>
      <c r="E16" s="3">
        <v>15</v>
      </c>
      <c r="F16" s="3" t="s">
        <v>4813</v>
      </c>
      <c r="G16" s="3" t="s">
        <v>6</v>
      </c>
      <c r="H16" s="3" t="s">
        <v>25</v>
      </c>
      <c r="I16" s="3" t="s">
        <v>6529</v>
      </c>
    </row>
    <row r="17" spans="1:9" x14ac:dyDescent="0.25">
      <c r="A17" s="3" t="s">
        <v>6983</v>
      </c>
      <c r="B17" s="3" t="s">
        <v>6991</v>
      </c>
      <c r="C17" s="3" t="s">
        <v>6985</v>
      </c>
      <c r="D17" s="3" t="s">
        <v>6279</v>
      </c>
      <c r="E17" s="3">
        <v>16</v>
      </c>
      <c r="F17" s="3" t="s">
        <v>4814</v>
      </c>
      <c r="G17" s="3" t="s">
        <v>7</v>
      </c>
      <c r="H17" s="3" t="s">
        <v>26</v>
      </c>
      <c r="I17" s="3" t="s">
        <v>6529</v>
      </c>
    </row>
    <row r="18" spans="1:9" x14ac:dyDescent="0.25">
      <c r="A18" s="3" t="s">
        <v>6983</v>
      </c>
      <c r="B18" s="3" t="s">
        <v>6991</v>
      </c>
      <c r="C18" s="3" t="s">
        <v>6985</v>
      </c>
      <c r="D18" s="3" t="s">
        <v>6279</v>
      </c>
      <c r="E18" s="3">
        <v>17</v>
      </c>
      <c r="F18" s="3" t="s">
        <v>4815</v>
      </c>
      <c r="G18" s="3" t="s">
        <v>7</v>
      </c>
      <c r="H18" s="3" t="s">
        <v>27</v>
      </c>
      <c r="I18" s="3" t="s">
        <v>6529</v>
      </c>
    </row>
    <row r="19" spans="1:9" x14ac:dyDescent="0.25">
      <c r="A19" s="3" t="s">
        <v>6983</v>
      </c>
      <c r="B19" s="3" t="s">
        <v>6991</v>
      </c>
      <c r="C19" s="3" t="s">
        <v>6985</v>
      </c>
      <c r="D19" s="3" t="s">
        <v>6279</v>
      </c>
      <c r="E19" s="3">
        <v>18</v>
      </c>
      <c r="F19" s="3" t="s">
        <v>4816</v>
      </c>
      <c r="G19" s="3" t="s">
        <v>7</v>
      </c>
      <c r="H19" s="3" t="s">
        <v>28</v>
      </c>
      <c r="I19" s="3" t="s">
        <v>6529</v>
      </c>
    </row>
    <row r="20" spans="1:9" x14ac:dyDescent="0.25">
      <c r="A20" s="3" t="s">
        <v>6983</v>
      </c>
      <c r="B20" s="3" t="s">
        <v>6991</v>
      </c>
      <c r="C20" s="3" t="s">
        <v>6985</v>
      </c>
      <c r="D20" s="3" t="s">
        <v>6279</v>
      </c>
      <c r="E20" s="3">
        <v>19</v>
      </c>
      <c r="F20" s="3" t="s">
        <v>4817</v>
      </c>
      <c r="G20" s="3" t="s">
        <v>8</v>
      </c>
      <c r="H20" s="3" t="s">
        <v>6994</v>
      </c>
      <c r="I20" s="3" t="s">
        <v>6529</v>
      </c>
    </row>
    <row r="21" spans="1:9" x14ac:dyDescent="0.25">
      <c r="A21" s="3" t="s">
        <v>6983</v>
      </c>
      <c r="B21" s="3" t="s">
        <v>6991</v>
      </c>
      <c r="C21" s="3" t="s">
        <v>6985</v>
      </c>
      <c r="D21" s="3" t="s">
        <v>6279</v>
      </c>
      <c r="E21" s="3">
        <v>20</v>
      </c>
      <c r="F21" s="3" t="s">
        <v>4818</v>
      </c>
      <c r="G21" s="3" t="s">
        <v>9</v>
      </c>
      <c r="H21" s="4" t="s">
        <v>6377</v>
      </c>
      <c r="I21" s="3" t="s">
        <v>6529</v>
      </c>
    </row>
    <row r="22" spans="1:9" x14ac:dyDescent="0.25">
      <c r="A22" s="3" t="s">
        <v>6983</v>
      </c>
      <c r="B22" s="3" t="s">
        <v>6991</v>
      </c>
      <c r="C22" s="3" t="s">
        <v>6985</v>
      </c>
      <c r="D22" s="3" t="s">
        <v>6280</v>
      </c>
      <c r="E22" s="3">
        <v>21</v>
      </c>
      <c r="F22" s="3" t="s">
        <v>4819</v>
      </c>
      <c r="G22" s="3" t="s">
        <v>4</v>
      </c>
      <c r="H22" s="4" t="s">
        <v>7033</v>
      </c>
    </row>
    <row r="23" spans="1:9" x14ac:dyDescent="0.25">
      <c r="A23" s="3" t="s">
        <v>6983</v>
      </c>
      <c r="B23" s="3" t="s">
        <v>6991</v>
      </c>
      <c r="C23" s="3" t="s">
        <v>6985</v>
      </c>
      <c r="D23" s="3" t="s">
        <v>6280</v>
      </c>
      <c r="E23" s="3">
        <v>22</v>
      </c>
      <c r="F23" s="3" t="s">
        <v>4820</v>
      </c>
      <c r="G23" s="3" t="s">
        <v>13</v>
      </c>
      <c r="H23" s="4" t="s">
        <v>6516</v>
      </c>
    </row>
    <row r="24" spans="1:9" x14ac:dyDescent="0.25">
      <c r="A24" s="3" t="s">
        <v>6983</v>
      </c>
      <c r="B24" s="3" t="s">
        <v>6991</v>
      </c>
      <c r="C24" s="3" t="s">
        <v>6985</v>
      </c>
      <c r="D24" s="3" t="s">
        <v>6280</v>
      </c>
      <c r="E24" s="3">
        <v>23</v>
      </c>
      <c r="F24" s="3" t="s">
        <v>4821</v>
      </c>
      <c r="G24" s="3" t="s">
        <v>4</v>
      </c>
      <c r="H24" s="4" t="s">
        <v>7034</v>
      </c>
    </row>
    <row r="25" spans="1:9" x14ac:dyDescent="0.25">
      <c r="A25" s="3" t="s">
        <v>6983</v>
      </c>
      <c r="B25" s="3" t="s">
        <v>6991</v>
      </c>
      <c r="C25" s="3" t="s">
        <v>6985</v>
      </c>
      <c r="D25" s="3" t="s">
        <v>6280</v>
      </c>
      <c r="E25" s="3">
        <v>24</v>
      </c>
      <c r="F25" s="3" t="s">
        <v>4822</v>
      </c>
      <c r="G25" s="3" t="s">
        <v>13</v>
      </c>
      <c r="H25" s="3" t="s">
        <v>6515</v>
      </c>
    </row>
    <row r="26" spans="1:9" x14ac:dyDescent="0.25">
      <c r="A26" s="3" t="s">
        <v>6983</v>
      </c>
      <c r="B26" s="3" t="s">
        <v>6991</v>
      </c>
      <c r="C26" s="3" t="s">
        <v>6985</v>
      </c>
      <c r="D26" s="3" t="s">
        <v>2107</v>
      </c>
      <c r="E26" s="3">
        <v>25</v>
      </c>
      <c r="F26" s="3" t="s">
        <v>1499</v>
      </c>
      <c r="G26" s="3" t="s">
        <v>19</v>
      </c>
      <c r="H26" s="3" t="s">
        <v>6953</v>
      </c>
    </row>
    <row r="27" spans="1:9" x14ac:dyDescent="0.25">
      <c r="A27" s="3" t="s">
        <v>6983</v>
      </c>
      <c r="B27" s="3" t="s">
        <v>6991</v>
      </c>
      <c r="C27" s="3" t="s">
        <v>6985</v>
      </c>
      <c r="D27" s="3" t="s">
        <v>2107</v>
      </c>
      <c r="E27" s="3">
        <v>26</v>
      </c>
      <c r="F27" s="3" t="s">
        <v>1498</v>
      </c>
      <c r="G27" s="3" t="s">
        <v>5</v>
      </c>
      <c r="H27" s="3" t="s">
        <v>6948</v>
      </c>
    </row>
    <row r="28" spans="1:9" x14ac:dyDescent="0.25">
      <c r="A28" s="3" t="s">
        <v>6983</v>
      </c>
      <c r="B28" s="3" t="s">
        <v>6991</v>
      </c>
      <c r="C28" s="3" t="s">
        <v>6985</v>
      </c>
      <c r="D28" s="3" t="s">
        <v>2107</v>
      </c>
      <c r="E28" s="3">
        <v>27</v>
      </c>
      <c r="F28" s="3" t="s">
        <v>1504</v>
      </c>
      <c r="G28" s="3" t="s">
        <v>2099</v>
      </c>
      <c r="H28" s="3" t="s">
        <v>1233</v>
      </c>
    </row>
    <row r="29" spans="1:9" x14ac:dyDescent="0.25">
      <c r="A29" s="3" t="s">
        <v>6983</v>
      </c>
      <c r="B29" s="3" t="s">
        <v>6991</v>
      </c>
      <c r="C29" s="3" t="s">
        <v>6985</v>
      </c>
      <c r="D29" s="3" t="s">
        <v>2107</v>
      </c>
      <c r="E29" s="3">
        <v>28</v>
      </c>
      <c r="F29" s="3" t="s">
        <v>1505</v>
      </c>
      <c r="G29" s="3" t="s">
        <v>5978</v>
      </c>
      <c r="H29" s="3" t="s">
        <v>1242</v>
      </c>
    </row>
    <row r="30" spans="1:9" x14ac:dyDescent="0.25">
      <c r="A30" s="3" t="s">
        <v>6983</v>
      </c>
      <c r="B30" s="3" t="s">
        <v>6991</v>
      </c>
      <c r="C30" s="3" t="s">
        <v>6985</v>
      </c>
      <c r="D30" s="3" t="s">
        <v>2107</v>
      </c>
      <c r="E30" s="3">
        <v>29</v>
      </c>
      <c r="F30" s="3" t="s">
        <v>1513</v>
      </c>
      <c r="G30" s="3" t="s">
        <v>19</v>
      </c>
      <c r="H30" s="3" t="s">
        <v>1243</v>
      </c>
    </row>
    <row r="31" spans="1:9" x14ac:dyDescent="0.25">
      <c r="A31" s="3" t="s">
        <v>6983</v>
      </c>
      <c r="B31" s="3" t="s">
        <v>6991</v>
      </c>
      <c r="C31" s="3" t="s">
        <v>6985</v>
      </c>
      <c r="D31" s="3" t="s">
        <v>2107</v>
      </c>
      <c r="E31" s="3">
        <v>30</v>
      </c>
      <c r="F31" s="3" t="s">
        <v>1514</v>
      </c>
      <c r="G31" s="3" t="s">
        <v>19</v>
      </c>
      <c r="H31" s="3" t="s">
        <v>1243</v>
      </c>
    </row>
    <row r="32" spans="1:9" x14ac:dyDescent="0.25">
      <c r="A32" s="3" t="s">
        <v>6983</v>
      </c>
      <c r="B32" s="3" t="s">
        <v>6991</v>
      </c>
      <c r="C32" s="3" t="s">
        <v>6985</v>
      </c>
      <c r="D32" s="3" t="s">
        <v>2107</v>
      </c>
      <c r="E32" s="3">
        <v>31</v>
      </c>
      <c r="F32" s="3" t="s">
        <v>1506</v>
      </c>
      <c r="G32" s="3" t="s">
        <v>1095</v>
      </c>
      <c r="H32" s="3" t="s">
        <v>32</v>
      </c>
    </row>
    <row r="33" spans="1:9" x14ac:dyDescent="0.25">
      <c r="A33" s="3" t="s">
        <v>6983</v>
      </c>
      <c r="B33" s="3" t="s">
        <v>6991</v>
      </c>
      <c r="C33" s="3" t="s">
        <v>6985</v>
      </c>
      <c r="D33" s="3" t="s">
        <v>2107</v>
      </c>
      <c r="E33" s="3">
        <v>32</v>
      </c>
      <c r="F33" s="3" t="s">
        <v>1507</v>
      </c>
      <c r="G33" s="3" t="s">
        <v>1095</v>
      </c>
      <c r="H33" s="3" t="s">
        <v>1144</v>
      </c>
    </row>
    <row r="34" spans="1:9" x14ac:dyDescent="0.25">
      <c r="A34" s="3" t="s">
        <v>6983</v>
      </c>
      <c r="B34" s="3" t="s">
        <v>6991</v>
      </c>
      <c r="C34" s="3" t="s">
        <v>6985</v>
      </c>
      <c r="D34" s="3" t="s">
        <v>2107</v>
      </c>
      <c r="E34" s="3">
        <v>33</v>
      </c>
      <c r="F34" s="3" t="s">
        <v>4823</v>
      </c>
      <c r="G34" s="3" t="s">
        <v>4</v>
      </c>
      <c r="H34" s="4" t="s">
        <v>7025</v>
      </c>
    </row>
    <row r="35" spans="1:9" x14ac:dyDescent="0.25">
      <c r="A35" s="3" t="s">
        <v>6983</v>
      </c>
      <c r="B35" s="3" t="s">
        <v>6991</v>
      </c>
      <c r="C35" s="3" t="s">
        <v>6985</v>
      </c>
      <c r="D35" s="3" t="s">
        <v>2107</v>
      </c>
      <c r="E35" s="3">
        <v>34</v>
      </c>
      <c r="F35" s="3" t="s">
        <v>4824</v>
      </c>
      <c r="G35" s="3" t="s">
        <v>3843</v>
      </c>
      <c r="H35" s="3" t="s">
        <v>34</v>
      </c>
    </row>
    <row r="36" spans="1:9" x14ac:dyDescent="0.25">
      <c r="A36" s="3" t="s">
        <v>6983</v>
      </c>
      <c r="B36" s="3" t="s">
        <v>6991</v>
      </c>
      <c r="C36" s="3" t="s">
        <v>6985</v>
      </c>
      <c r="D36" s="3" t="s">
        <v>2107</v>
      </c>
      <c r="E36" s="3">
        <v>35</v>
      </c>
      <c r="F36" s="5" t="s">
        <v>4825</v>
      </c>
      <c r="G36" s="5" t="s">
        <v>3843</v>
      </c>
      <c r="H36" s="5" t="s">
        <v>2128</v>
      </c>
    </row>
    <row r="37" spans="1:9" x14ac:dyDescent="0.25">
      <c r="A37" s="3" t="s">
        <v>6983</v>
      </c>
      <c r="B37" s="3" t="s">
        <v>6991</v>
      </c>
      <c r="C37" s="3" t="s">
        <v>6985</v>
      </c>
      <c r="D37" s="3" t="s">
        <v>2107</v>
      </c>
      <c r="E37" s="3">
        <v>36</v>
      </c>
      <c r="F37" s="3" t="s">
        <v>1512</v>
      </c>
      <c r="G37" s="3" t="s">
        <v>1096</v>
      </c>
      <c r="H37" s="3" t="s">
        <v>1244</v>
      </c>
    </row>
    <row r="38" spans="1:9" x14ac:dyDescent="0.25">
      <c r="A38" s="3" t="s">
        <v>6983</v>
      </c>
      <c r="B38" s="3" t="s">
        <v>6991</v>
      </c>
      <c r="C38" s="3" t="s">
        <v>6985</v>
      </c>
      <c r="D38" s="3" t="s">
        <v>2107</v>
      </c>
      <c r="E38" s="3">
        <v>37</v>
      </c>
      <c r="F38" s="3" t="s">
        <v>4826</v>
      </c>
      <c r="G38" s="3" t="s">
        <v>19</v>
      </c>
    </row>
    <row r="39" spans="1:9" x14ac:dyDescent="0.25">
      <c r="A39" s="3" t="s">
        <v>6983</v>
      </c>
      <c r="B39" s="3" t="s">
        <v>6991</v>
      </c>
      <c r="C39" s="3" t="s">
        <v>6985</v>
      </c>
      <c r="D39" s="3" t="s">
        <v>2107</v>
      </c>
      <c r="E39" s="3">
        <v>38</v>
      </c>
      <c r="F39" s="3" t="s">
        <v>4827</v>
      </c>
      <c r="G39" s="3" t="s">
        <v>1096</v>
      </c>
      <c r="H39" s="3" t="s">
        <v>6521</v>
      </c>
    </row>
    <row r="40" spans="1:9" x14ac:dyDescent="0.25">
      <c r="A40" s="3" t="s">
        <v>6983</v>
      </c>
      <c r="B40" s="3" t="s">
        <v>6991</v>
      </c>
      <c r="C40" s="3" t="s">
        <v>6985</v>
      </c>
      <c r="D40" s="3" t="s">
        <v>6281</v>
      </c>
      <c r="E40" s="3">
        <v>39</v>
      </c>
      <c r="F40" s="3" t="s">
        <v>4828</v>
      </c>
      <c r="G40" s="3" t="s">
        <v>1096</v>
      </c>
      <c r="H40" s="3" t="s">
        <v>1244</v>
      </c>
    </row>
    <row r="41" spans="1:9" x14ac:dyDescent="0.25">
      <c r="A41" s="3" t="s">
        <v>6983</v>
      </c>
      <c r="B41" s="3" t="s">
        <v>6991</v>
      </c>
      <c r="C41" s="3" t="s">
        <v>6985</v>
      </c>
      <c r="D41" s="3" t="s">
        <v>5748</v>
      </c>
      <c r="E41" s="3">
        <v>40</v>
      </c>
      <c r="F41" s="3" t="s">
        <v>4829</v>
      </c>
      <c r="G41" s="3" t="s">
        <v>5</v>
      </c>
      <c r="H41" s="3" t="s">
        <v>6827</v>
      </c>
    </row>
    <row r="42" spans="1:9" ht="15" customHeight="1" x14ac:dyDescent="0.25">
      <c r="A42" s="3" t="s">
        <v>6983</v>
      </c>
      <c r="B42" s="3" t="s">
        <v>6991</v>
      </c>
      <c r="C42" s="3" t="s">
        <v>6985</v>
      </c>
      <c r="D42" s="3" t="s">
        <v>6282</v>
      </c>
      <c r="E42" s="3">
        <v>41</v>
      </c>
      <c r="F42" s="3" t="s">
        <v>4830</v>
      </c>
      <c r="G42" s="3" t="s">
        <v>14</v>
      </c>
      <c r="H42" s="3" t="s">
        <v>6828</v>
      </c>
      <c r="I42" s="3" t="s">
        <v>1179</v>
      </c>
    </row>
    <row r="43" spans="1:9" x14ac:dyDescent="0.25">
      <c r="A43" s="3" t="s">
        <v>6983</v>
      </c>
      <c r="B43" s="3" t="s">
        <v>6991</v>
      </c>
      <c r="C43" s="3" t="s">
        <v>6985</v>
      </c>
      <c r="D43" s="3" t="s">
        <v>6995</v>
      </c>
      <c r="E43" s="3">
        <v>42</v>
      </c>
      <c r="F43" s="3" t="s">
        <v>4831</v>
      </c>
      <c r="G43" s="3" t="s">
        <v>15</v>
      </c>
      <c r="H43" s="3" t="s">
        <v>6829</v>
      </c>
      <c r="I43" s="3" t="s">
        <v>1179</v>
      </c>
    </row>
    <row r="44" spans="1:9" x14ac:dyDescent="0.25">
      <c r="A44" s="3" t="s">
        <v>6983</v>
      </c>
      <c r="B44" s="3" t="s">
        <v>6991</v>
      </c>
      <c r="C44" s="3" t="s">
        <v>6985</v>
      </c>
      <c r="D44" s="3" t="s">
        <v>6996</v>
      </c>
      <c r="E44" s="3">
        <v>43</v>
      </c>
      <c r="F44" s="3" t="s">
        <v>4832</v>
      </c>
      <c r="G44" s="3" t="s">
        <v>1091</v>
      </c>
      <c r="H44" s="3" t="s">
        <v>6830</v>
      </c>
      <c r="I44" s="3" t="s">
        <v>1179</v>
      </c>
    </row>
    <row r="45" spans="1:9" x14ac:dyDescent="0.25">
      <c r="A45" s="3" t="s">
        <v>6983</v>
      </c>
      <c r="B45" s="3" t="s">
        <v>6991</v>
      </c>
      <c r="C45" s="3" t="s">
        <v>6985</v>
      </c>
      <c r="D45" s="3" t="s">
        <v>6997</v>
      </c>
      <c r="E45" s="3">
        <v>44</v>
      </c>
      <c r="F45" s="3" t="s">
        <v>4833</v>
      </c>
      <c r="G45" s="3" t="s">
        <v>14</v>
      </c>
      <c r="H45" s="3" t="s">
        <v>6833</v>
      </c>
      <c r="I45" s="3" t="s">
        <v>1179</v>
      </c>
    </row>
    <row r="46" spans="1:9" x14ac:dyDescent="0.25">
      <c r="A46" s="3" t="s">
        <v>6983</v>
      </c>
      <c r="B46" s="3" t="s">
        <v>6991</v>
      </c>
      <c r="C46" s="3" t="s">
        <v>6985</v>
      </c>
      <c r="D46" s="3" t="s">
        <v>6998</v>
      </c>
      <c r="E46" s="3">
        <v>45</v>
      </c>
      <c r="F46" s="3" t="s">
        <v>4834</v>
      </c>
      <c r="G46" s="3" t="s">
        <v>15</v>
      </c>
      <c r="H46" s="3" t="s">
        <v>6831</v>
      </c>
      <c r="I46" s="3" t="s">
        <v>1179</v>
      </c>
    </row>
    <row r="47" spans="1:9" x14ac:dyDescent="0.25">
      <c r="A47" s="3" t="s">
        <v>6983</v>
      </c>
      <c r="B47" s="3" t="s">
        <v>6991</v>
      </c>
      <c r="C47" s="3" t="s">
        <v>6985</v>
      </c>
      <c r="D47" s="3" t="s">
        <v>6999</v>
      </c>
      <c r="E47" s="3">
        <v>46</v>
      </c>
      <c r="F47" s="3" t="s">
        <v>4835</v>
      </c>
      <c r="G47" s="3" t="s">
        <v>1091</v>
      </c>
      <c r="H47" s="3" t="s">
        <v>6832</v>
      </c>
      <c r="I47" s="3" t="s">
        <v>1179</v>
      </c>
    </row>
    <row r="48" spans="1:9" x14ac:dyDescent="0.25">
      <c r="A48" s="3" t="s">
        <v>6983</v>
      </c>
      <c r="B48" s="3" t="s">
        <v>6991</v>
      </c>
      <c r="C48" s="3" t="s">
        <v>6985</v>
      </c>
      <c r="D48" s="3" t="s">
        <v>7000</v>
      </c>
      <c r="E48" s="3">
        <v>47</v>
      </c>
      <c r="F48" s="3" t="s">
        <v>4836</v>
      </c>
      <c r="G48" s="3" t="s">
        <v>5</v>
      </c>
      <c r="H48" s="3" t="s">
        <v>6550</v>
      </c>
      <c r="I48" s="3" t="s">
        <v>1179</v>
      </c>
    </row>
    <row r="49" spans="1:10" x14ac:dyDescent="0.25">
      <c r="A49" s="3" t="s">
        <v>6983</v>
      </c>
      <c r="B49" s="3" t="s">
        <v>6991</v>
      </c>
      <c r="C49" s="3" t="s">
        <v>6985</v>
      </c>
      <c r="D49" s="3" t="s">
        <v>7001</v>
      </c>
      <c r="E49" s="3">
        <v>48</v>
      </c>
      <c r="F49" s="3" t="s">
        <v>4837</v>
      </c>
      <c r="G49" s="3" t="s">
        <v>1092</v>
      </c>
      <c r="H49" s="3" t="s">
        <v>6551</v>
      </c>
      <c r="I49" s="3" t="s">
        <v>1179</v>
      </c>
    </row>
    <row r="50" spans="1:10" x14ac:dyDescent="0.25">
      <c r="A50" s="3" t="s">
        <v>6983</v>
      </c>
      <c r="B50" s="3" t="s">
        <v>6991</v>
      </c>
      <c r="C50" s="3" t="s">
        <v>6985</v>
      </c>
      <c r="D50" s="3" t="s">
        <v>7002</v>
      </c>
      <c r="E50" s="3">
        <v>49</v>
      </c>
      <c r="F50" s="3" t="s">
        <v>4838</v>
      </c>
      <c r="G50" s="3" t="s">
        <v>16</v>
      </c>
      <c r="H50" s="3" t="s">
        <v>6552</v>
      </c>
      <c r="I50" s="3" t="s">
        <v>1179</v>
      </c>
    </row>
    <row r="51" spans="1:10" x14ac:dyDescent="0.25">
      <c r="A51" s="3" t="s">
        <v>6983</v>
      </c>
      <c r="B51" s="3" t="s">
        <v>6991</v>
      </c>
      <c r="C51" s="3" t="s">
        <v>6985</v>
      </c>
      <c r="D51" s="3" t="s">
        <v>7003</v>
      </c>
      <c r="E51" s="3">
        <v>50</v>
      </c>
      <c r="F51" s="3" t="s">
        <v>4839</v>
      </c>
      <c r="G51" s="3" t="s">
        <v>16</v>
      </c>
      <c r="H51" s="3" t="s">
        <v>37</v>
      </c>
      <c r="I51" s="3" t="s">
        <v>1179</v>
      </c>
    </row>
    <row r="52" spans="1:10" x14ac:dyDescent="0.25">
      <c r="A52" s="3" t="s">
        <v>6983</v>
      </c>
      <c r="B52" s="3" t="s">
        <v>6991</v>
      </c>
      <c r="C52" s="3" t="s">
        <v>6985</v>
      </c>
      <c r="D52" s="3" t="s">
        <v>7004</v>
      </c>
      <c r="E52" s="3">
        <v>51</v>
      </c>
      <c r="F52" s="3" t="s">
        <v>4840</v>
      </c>
      <c r="G52" s="3" t="s">
        <v>16</v>
      </c>
      <c r="H52" s="3" t="s">
        <v>6553</v>
      </c>
      <c r="I52" s="3" t="s">
        <v>1179</v>
      </c>
    </row>
    <row r="53" spans="1:10" x14ac:dyDescent="0.25">
      <c r="A53" s="3" t="s">
        <v>6983</v>
      </c>
      <c r="B53" s="3" t="s">
        <v>6991</v>
      </c>
      <c r="C53" s="3" t="s">
        <v>6985</v>
      </c>
      <c r="D53" s="3" t="s">
        <v>7005</v>
      </c>
      <c r="E53" s="3">
        <v>52</v>
      </c>
      <c r="F53" s="3" t="s">
        <v>4841</v>
      </c>
      <c r="G53" s="3" t="s">
        <v>17</v>
      </c>
      <c r="H53" s="3" t="s">
        <v>38</v>
      </c>
      <c r="I53" s="3" t="s">
        <v>1179</v>
      </c>
    </row>
    <row r="54" spans="1:10" x14ac:dyDescent="0.25">
      <c r="A54" s="3" t="s">
        <v>6983</v>
      </c>
      <c r="B54" s="3" t="s">
        <v>6991</v>
      </c>
      <c r="C54" s="3" t="s">
        <v>6985</v>
      </c>
      <c r="D54" s="3" t="s">
        <v>6283</v>
      </c>
      <c r="E54" s="3">
        <v>53</v>
      </c>
      <c r="F54" s="3" t="s">
        <v>4842</v>
      </c>
      <c r="G54" s="3" t="s">
        <v>4</v>
      </c>
      <c r="H54" s="4" t="s">
        <v>30</v>
      </c>
    </row>
    <row r="55" spans="1:10" x14ac:dyDescent="0.25">
      <c r="A55" s="3" t="s">
        <v>6983</v>
      </c>
      <c r="B55" s="3" t="s">
        <v>6991</v>
      </c>
      <c r="C55" s="3" t="s">
        <v>6985</v>
      </c>
      <c r="D55" s="3" t="s">
        <v>6284</v>
      </c>
      <c r="E55" s="3">
        <v>54</v>
      </c>
      <c r="F55" s="3" t="s">
        <v>4843</v>
      </c>
      <c r="G55" s="3" t="s">
        <v>5979</v>
      </c>
      <c r="H55" s="3" t="s">
        <v>6451</v>
      </c>
    </row>
    <row r="56" spans="1:10" x14ac:dyDescent="0.25">
      <c r="A56" s="3" t="s">
        <v>6983</v>
      </c>
      <c r="B56" s="3" t="s">
        <v>6991</v>
      </c>
      <c r="C56" s="3" t="s">
        <v>6985</v>
      </c>
      <c r="D56" s="3" t="s">
        <v>6284</v>
      </c>
      <c r="E56" s="3">
        <v>55</v>
      </c>
      <c r="F56" s="3" t="s">
        <v>4844</v>
      </c>
      <c r="G56" s="3" t="s">
        <v>5979</v>
      </c>
      <c r="H56" s="3" t="s">
        <v>6451</v>
      </c>
    </row>
    <row r="57" spans="1:10" x14ac:dyDescent="0.25">
      <c r="A57" s="3" t="s">
        <v>6983</v>
      </c>
      <c r="B57" s="3" t="s">
        <v>6991</v>
      </c>
      <c r="C57" s="3" t="s">
        <v>6985</v>
      </c>
      <c r="D57" s="3" t="s">
        <v>6284</v>
      </c>
      <c r="E57" s="3">
        <v>56</v>
      </c>
      <c r="F57" s="3" t="s">
        <v>4845</v>
      </c>
      <c r="G57" s="3" t="s">
        <v>5979</v>
      </c>
      <c r="H57" s="3" t="s">
        <v>6451</v>
      </c>
    </row>
    <row r="58" spans="1:10" x14ac:dyDescent="0.25">
      <c r="A58" s="3" t="s">
        <v>6983</v>
      </c>
      <c r="B58" s="3" t="s">
        <v>6991</v>
      </c>
      <c r="C58" s="3" t="s">
        <v>6985</v>
      </c>
      <c r="D58" s="3" t="s">
        <v>6284</v>
      </c>
      <c r="E58" s="3">
        <v>57</v>
      </c>
      <c r="F58" s="3" t="s">
        <v>4846</v>
      </c>
      <c r="G58" s="3" t="s">
        <v>5979</v>
      </c>
      <c r="H58" s="3" t="s">
        <v>6451</v>
      </c>
    </row>
    <row r="59" spans="1:10" x14ac:dyDescent="0.25">
      <c r="A59" s="3" t="s">
        <v>6983</v>
      </c>
      <c r="B59" s="3" t="s">
        <v>6991</v>
      </c>
      <c r="C59" s="3" t="s">
        <v>6985</v>
      </c>
      <c r="D59" s="3" t="s">
        <v>6285</v>
      </c>
      <c r="E59" s="3">
        <v>58</v>
      </c>
      <c r="F59" s="3" t="s">
        <v>4847</v>
      </c>
      <c r="G59" s="3" t="s">
        <v>1095</v>
      </c>
      <c r="H59" s="3" t="s">
        <v>6446</v>
      </c>
      <c r="J59" t="s">
        <v>6445</v>
      </c>
    </row>
    <row r="60" spans="1:10" x14ac:dyDescent="0.25">
      <c r="A60" s="3" t="s">
        <v>6983</v>
      </c>
      <c r="B60" s="3" t="s">
        <v>6991</v>
      </c>
      <c r="C60" s="3" t="s">
        <v>6985</v>
      </c>
      <c r="D60" s="3" t="s">
        <v>6285</v>
      </c>
      <c r="E60" s="3">
        <v>59</v>
      </c>
      <c r="F60" s="3" t="s">
        <v>4848</v>
      </c>
      <c r="G60" s="3" t="s">
        <v>1095</v>
      </c>
      <c r="H60" s="3" t="s">
        <v>6446</v>
      </c>
    </row>
    <row r="61" spans="1:10" x14ac:dyDescent="0.25">
      <c r="A61" s="3" t="s">
        <v>6983</v>
      </c>
      <c r="B61" s="3" t="s">
        <v>6991</v>
      </c>
      <c r="C61" s="3" t="s">
        <v>6985</v>
      </c>
      <c r="D61" s="3" t="s">
        <v>6286</v>
      </c>
      <c r="E61" s="3">
        <v>60</v>
      </c>
      <c r="F61" s="3" t="s">
        <v>6234</v>
      </c>
      <c r="G61" s="3" t="s">
        <v>5</v>
      </c>
      <c r="H61" s="3" t="s">
        <v>6447</v>
      </c>
    </row>
    <row r="62" spans="1:10" x14ac:dyDescent="0.25">
      <c r="A62" s="3" t="s">
        <v>6983</v>
      </c>
      <c r="B62" s="3" t="s">
        <v>6991</v>
      </c>
      <c r="C62" s="3" t="s">
        <v>6985</v>
      </c>
      <c r="D62" s="3" t="s">
        <v>6286</v>
      </c>
      <c r="E62" s="3">
        <v>61</v>
      </c>
      <c r="F62" s="3" t="s">
        <v>6235</v>
      </c>
      <c r="G62" s="3" t="s">
        <v>5</v>
      </c>
      <c r="H62" s="3" t="s">
        <v>6448</v>
      </c>
    </row>
    <row r="63" spans="1:10" x14ac:dyDescent="0.25">
      <c r="A63" s="3" t="s">
        <v>6983</v>
      </c>
      <c r="B63" s="3" t="s">
        <v>6991</v>
      </c>
      <c r="C63" s="3" t="s">
        <v>6985</v>
      </c>
      <c r="D63" s="3" t="s">
        <v>6286</v>
      </c>
      <c r="E63" s="3">
        <v>62</v>
      </c>
      <c r="F63" s="3" t="s">
        <v>6236</v>
      </c>
      <c r="G63" s="3" t="s">
        <v>5</v>
      </c>
      <c r="H63" s="3" t="s">
        <v>6449</v>
      </c>
    </row>
    <row r="64" spans="1:10" x14ac:dyDescent="0.25">
      <c r="A64" s="3" t="s">
        <v>6983</v>
      </c>
      <c r="B64" s="3" t="s">
        <v>6991</v>
      </c>
      <c r="C64" s="3" t="s">
        <v>6985</v>
      </c>
      <c r="D64" s="3" t="s">
        <v>6286</v>
      </c>
      <c r="E64" s="3">
        <v>63</v>
      </c>
      <c r="F64" s="3" t="s">
        <v>6237</v>
      </c>
      <c r="G64" s="3" t="s">
        <v>5</v>
      </c>
      <c r="H64" s="3" t="s">
        <v>6450</v>
      </c>
    </row>
    <row r="65" spans="1:8" x14ac:dyDescent="0.25">
      <c r="A65" s="3" t="s">
        <v>6983</v>
      </c>
      <c r="B65" s="3" t="s">
        <v>6991</v>
      </c>
      <c r="C65" s="3" t="s">
        <v>6985</v>
      </c>
      <c r="D65" s="3" t="s">
        <v>6287</v>
      </c>
      <c r="E65" s="3">
        <v>64</v>
      </c>
      <c r="F65" s="3" t="s">
        <v>4849</v>
      </c>
      <c r="G65" s="3" t="s">
        <v>9</v>
      </c>
      <c r="H65" s="3" t="s">
        <v>6453</v>
      </c>
    </row>
    <row r="66" spans="1:8" x14ac:dyDescent="0.25">
      <c r="A66" s="3" t="s">
        <v>6983</v>
      </c>
      <c r="B66" s="3" t="s">
        <v>6991</v>
      </c>
      <c r="C66" s="3" t="s">
        <v>6985</v>
      </c>
      <c r="D66" s="3" t="s">
        <v>6287</v>
      </c>
      <c r="E66" s="3">
        <v>65</v>
      </c>
      <c r="F66" s="3" t="s">
        <v>4850</v>
      </c>
      <c r="G66" s="3" t="s">
        <v>9</v>
      </c>
      <c r="H66" s="3" t="s">
        <v>6453</v>
      </c>
    </row>
    <row r="67" spans="1:8" x14ac:dyDescent="0.25">
      <c r="A67" s="3" t="s">
        <v>6983</v>
      </c>
      <c r="B67" s="3" t="s">
        <v>6991</v>
      </c>
      <c r="C67" s="3" t="s">
        <v>6985</v>
      </c>
      <c r="D67" s="3" t="s">
        <v>6287</v>
      </c>
      <c r="E67" s="3">
        <v>66</v>
      </c>
      <c r="F67" s="3" t="s">
        <v>4851</v>
      </c>
      <c r="G67" s="3" t="s">
        <v>13</v>
      </c>
      <c r="H67" s="3" t="s">
        <v>6453</v>
      </c>
    </row>
    <row r="68" spans="1:8" x14ac:dyDescent="0.25">
      <c r="A68" s="3" t="s">
        <v>6983</v>
      </c>
      <c r="B68" s="3" t="s">
        <v>6991</v>
      </c>
      <c r="C68" s="3" t="s">
        <v>6985</v>
      </c>
      <c r="D68" s="3" t="s">
        <v>6287</v>
      </c>
      <c r="E68" s="3">
        <v>67</v>
      </c>
      <c r="F68" s="3" t="s">
        <v>4852</v>
      </c>
      <c r="G68" s="3" t="s">
        <v>13</v>
      </c>
      <c r="H68" s="3" t="s">
        <v>6453</v>
      </c>
    </row>
    <row r="69" spans="1:8" x14ac:dyDescent="0.25">
      <c r="A69" s="3" t="s">
        <v>6983</v>
      </c>
      <c r="B69" s="3" t="s">
        <v>6991</v>
      </c>
      <c r="C69" s="3" t="s">
        <v>6985</v>
      </c>
      <c r="D69" s="3" t="s">
        <v>6287</v>
      </c>
      <c r="E69" s="3">
        <v>68</v>
      </c>
      <c r="F69" s="3" t="s">
        <v>4853</v>
      </c>
      <c r="G69" s="3" t="s">
        <v>13</v>
      </c>
      <c r="H69" s="3" t="s">
        <v>6453</v>
      </c>
    </row>
    <row r="70" spans="1:8" x14ac:dyDescent="0.25">
      <c r="A70" s="3" t="s">
        <v>6983</v>
      </c>
      <c r="B70" s="3" t="s">
        <v>6991</v>
      </c>
      <c r="C70" s="3" t="s">
        <v>6985</v>
      </c>
      <c r="D70" s="3" t="s">
        <v>6287</v>
      </c>
      <c r="E70" s="3">
        <v>69</v>
      </c>
      <c r="F70" s="3" t="s">
        <v>4854</v>
      </c>
      <c r="G70" s="3" t="s">
        <v>13</v>
      </c>
      <c r="H70" s="3" t="s">
        <v>6453</v>
      </c>
    </row>
    <row r="71" spans="1:8" x14ac:dyDescent="0.25">
      <c r="A71" s="3" t="s">
        <v>6983</v>
      </c>
      <c r="B71" s="3" t="s">
        <v>6991</v>
      </c>
      <c r="C71" s="3" t="s">
        <v>6985</v>
      </c>
      <c r="D71" s="3" t="s">
        <v>6287</v>
      </c>
      <c r="E71" s="3">
        <v>70</v>
      </c>
      <c r="F71" s="3" t="s">
        <v>4855</v>
      </c>
      <c r="G71" s="3" t="s">
        <v>1096</v>
      </c>
      <c r="H71" s="3" t="s">
        <v>6453</v>
      </c>
    </row>
    <row r="72" spans="1:8" x14ac:dyDescent="0.25">
      <c r="A72" s="3" t="s">
        <v>6983</v>
      </c>
      <c r="B72" s="3" t="s">
        <v>6991</v>
      </c>
      <c r="C72" s="3" t="s">
        <v>6985</v>
      </c>
      <c r="D72" s="3" t="s">
        <v>6287</v>
      </c>
      <c r="E72" s="3">
        <v>71</v>
      </c>
      <c r="F72" s="3" t="s">
        <v>4856</v>
      </c>
      <c r="G72" s="3" t="s">
        <v>1095</v>
      </c>
      <c r="H72" s="3" t="s">
        <v>6453</v>
      </c>
    </row>
    <row r="73" spans="1:8" x14ac:dyDescent="0.25">
      <c r="A73" s="3" t="s">
        <v>6983</v>
      </c>
      <c r="B73" s="3" t="s">
        <v>6991</v>
      </c>
      <c r="C73" s="3" t="s">
        <v>6985</v>
      </c>
      <c r="D73" s="3" t="s">
        <v>6287</v>
      </c>
      <c r="E73" s="3">
        <v>72</v>
      </c>
      <c r="F73" s="3" t="s">
        <v>4857</v>
      </c>
      <c r="G73" s="3" t="s">
        <v>1095</v>
      </c>
      <c r="H73" s="3" t="s">
        <v>6453</v>
      </c>
    </row>
    <row r="74" spans="1:8" x14ac:dyDescent="0.25">
      <c r="A74" s="3" t="s">
        <v>6983</v>
      </c>
      <c r="B74" s="3" t="s">
        <v>6991</v>
      </c>
      <c r="C74" s="3" t="s">
        <v>6985</v>
      </c>
      <c r="D74" s="3" t="s">
        <v>6287</v>
      </c>
      <c r="E74" s="3">
        <v>73</v>
      </c>
      <c r="F74" s="3" t="s">
        <v>4858</v>
      </c>
      <c r="G74" s="3" t="s">
        <v>1093</v>
      </c>
      <c r="H74" s="3" t="s">
        <v>6453</v>
      </c>
    </row>
    <row r="75" spans="1:8" x14ac:dyDescent="0.25">
      <c r="A75" s="3" t="s">
        <v>6983</v>
      </c>
      <c r="B75" s="3" t="s">
        <v>6991</v>
      </c>
      <c r="C75" s="3" t="s">
        <v>6985</v>
      </c>
      <c r="D75" s="3" t="s">
        <v>6287</v>
      </c>
      <c r="E75" s="3">
        <v>74</v>
      </c>
      <c r="F75" s="3" t="s">
        <v>4859</v>
      </c>
      <c r="G75" s="3" t="s">
        <v>17</v>
      </c>
      <c r="H75" s="3" t="s">
        <v>6453</v>
      </c>
    </row>
    <row r="76" spans="1:8" x14ac:dyDescent="0.25">
      <c r="A76" s="3" t="s">
        <v>6983</v>
      </c>
      <c r="B76" s="3" t="s">
        <v>6991</v>
      </c>
      <c r="C76" s="3" t="s">
        <v>6985</v>
      </c>
      <c r="D76" s="3" t="s">
        <v>6287</v>
      </c>
      <c r="E76" s="3">
        <v>75</v>
      </c>
      <c r="F76" s="3" t="s">
        <v>4860</v>
      </c>
      <c r="G76" s="3" t="s">
        <v>1093</v>
      </c>
      <c r="H76" s="3" t="s">
        <v>6453</v>
      </c>
    </row>
    <row r="77" spans="1:8" x14ac:dyDescent="0.25">
      <c r="A77" s="3" t="s">
        <v>6983</v>
      </c>
      <c r="B77" s="3" t="s">
        <v>6991</v>
      </c>
      <c r="C77" s="3" t="s">
        <v>6985</v>
      </c>
      <c r="D77" s="3" t="s">
        <v>6287</v>
      </c>
      <c r="E77" s="3">
        <v>76</v>
      </c>
      <c r="F77" s="3" t="s">
        <v>4861</v>
      </c>
      <c r="G77" s="3" t="s">
        <v>13</v>
      </c>
      <c r="H77" s="3" t="s">
        <v>6453</v>
      </c>
    </row>
    <row r="78" spans="1:8" x14ac:dyDescent="0.25">
      <c r="A78" s="3" t="s">
        <v>6983</v>
      </c>
      <c r="B78" s="3" t="s">
        <v>6991</v>
      </c>
      <c r="C78" s="3" t="s">
        <v>6985</v>
      </c>
      <c r="D78" s="3" t="s">
        <v>6287</v>
      </c>
      <c r="E78" s="3">
        <v>77</v>
      </c>
      <c r="F78" s="3" t="s">
        <v>4862</v>
      </c>
      <c r="G78" s="3" t="s">
        <v>13</v>
      </c>
      <c r="H78" s="3" t="s">
        <v>6453</v>
      </c>
    </row>
    <row r="79" spans="1:8" x14ac:dyDescent="0.25">
      <c r="A79" s="3" t="s">
        <v>6983</v>
      </c>
      <c r="B79" s="3" t="s">
        <v>6991</v>
      </c>
      <c r="C79" s="3" t="s">
        <v>6985</v>
      </c>
      <c r="D79" s="3" t="s">
        <v>6287</v>
      </c>
      <c r="E79" s="3">
        <v>78</v>
      </c>
      <c r="F79" s="3" t="s">
        <v>4863</v>
      </c>
      <c r="G79" s="3" t="s">
        <v>1093</v>
      </c>
      <c r="H79" s="3" t="s">
        <v>6453</v>
      </c>
    </row>
    <row r="80" spans="1:8" x14ac:dyDescent="0.25">
      <c r="A80" s="3" t="s">
        <v>6983</v>
      </c>
      <c r="B80" s="3" t="s">
        <v>6991</v>
      </c>
      <c r="C80" s="3" t="s">
        <v>6985</v>
      </c>
      <c r="D80" s="3" t="s">
        <v>6287</v>
      </c>
      <c r="E80" s="3">
        <v>79</v>
      </c>
      <c r="F80" s="3" t="s">
        <v>4864</v>
      </c>
      <c r="G80" s="3" t="s">
        <v>13</v>
      </c>
      <c r="H80" s="3" t="s">
        <v>6453</v>
      </c>
    </row>
    <row r="81" spans="1:8" x14ac:dyDescent="0.25">
      <c r="A81" s="3" t="s">
        <v>6983</v>
      </c>
      <c r="B81" s="3" t="s">
        <v>6991</v>
      </c>
      <c r="C81" s="3" t="s">
        <v>6985</v>
      </c>
      <c r="D81" s="3" t="s">
        <v>6287</v>
      </c>
      <c r="E81" s="3">
        <v>80</v>
      </c>
      <c r="F81" s="3" t="s">
        <v>4865</v>
      </c>
      <c r="G81" s="3" t="s">
        <v>13</v>
      </c>
      <c r="H81" s="3" t="s">
        <v>6453</v>
      </c>
    </row>
    <row r="82" spans="1:8" x14ac:dyDescent="0.25">
      <c r="A82" s="3" t="s">
        <v>6983</v>
      </c>
      <c r="B82" s="3" t="s">
        <v>6991</v>
      </c>
      <c r="C82" s="3" t="s">
        <v>6985</v>
      </c>
      <c r="D82" s="3" t="s">
        <v>6287</v>
      </c>
      <c r="E82" s="3">
        <v>81</v>
      </c>
      <c r="F82" s="3" t="s">
        <v>4866</v>
      </c>
      <c r="G82" s="3" t="s">
        <v>1093</v>
      </c>
      <c r="H82" s="3" t="s">
        <v>6453</v>
      </c>
    </row>
    <row r="83" spans="1:8" x14ac:dyDescent="0.25">
      <c r="A83" s="3" t="s">
        <v>6983</v>
      </c>
      <c r="B83" s="3" t="s">
        <v>6991</v>
      </c>
      <c r="C83" s="3" t="s">
        <v>6985</v>
      </c>
      <c r="D83" s="3" t="s">
        <v>6287</v>
      </c>
      <c r="E83" s="3">
        <v>82</v>
      </c>
      <c r="F83" s="3" t="s">
        <v>4867</v>
      </c>
      <c r="G83" s="3" t="s">
        <v>13</v>
      </c>
      <c r="H83" s="3" t="s">
        <v>6453</v>
      </c>
    </row>
    <row r="84" spans="1:8" x14ac:dyDescent="0.25">
      <c r="A84" s="3" t="s">
        <v>6983</v>
      </c>
      <c r="B84" s="3" t="s">
        <v>6991</v>
      </c>
      <c r="C84" s="3" t="s">
        <v>6985</v>
      </c>
      <c r="D84" s="3" t="s">
        <v>6287</v>
      </c>
      <c r="E84" s="3">
        <v>83</v>
      </c>
      <c r="F84" s="3" t="s">
        <v>4868</v>
      </c>
      <c r="G84" s="3" t="s">
        <v>13</v>
      </c>
      <c r="H84" s="3" t="s">
        <v>6453</v>
      </c>
    </row>
    <row r="85" spans="1:8" x14ac:dyDescent="0.25">
      <c r="A85" s="3" t="s">
        <v>6983</v>
      </c>
      <c r="B85" s="3" t="s">
        <v>6991</v>
      </c>
      <c r="C85" s="3" t="s">
        <v>6985</v>
      </c>
      <c r="D85" s="3" t="s">
        <v>6287</v>
      </c>
      <c r="E85" s="3">
        <v>84</v>
      </c>
      <c r="F85" s="3" t="s">
        <v>4869</v>
      </c>
      <c r="G85" s="3" t="s">
        <v>1093</v>
      </c>
      <c r="H85" s="3" t="s">
        <v>6453</v>
      </c>
    </row>
    <row r="86" spans="1:8" x14ac:dyDescent="0.25">
      <c r="A86" s="3" t="s">
        <v>6983</v>
      </c>
      <c r="B86" s="3" t="s">
        <v>6991</v>
      </c>
      <c r="C86" s="3" t="s">
        <v>6985</v>
      </c>
      <c r="D86" s="3" t="s">
        <v>6287</v>
      </c>
      <c r="E86" s="3">
        <v>85</v>
      </c>
      <c r="F86" s="3" t="s">
        <v>4870</v>
      </c>
      <c r="G86" s="3" t="s">
        <v>13</v>
      </c>
      <c r="H86" s="3" t="s">
        <v>6453</v>
      </c>
    </row>
    <row r="87" spans="1:8" x14ac:dyDescent="0.25">
      <c r="A87" s="3" t="s">
        <v>6983</v>
      </c>
      <c r="B87" s="3" t="s">
        <v>6991</v>
      </c>
      <c r="C87" s="3" t="s">
        <v>6985</v>
      </c>
      <c r="D87" s="3" t="s">
        <v>6287</v>
      </c>
      <c r="E87" s="3">
        <v>86</v>
      </c>
      <c r="F87" s="3" t="s">
        <v>4871</v>
      </c>
      <c r="G87" s="3" t="s">
        <v>13</v>
      </c>
      <c r="H87" s="3" t="s">
        <v>6453</v>
      </c>
    </row>
    <row r="88" spans="1:8" x14ac:dyDescent="0.25">
      <c r="A88" s="3" t="s">
        <v>6983</v>
      </c>
      <c r="B88" s="3" t="s">
        <v>6991</v>
      </c>
      <c r="C88" s="3" t="s">
        <v>6985</v>
      </c>
      <c r="D88" s="3" t="s">
        <v>6287</v>
      </c>
      <c r="E88" s="3">
        <v>87</v>
      </c>
      <c r="F88" s="3" t="s">
        <v>4872</v>
      </c>
      <c r="G88" s="3" t="s">
        <v>1093</v>
      </c>
      <c r="H88" s="3" t="s">
        <v>6453</v>
      </c>
    </row>
    <row r="89" spans="1:8" x14ac:dyDescent="0.25">
      <c r="A89" s="3" t="s">
        <v>6983</v>
      </c>
      <c r="B89" s="3" t="s">
        <v>6991</v>
      </c>
      <c r="C89" s="3" t="s">
        <v>6985</v>
      </c>
      <c r="D89" s="3" t="s">
        <v>6287</v>
      </c>
      <c r="E89" s="3">
        <v>88</v>
      </c>
      <c r="F89" s="3" t="s">
        <v>4873</v>
      </c>
      <c r="G89" s="3" t="s">
        <v>13</v>
      </c>
      <c r="H89" s="3" t="s">
        <v>6453</v>
      </c>
    </row>
    <row r="90" spans="1:8" x14ac:dyDescent="0.25">
      <c r="A90" s="3" t="s">
        <v>6983</v>
      </c>
      <c r="B90" s="3" t="s">
        <v>6991</v>
      </c>
      <c r="C90" s="3" t="s">
        <v>6985</v>
      </c>
      <c r="D90" s="3" t="s">
        <v>6287</v>
      </c>
      <c r="E90" s="3">
        <v>89</v>
      </c>
      <c r="F90" s="3" t="s">
        <v>4874</v>
      </c>
      <c r="G90" s="3" t="s">
        <v>13</v>
      </c>
      <c r="H90" s="3" t="s">
        <v>6453</v>
      </c>
    </row>
    <row r="91" spans="1:8" x14ac:dyDescent="0.25">
      <c r="A91" s="3" t="s">
        <v>6983</v>
      </c>
      <c r="B91" s="3" t="s">
        <v>6991</v>
      </c>
      <c r="C91" s="3" t="s">
        <v>6985</v>
      </c>
      <c r="D91" s="3" t="s">
        <v>6287</v>
      </c>
      <c r="E91" s="3">
        <v>90</v>
      </c>
      <c r="F91" s="3" t="s">
        <v>4875</v>
      </c>
      <c r="G91" s="3" t="s">
        <v>1093</v>
      </c>
      <c r="H91" s="3" t="s">
        <v>6453</v>
      </c>
    </row>
    <row r="92" spans="1:8" x14ac:dyDescent="0.25">
      <c r="A92" s="3" t="s">
        <v>6983</v>
      </c>
      <c r="B92" s="3" t="s">
        <v>6991</v>
      </c>
      <c r="C92" s="3" t="s">
        <v>6985</v>
      </c>
      <c r="D92" s="3" t="s">
        <v>6287</v>
      </c>
      <c r="E92" s="3">
        <v>91</v>
      </c>
      <c r="F92" s="3" t="s">
        <v>4876</v>
      </c>
      <c r="G92" s="3" t="s">
        <v>13</v>
      </c>
      <c r="H92" s="3" t="s">
        <v>6453</v>
      </c>
    </row>
    <row r="93" spans="1:8" x14ac:dyDescent="0.25">
      <c r="A93" s="3" t="s">
        <v>6983</v>
      </c>
      <c r="B93" s="3" t="s">
        <v>6991</v>
      </c>
      <c r="C93" s="3" t="s">
        <v>6985</v>
      </c>
      <c r="D93" s="3" t="s">
        <v>6287</v>
      </c>
      <c r="E93" s="3">
        <v>92</v>
      </c>
      <c r="F93" s="3" t="s">
        <v>4877</v>
      </c>
      <c r="G93" s="3" t="s">
        <v>13</v>
      </c>
      <c r="H93" s="3" t="s">
        <v>6453</v>
      </c>
    </row>
    <row r="94" spans="1:8" x14ac:dyDescent="0.25">
      <c r="A94" s="3" t="s">
        <v>6983</v>
      </c>
      <c r="B94" s="3" t="s">
        <v>6991</v>
      </c>
      <c r="C94" s="3" t="s">
        <v>6985</v>
      </c>
      <c r="D94" s="3" t="s">
        <v>6287</v>
      </c>
      <c r="E94" s="3">
        <v>93</v>
      </c>
      <c r="F94" s="3" t="s">
        <v>4878</v>
      </c>
      <c r="G94" s="3" t="s">
        <v>1093</v>
      </c>
      <c r="H94" s="3" t="s">
        <v>6453</v>
      </c>
    </row>
    <row r="95" spans="1:8" x14ac:dyDescent="0.25">
      <c r="A95" s="3" t="s">
        <v>6983</v>
      </c>
      <c r="B95" s="3" t="s">
        <v>6991</v>
      </c>
      <c r="C95" s="3" t="s">
        <v>6985</v>
      </c>
      <c r="D95" s="3" t="s">
        <v>6287</v>
      </c>
      <c r="E95" s="3">
        <v>94</v>
      </c>
      <c r="F95" s="3" t="s">
        <v>4879</v>
      </c>
      <c r="G95" s="3" t="s">
        <v>13</v>
      </c>
      <c r="H95" s="3" t="s">
        <v>6453</v>
      </c>
    </row>
    <row r="96" spans="1:8" x14ac:dyDescent="0.25">
      <c r="A96" s="3" t="s">
        <v>6983</v>
      </c>
      <c r="B96" s="3" t="s">
        <v>6991</v>
      </c>
      <c r="C96" s="3" t="s">
        <v>6985</v>
      </c>
      <c r="D96" s="3" t="s">
        <v>6287</v>
      </c>
      <c r="E96" s="3">
        <v>95</v>
      </c>
      <c r="F96" s="3" t="s">
        <v>4880</v>
      </c>
      <c r="G96" s="3" t="s">
        <v>13</v>
      </c>
      <c r="H96" s="3" t="s">
        <v>6453</v>
      </c>
    </row>
    <row r="97" spans="1:8" x14ac:dyDescent="0.25">
      <c r="A97" s="3" t="s">
        <v>6983</v>
      </c>
      <c r="B97" s="3" t="s">
        <v>6991</v>
      </c>
      <c r="C97" s="3" t="s">
        <v>6985</v>
      </c>
      <c r="D97" s="3" t="s">
        <v>6287</v>
      </c>
      <c r="E97" s="3">
        <v>96</v>
      </c>
      <c r="F97" s="3" t="s">
        <v>4881</v>
      </c>
      <c r="G97" s="3" t="s">
        <v>1093</v>
      </c>
      <c r="H97" s="3" t="s">
        <v>6453</v>
      </c>
    </row>
    <row r="98" spans="1:8" x14ac:dyDescent="0.25">
      <c r="A98" s="3" t="s">
        <v>6983</v>
      </c>
      <c r="B98" s="3" t="s">
        <v>6991</v>
      </c>
      <c r="C98" s="3" t="s">
        <v>6985</v>
      </c>
      <c r="D98" s="3" t="s">
        <v>6287</v>
      </c>
      <c r="E98" s="3">
        <v>97</v>
      </c>
      <c r="F98" s="3" t="s">
        <v>4882</v>
      </c>
      <c r="G98" s="3" t="s">
        <v>13</v>
      </c>
      <c r="H98" s="3" t="s">
        <v>6453</v>
      </c>
    </row>
    <row r="99" spans="1:8" x14ac:dyDescent="0.25">
      <c r="A99" s="3" t="s">
        <v>6983</v>
      </c>
      <c r="B99" s="3" t="s">
        <v>6991</v>
      </c>
      <c r="C99" s="3" t="s">
        <v>6985</v>
      </c>
      <c r="D99" s="3" t="s">
        <v>6287</v>
      </c>
      <c r="E99" s="3">
        <v>98</v>
      </c>
      <c r="F99" s="3" t="s">
        <v>4883</v>
      </c>
      <c r="G99" s="3" t="s">
        <v>13</v>
      </c>
      <c r="H99" s="3" t="s">
        <v>6453</v>
      </c>
    </row>
    <row r="100" spans="1:8" x14ac:dyDescent="0.25">
      <c r="A100" s="3" t="s">
        <v>6983</v>
      </c>
      <c r="B100" s="3" t="s">
        <v>6991</v>
      </c>
      <c r="C100" s="3" t="s">
        <v>6985</v>
      </c>
      <c r="D100" s="3" t="s">
        <v>6287</v>
      </c>
      <c r="E100" s="3">
        <v>99</v>
      </c>
      <c r="F100" s="3" t="s">
        <v>4884</v>
      </c>
      <c r="G100" s="3" t="s">
        <v>1093</v>
      </c>
      <c r="H100" s="3" t="s">
        <v>6453</v>
      </c>
    </row>
    <row r="101" spans="1:8" x14ac:dyDescent="0.25">
      <c r="A101" s="3" t="s">
        <v>6983</v>
      </c>
      <c r="B101" s="3" t="s">
        <v>6991</v>
      </c>
      <c r="C101" s="3" t="s">
        <v>6985</v>
      </c>
      <c r="D101" s="3" t="s">
        <v>6287</v>
      </c>
      <c r="E101" s="3">
        <v>100</v>
      </c>
      <c r="F101" s="3" t="s">
        <v>4885</v>
      </c>
      <c r="G101" s="3" t="s">
        <v>13</v>
      </c>
      <c r="H101" s="3" t="s">
        <v>6453</v>
      </c>
    </row>
    <row r="102" spans="1:8" x14ac:dyDescent="0.25">
      <c r="A102" s="3" t="s">
        <v>6983</v>
      </c>
      <c r="B102" s="3" t="s">
        <v>6991</v>
      </c>
      <c r="C102" s="3" t="s">
        <v>6985</v>
      </c>
      <c r="D102" s="3" t="s">
        <v>6287</v>
      </c>
      <c r="E102" s="3">
        <v>101</v>
      </c>
      <c r="F102" s="3" t="s">
        <v>4886</v>
      </c>
      <c r="G102" s="3" t="s">
        <v>13</v>
      </c>
      <c r="H102" s="3" t="s">
        <v>6453</v>
      </c>
    </row>
    <row r="103" spans="1:8" x14ac:dyDescent="0.25">
      <c r="A103" s="3" t="s">
        <v>6983</v>
      </c>
      <c r="B103" s="3" t="s">
        <v>6991</v>
      </c>
      <c r="C103" s="3" t="s">
        <v>6985</v>
      </c>
      <c r="D103" s="3" t="s">
        <v>6287</v>
      </c>
      <c r="E103" s="3">
        <v>102</v>
      </c>
      <c r="F103" s="3" t="s">
        <v>4887</v>
      </c>
      <c r="G103" s="3" t="s">
        <v>1093</v>
      </c>
      <c r="H103" s="3" t="s">
        <v>6453</v>
      </c>
    </row>
    <row r="104" spans="1:8" x14ac:dyDescent="0.25">
      <c r="A104" s="3" t="s">
        <v>6983</v>
      </c>
      <c r="B104" s="3" t="s">
        <v>6991</v>
      </c>
      <c r="C104" s="3" t="s">
        <v>6985</v>
      </c>
      <c r="D104" s="3" t="s">
        <v>6287</v>
      </c>
      <c r="E104" s="3">
        <v>103</v>
      </c>
      <c r="F104" s="3" t="s">
        <v>4888</v>
      </c>
      <c r="G104" s="3" t="s">
        <v>13</v>
      </c>
      <c r="H104" s="3" t="s">
        <v>6453</v>
      </c>
    </row>
    <row r="105" spans="1:8" x14ac:dyDescent="0.25">
      <c r="A105" s="3" t="s">
        <v>6983</v>
      </c>
      <c r="B105" s="3" t="s">
        <v>6991</v>
      </c>
      <c r="C105" s="3" t="s">
        <v>6985</v>
      </c>
      <c r="D105" s="3" t="s">
        <v>6287</v>
      </c>
      <c r="E105" s="3">
        <v>104</v>
      </c>
      <c r="F105" s="3" t="s">
        <v>4889</v>
      </c>
      <c r="G105" s="3" t="s">
        <v>13</v>
      </c>
      <c r="H105" s="3" t="s">
        <v>6453</v>
      </c>
    </row>
    <row r="106" spans="1:8" x14ac:dyDescent="0.25">
      <c r="A106" s="3" t="s">
        <v>6983</v>
      </c>
      <c r="B106" s="3" t="s">
        <v>6991</v>
      </c>
      <c r="C106" s="3" t="s">
        <v>6985</v>
      </c>
      <c r="D106" s="3" t="s">
        <v>6287</v>
      </c>
      <c r="E106" s="3">
        <v>105</v>
      </c>
      <c r="F106" s="3" t="s">
        <v>4890</v>
      </c>
      <c r="G106" s="3" t="s">
        <v>1093</v>
      </c>
      <c r="H106" s="3" t="s">
        <v>6453</v>
      </c>
    </row>
    <row r="107" spans="1:8" x14ac:dyDescent="0.25">
      <c r="A107" s="3" t="s">
        <v>6983</v>
      </c>
      <c r="B107" s="3" t="s">
        <v>6991</v>
      </c>
      <c r="C107" s="3" t="s">
        <v>6985</v>
      </c>
      <c r="D107" s="3" t="s">
        <v>6287</v>
      </c>
      <c r="E107" s="3">
        <v>106</v>
      </c>
      <c r="F107" s="3" t="s">
        <v>4891</v>
      </c>
      <c r="G107" s="3" t="s">
        <v>13</v>
      </c>
      <c r="H107" s="3" t="s">
        <v>6453</v>
      </c>
    </row>
    <row r="108" spans="1:8" x14ac:dyDescent="0.25">
      <c r="A108" s="3" t="s">
        <v>6983</v>
      </c>
      <c r="B108" s="3" t="s">
        <v>6991</v>
      </c>
      <c r="C108" s="3" t="s">
        <v>6985</v>
      </c>
      <c r="D108" s="3" t="s">
        <v>6287</v>
      </c>
      <c r="E108" s="3">
        <v>107</v>
      </c>
      <c r="F108" s="3" t="s">
        <v>4892</v>
      </c>
      <c r="G108" s="3" t="s">
        <v>13</v>
      </c>
      <c r="H108" s="3" t="s">
        <v>6453</v>
      </c>
    </row>
    <row r="109" spans="1:8" x14ac:dyDescent="0.25">
      <c r="A109" s="3" t="s">
        <v>6983</v>
      </c>
      <c r="B109" s="3" t="s">
        <v>6991</v>
      </c>
      <c r="C109" s="3" t="s">
        <v>6985</v>
      </c>
      <c r="D109" s="3" t="s">
        <v>6287</v>
      </c>
      <c r="E109" s="3">
        <v>108</v>
      </c>
      <c r="F109" s="3" t="s">
        <v>4893</v>
      </c>
      <c r="G109" s="3" t="s">
        <v>1093</v>
      </c>
      <c r="H109" s="3" t="s">
        <v>6453</v>
      </c>
    </row>
    <row r="110" spans="1:8" x14ac:dyDescent="0.25">
      <c r="A110" s="3" t="s">
        <v>6983</v>
      </c>
      <c r="B110" s="3" t="s">
        <v>6991</v>
      </c>
      <c r="C110" s="3" t="s">
        <v>6985</v>
      </c>
      <c r="D110" s="3" t="s">
        <v>6287</v>
      </c>
      <c r="E110" s="3">
        <v>109</v>
      </c>
      <c r="F110" s="3" t="s">
        <v>4894</v>
      </c>
      <c r="G110" s="3" t="s">
        <v>13</v>
      </c>
      <c r="H110" s="3" t="s">
        <v>6453</v>
      </c>
    </row>
    <row r="111" spans="1:8" x14ac:dyDescent="0.25">
      <c r="A111" s="3" t="s">
        <v>6983</v>
      </c>
      <c r="B111" s="3" t="s">
        <v>6991</v>
      </c>
      <c r="C111" s="3" t="s">
        <v>6985</v>
      </c>
      <c r="D111" s="3" t="s">
        <v>6287</v>
      </c>
      <c r="E111" s="3">
        <v>110</v>
      </c>
      <c r="F111" s="3" t="s">
        <v>4895</v>
      </c>
      <c r="G111" s="3" t="s">
        <v>13</v>
      </c>
      <c r="H111" s="3" t="s">
        <v>6453</v>
      </c>
    </row>
    <row r="112" spans="1:8" x14ac:dyDescent="0.25">
      <c r="A112" s="3" t="s">
        <v>6983</v>
      </c>
      <c r="B112" s="3" t="s">
        <v>6991</v>
      </c>
      <c r="C112" s="3" t="s">
        <v>6985</v>
      </c>
      <c r="D112" s="3" t="s">
        <v>6287</v>
      </c>
      <c r="E112" s="3">
        <v>111</v>
      </c>
      <c r="F112" s="3" t="s">
        <v>4896</v>
      </c>
      <c r="G112" s="3" t="s">
        <v>1093</v>
      </c>
      <c r="H112" s="3" t="s">
        <v>6453</v>
      </c>
    </row>
    <row r="113" spans="1:8" x14ac:dyDescent="0.25">
      <c r="A113" s="3" t="s">
        <v>6983</v>
      </c>
      <c r="B113" s="3" t="s">
        <v>6991</v>
      </c>
      <c r="C113" s="3" t="s">
        <v>6985</v>
      </c>
      <c r="D113" s="3" t="s">
        <v>6287</v>
      </c>
      <c r="E113" s="3">
        <v>112</v>
      </c>
      <c r="F113" s="3" t="s">
        <v>4897</v>
      </c>
      <c r="G113" s="3" t="s">
        <v>13</v>
      </c>
      <c r="H113" s="3" t="s">
        <v>6453</v>
      </c>
    </row>
    <row r="114" spans="1:8" x14ac:dyDescent="0.25">
      <c r="A114" s="3" t="s">
        <v>6983</v>
      </c>
      <c r="B114" s="3" t="s">
        <v>6991</v>
      </c>
      <c r="C114" s="3" t="s">
        <v>6985</v>
      </c>
      <c r="D114" s="3" t="s">
        <v>6287</v>
      </c>
      <c r="E114" s="3">
        <v>113</v>
      </c>
      <c r="F114" s="3" t="s">
        <v>4898</v>
      </c>
      <c r="G114" s="3" t="s">
        <v>13</v>
      </c>
      <c r="H114" s="3" t="s">
        <v>6453</v>
      </c>
    </row>
    <row r="115" spans="1:8" x14ac:dyDescent="0.25">
      <c r="A115" s="3" t="s">
        <v>6983</v>
      </c>
      <c r="B115" s="3" t="s">
        <v>6991</v>
      </c>
      <c r="C115" s="3" t="s">
        <v>6985</v>
      </c>
      <c r="D115" s="3" t="s">
        <v>6287</v>
      </c>
      <c r="E115" s="3">
        <v>114</v>
      </c>
      <c r="F115" s="3" t="s">
        <v>4899</v>
      </c>
      <c r="G115" s="3" t="s">
        <v>1093</v>
      </c>
      <c r="H115" s="3" t="s">
        <v>6453</v>
      </c>
    </row>
    <row r="116" spans="1:8" x14ac:dyDescent="0.25">
      <c r="A116" s="3" t="s">
        <v>6983</v>
      </c>
      <c r="B116" s="3" t="s">
        <v>6991</v>
      </c>
      <c r="C116" s="3" t="s">
        <v>6985</v>
      </c>
      <c r="D116" s="3" t="s">
        <v>6287</v>
      </c>
      <c r="E116" s="3">
        <v>115</v>
      </c>
      <c r="F116" s="3" t="s">
        <v>4900</v>
      </c>
      <c r="G116" s="3" t="s">
        <v>13</v>
      </c>
      <c r="H116" s="3" t="s">
        <v>6453</v>
      </c>
    </row>
    <row r="117" spans="1:8" x14ac:dyDescent="0.25">
      <c r="A117" s="3" t="s">
        <v>6983</v>
      </c>
      <c r="B117" s="3" t="s">
        <v>6991</v>
      </c>
      <c r="C117" s="3" t="s">
        <v>6985</v>
      </c>
      <c r="D117" s="3" t="s">
        <v>6287</v>
      </c>
      <c r="E117" s="3">
        <v>116</v>
      </c>
      <c r="F117" s="3" t="s">
        <v>4901</v>
      </c>
      <c r="G117" s="3" t="s">
        <v>13</v>
      </c>
      <c r="H117" s="3" t="s">
        <v>6453</v>
      </c>
    </row>
    <row r="118" spans="1:8" x14ac:dyDescent="0.25">
      <c r="A118" s="3" t="s">
        <v>6983</v>
      </c>
      <c r="B118" s="3" t="s">
        <v>6991</v>
      </c>
      <c r="C118" s="3" t="s">
        <v>6985</v>
      </c>
      <c r="D118" s="3" t="s">
        <v>6287</v>
      </c>
      <c r="E118" s="3">
        <v>117</v>
      </c>
      <c r="F118" s="3" t="s">
        <v>4902</v>
      </c>
      <c r="G118" s="3" t="s">
        <v>1093</v>
      </c>
      <c r="H118" s="3" t="s">
        <v>6453</v>
      </c>
    </row>
    <row r="119" spans="1:8" x14ac:dyDescent="0.25">
      <c r="A119" s="3" t="s">
        <v>6983</v>
      </c>
      <c r="B119" s="3" t="s">
        <v>6991</v>
      </c>
      <c r="C119" s="3" t="s">
        <v>6985</v>
      </c>
      <c r="D119" s="3" t="s">
        <v>6287</v>
      </c>
      <c r="E119" s="3">
        <v>118</v>
      </c>
      <c r="F119" s="3" t="s">
        <v>4903</v>
      </c>
      <c r="G119" s="3" t="s">
        <v>13</v>
      </c>
      <c r="H119" s="3" t="s">
        <v>6453</v>
      </c>
    </row>
    <row r="120" spans="1:8" x14ac:dyDescent="0.25">
      <c r="A120" s="3" t="s">
        <v>6983</v>
      </c>
      <c r="B120" s="3" t="s">
        <v>6991</v>
      </c>
      <c r="C120" s="3" t="s">
        <v>6985</v>
      </c>
      <c r="D120" s="3" t="s">
        <v>6287</v>
      </c>
      <c r="E120" s="3">
        <v>119</v>
      </c>
      <c r="F120" s="3" t="s">
        <v>4904</v>
      </c>
      <c r="G120" s="3" t="s">
        <v>13</v>
      </c>
      <c r="H120" s="3" t="s">
        <v>6453</v>
      </c>
    </row>
    <row r="121" spans="1:8" x14ac:dyDescent="0.25">
      <c r="A121" s="3" t="s">
        <v>6983</v>
      </c>
      <c r="B121" s="3" t="s">
        <v>6991</v>
      </c>
      <c r="C121" s="3" t="s">
        <v>6985</v>
      </c>
      <c r="D121" s="3" t="s">
        <v>6287</v>
      </c>
      <c r="E121" s="3">
        <v>120</v>
      </c>
      <c r="F121" s="3" t="s">
        <v>4905</v>
      </c>
      <c r="G121" s="3" t="s">
        <v>1093</v>
      </c>
      <c r="H121" s="3" t="s">
        <v>6453</v>
      </c>
    </row>
    <row r="122" spans="1:8" x14ac:dyDescent="0.25">
      <c r="A122" s="3" t="s">
        <v>6983</v>
      </c>
      <c r="B122" s="3" t="s">
        <v>6991</v>
      </c>
      <c r="C122" s="3" t="s">
        <v>6985</v>
      </c>
      <c r="D122" s="3" t="s">
        <v>6287</v>
      </c>
      <c r="E122" s="3">
        <v>121</v>
      </c>
      <c r="F122" s="3" t="s">
        <v>4906</v>
      </c>
      <c r="G122" s="3" t="s">
        <v>13</v>
      </c>
      <c r="H122" s="3" t="s">
        <v>6453</v>
      </c>
    </row>
    <row r="123" spans="1:8" x14ac:dyDescent="0.25">
      <c r="A123" s="3" t="s">
        <v>6983</v>
      </c>
      <c r="B123" s="3" t="s">
        <v>6991</v>
      </c>
      <c r="C123" s="3" t="s">
        <v>6985</v>
      </c>
      <c r="D123" s="3" t="s">
        <v>6287</v>
      </c>
      <c r="E123" s="3">
        <v>122</v>
      </c>
      <c r="F123" s="3" t="s">
        <v>4907</v>
      </c>
      <c r="G123" s="3" t="s">
        <v>13</v>
      </c>
      <c r="H123" s="3" t="s">
        <v>6453</v>
      </c>
    </row>
    <row r="124" spans="1:8" x14ac:dyDescent="0.25">
      <c r="A124" s="3" t="s">
        <v>6983</v>
      </c>
      <c r="B124" s="3" t="s">
        <v>6991</v>
      </c>
      <c r="C124" s="3" t="s">
        <v>6985</v>
      </c>
      <c r="D124" s="3" t="s">
        <v>6287</v>
      </c>
      <c r="E124" s="3">
        <v>123</v>
      </c>
      <c r="F124" s="3" t="s">
        <v>4908</v>
      </c>
      <c r="G124" s="3" t="s">
        <v>1093</v>
      </c>
      <c r="H124" s="3" t="s">
        <v>6453</v>
      </c>
    </row>
    <row r="125" spans="1:8" x14ac:dyDescent="0.25">
      <c r="A125" s="3" t="s">
        <v>6983</v>
      </c>
      <c r="B125" s="3" t="s">
        <v>6991</v>
      </c>
      <c r="C125" s="3" t="s">
        <v>6985</v>
      </c>
      <c r="D125" s="3" t="s">
        <v>6287</v>
      </c>
      <c r="E125" s="3">
        <v>124</v>
      </c>
      <c r="F125" s="3" t="s">
        <v>4909</v>
      </c>
      <c r="G125" s="3" t="s">
        <v>13</v>
      </c>
      <c r="H125" s="3" t="s">
        <v>6453</v>
      </c>
    </row>
    <row r="126" spans="1:8" x14ac:dyDescent="0.25">
      <c r="A126" s="3" t="s">
        <v>6983</v>
      </c>
      <c r="B126" s="3" t="s">
        <v>6991</v>
      </c>
      <c r="C126" s="3" t="s">
        <v>6985</v>
      </c>
      <c r="D126" s="3" t="s">
        <v>6287</v>
      </c>
      <c r="E126" s="3">
        <v>125</v>
      </c>
      <c r="F126" s="3" t="s">
        <v>4910</v>
      </c>
      <c r="G126" s="3" t="s">
        <v>13</v>
      </c>
      <c r="H126" s="3" t="s">
        <v>6453</v>
      </c>
    </row>
    <row r="127" spans="1:8" x14ac:dyDescent="0.25">
      <c r="A127" s="3" t="s">
        <v>6983</v>
      </c>
      <c r="B127" s="3" t="s">
        <v>6991</v>
      </c>
      <c r="C127" s="3" t="s">
        <v>6985</v>
      </c>
      <c r="D127" s="3" t="s">
        <v>6287</v>
      </c>
      <c r="E127" s="3">
        <v>126</v>
      </c>
      <c r="F127" s="3" t="s">
        <v>4911</v>
      </c>
      <c r="G127" s="3" t="s">
        <v>1093</v>
      </c>
      <c r="H127" s="3" t="s">
        <v>6453</v>
      </c>
    </row>
    <row r="128" spans="1:8" x14ac:dyDescent="0.25">
      <c r="A128" s="3" t="s">
        <v>6983</v>
      </c>
      <c r="B128" s="3" t="s">
        <v>6991</v>
      </c>
      <c r="C128" s="3" t="s">
        <v>6985</v>
      </c>
      <c r="D128" s="3" t="s">
        <v>6287</v>
      </c>
      <c r="E128" s="3">
        <v>127</v>
      </c>
      <c r="F128" s="3" t="s">
        <v>4912</v>
      </c>
      <c r="G128" s="3" t="s">
        <v>13</v>
      </c>
      <c r="H128" s="3" t="s">
        <v>6453</v>
      </c>
    </row>
    <row r="129" spans="1:8" x14ac:dyDescent="0.25">
      <c r="A129" s="3" t="s">
        <v>6983</v>
      </c>
      <c r="B129" s="3" t="s">
        <v>6991</v>
      </c>
      <c r="C129" s="3" t="s">
        <v>6985</v>
      </c>
      <c r="D129" s="3" t="s">
        <v>6287</v>
      </c>
      <c r="E129" s="3">
        <v>128</v>
      </c>
      <c r="F129" s="3" t="s">
        <v>4913</v>
      </c>
      <c r="G129" s="3" t="s">
        <v>13</v>
      </c>
      <c r="H129" s="3" t="s">
        <v>6453</v>
      </c>
    </row>
    <row r="130" spans="1:8" x14ac:dyDescent="0.25">
      <c r="A130" s="3" t="s">
        <v>6983</v>
      </c>
      <c r="B130" s="3" t="s">
        <v>6991</v>
      </c>
      <c r="C130" s="3" t="s">
        <v>6985</v>
      </c>
      <c r="D130" s="3" t="s">
        <v>6287</v>
      </c>
      <c r="E130" s="3">
        <v>129</v>
      </c>
      <c r="F130" s="3" t="s">
        <v>4914</v>
      </c>
      <c r="G130" s="3" t="s">
        <v>1093</v>
      </c>
      <c r="H130" s="3" t="s">
        <v>6453</v>
      </c>
    </row>
    <row r="131" spans="1:8" x14ac:dyDescent="0.25">
      <c r="A131" s="3" t="s">
        <v>6983</v>
      </c>
      <c r="B131" s="3" t="s">
        <v>6991</v>
      </c>
      <c r="C131" s="3" t="s">
        <v>6985</v>
      </c>
      <c r="D131" s="3" t="s">
        <v>6287</v>
      </c>
      <c r="E131" s="3">
        <v>130</v>
      </c>
      <c r="F131" s="3" t="s">
        <v>4915</v>
      </c>
      <c r="G131" s="3" t="s">
        <v>13</v>
      </c>
      <c r="H131" s="3" t="s">
        <v>6453</v>
      </c>
    </row>
    <row r="132" spans="1:8" x14ac:dyDescent="0.25">
      <c r="A132" s="3" t="s">
        <v>6983</v>
      </c>
      <c r="B132" s="3" t="s">
        <v>6991</v>
      </c>
      <c r="C132" s="3" t="s">
        <v>6985</v>
      </c>
      <c r="D132" s="3" t="s">
        <v>6287</v>
      </c>
      <c r="E132" s="3">
        <v>131</v>
      </c>
      <c r="F132" s="3" t="s">
        <v>4916</v>
      </c>
      <c r="G132" s="3" t="s">
        <v>13</v>
      </c>
      <c r="H132" s="3" t="s">
        <v>6453</v>
      </c>
    </row>
    <row r="133" spans="1:8" x14ac:dyDescent="0.25">
      <c r="A133" s="3" t="s">
        <v>6983</v>
      </c>
      <c r="B133" s="3" t="s">
        <v>6991</v>
      </c>
      <c r="C133" s="3" t="s">
        <v>6985</v>
      </c>
      <c r="D133" s="3" t="s">
        <v>6287</v>
      </c>
      <c r="E133" s="3">
        <v>132</v>
      </c>
      <c r="F133" s="3" t="s">
        <v>4917</v>
      </c>
      <c r="G133" s="3" t="s">
        <v>1093</v>
      </c>
      <c r="H133" s="3" t="s">
        <v>6453</v>
      </c>
    </row>
    <row r="134" spans="1:8" x14ac:dyDescent="0.25">
      <c r="A134" s="3" t="s">
        <v>6983</v>
      </c>
      <c r="B134" s="3" t="s">
        <v>6991</v>
      </c>
      <c r="C134" s="3" t="s">
        <v>6985</v>
      </c>
      <c r="D134" s="3" t="s">
        <v>6287</v>
      </c>
      <c r="E134" s="3">
        <v>133</v>
      </c>
      <c r="F134" s="3" t="s">
        <v>4918</v>
      </c>
      <c r="G134" s="3" t="s">
        <v>13</v>
      </c>
      <c r="H134" s="3" t="s">
        <v>6453</v>
      </c>
    </row>
    <row r="135" spans="1:8" x14ac:dyDescent="0.25">
      <c r="A135" s="3" t="s">
        <v>6983</v>
      </c>
      <c r="B135" s="3" t="s">
        <v>6991</v>
      </c>
      <c r="C135" s="3" t="s">
        <v>6985</v>
      </c>
      <c r="D135" s="3" t="s">
        <v>6287</v>
      </c>
      <c r="E135" s="3">
        <v>134</v>
      </c>
      <c r="F135" s="3" t="s">
        <v>4919</v>
      </c>
      <c r="G135" s="3" t="s">
        <v>13</v>
      </c>
      <c r="H135" s="3" t="s">
        <v>6453</v>
      </c>
    </row>
    <row r="136" spans="1:8" x14ac:dyDescent="0.25">
      <c r="A136" s="3" t="s">
        <v>6983</v>
      </c>
      <c r="B136" s="3" t="s">
        <v>6991</v>
      </c>
      <c r="C136" s="3" t="s">
        <v>6985</v>
      </c>
      <c r="D136" s="3" t="s">
        <v>6287</v>
      </c>
      <c r="E136" s="3">
        <v>135</v>
      </c>
      <c r="F136" s="3" t="s">
        <v>4920</v>
      </c>
      <c r="G136" s="3" t="s">
        <v>1093</v>
      </c>
      <c r="H136" s="3" t="s">
        <v>6453</v>
      </c>
    </row>
    <row r="137" spans="1:8" x14ac:dyDescent="0.25">
      <c r="A137" s="3" t="s">
        <v>6983</v>
      </c>
      <c r="B137" s="3" t="s">
        <v>6991</v>
      </c>
      <c r="C137" s="3" t="s">
        <v>6985</v>
      </c>
      <c r="D137" s="3" t="s">
        <v>6287</v>
      </c>
      <c r="E137" s="3">
        <v>136</v>
      </c>
      <c r="F137" s="3" t="s">
        <v>4921</v>
      </c>
      <c r="G137" s="3" t="s">
        <v>13</v>
      </c>
      <c r="H137" s="3" t="s">
        <v>6453</v>
      </c>
    </row>
    <row r="138" spans="1:8" x14ac:dyDescent="0.25">
      <c r="A138" s="3" t="s">
        <v>6983</v>
      </c>
      <c r="B138" s="3" t="s">
        <v>6991</v>
      </c>
      <c r="C138" s="3" t="s">
        <v>6985</v>
      </c>
      <c r="D138" s="3" t="s">
        <v>6287</v>
      </c>
      <c r="E138" s="3">
        <v>137</v>
      </c>
      <c r="F138" s="3" t="s">
        <v>4922</v>
      </c>
      <c r="G138" s="3" t="s">
        <v>13</v>
      </c>
      <c r="H138" s="3" t="s">
        <v>6453</v>
      </c>
    </row>
    <row r="139" spans="1:8" x14ac:dyDescent="0.25">
      <c r="A139" s="3" t="s">
        <v>6983</v>
      </c>
      <c r="B139" s="3" t="s">
        <v>6991</v>
      </c>
      <c r="C139" s="3" t="s">
        <v>6985</v>
      </c>
      <c r="D139" s="3" t="s">
        <v>6287</v>
      </c>
      <c r="E139" s="3">
        <v>138</v>
      </c>
      <c r="F139" s="3" t="s">
        <v>4923</v>
      </c>
      <c r="G139" s="3" t="s">
        <v>1093</v>
      </c>
      <c r="H139" s="3" t="s">
        <v>6453</v>
      </c>
    </row>
    <row r="140" spans="1:8" x14ac:dyDescent="0.25">
      <c r="A140" s="3" t="s">
        <v>6983</v>
      </c>
      <c r="B140" s="3" t="s">
        <v>6991</v>
      </c>
      <c r="C140" s="3" t="s">
        <v>6985</v>
      </c>
      <c r="D140" s="3" t="s">
        <v>6287</v>
      </c>
      <c r="E140" s="3">
        <v>139</v>
      </c>
      <c r="F140" s="3" t="s">
        <v>4924</v>
      </c>
      <c r="G140" s="3" t="s">
        <v>13</v>
      </c>
      <c r="H140" s="3" t="s">
        <v>6453</v>
      </c>
    </row>
    <row r="141" spans="1:8" x14ac:dyDescent="0.25">
      <c r="A141" s="3" t="s">
        <v>6983</v>
      </c>
      <c r="B141" s="3" t="s">
        <v>6991</v>
      </c>
      <c r="C141" s="3" t="s">
        <v>6985</v>
      </c>
      <c r="D141" s="3" t="s">
        <v>6287</v>
      </c>
      <c r="E141" s="3">
        <v>140</v>
      </c>
      <c r="F141" s="3" t="s">
        <v>4925</v>
      </c>
      <c r="G141" s="3" t="s">
        <v>13</v>
      </c>
      <c r="H141" s="3" t="s">
        <v>6453</v>
      </c>
    </row>
    <row r="142" spans="1:8" x14ac:dyDescent="0.25">
      <c r="A142" s="3" t="s">
        <v>6983</v>
      </c>
      <c r="B142" s="3" t="s">
        <v>6991</v>
      </c>
      <c r="C142" s="3" t="s">
        <v>6985</v>
      </c>
      <c r="D142" s="3" t="s">
        <v>6287</v>
      </c>
      <c r="E142" s="3">
        <v>141</v>
      </c>
      <c r="F142" s="3" t="s">
        <v>4926</v>
      </c>
      <c r="G142" s="3" t="s">
        <v>1093</v>
      </c>
      <c r="H142" s="3" t="s">
        <v>6453</v>
      </c>
    </row>
    <row r="143" spans="1:8" x14ac:dyDescent="0.25">
      <c r="A143" s="3" t="s">
        <v>6983</v>
      </c>
      <c r="B143" s="3" t="s">
        <v>6991</v>
      </c>
      <c r="C143" s="3" t="s">
        <v>6985</v>
      </c>
      <c r="D143" s="3" t="s">
        <v>6287</v>
      </c>
      <c r="E143" s="3">
        <v>142</v>
      </c>
      <c r="F143" s="3" t="s">
        <v>4927</v>
      </c>
      <c r="G143" s="3" t="s">
        <v>13</v>
      </c>
      <c r="H143" s="3" t="s">
        <v>6453</v>
      </c>
    </row>
    <row r="144" spans="1:8" x14ac:dyDescent="0.25">
      <c r="A144" s="3" t="s">
        <v>6983</v>
      </c>
      <c r="B144" s="3" t="s">
        <v>6991</v>
      </c>
      <c r="C144" s="3" t="s">
        <v>6985</v>
      </c>
      <c r="D144" s="3" t="s">
        <v>6287</v>
      </c>
      <c r="E144" s="3">
        <v>143</v>
      </c>
      <c r="F144" s="3" t="s">
        <v>4928</v>
      </c>
      <c r="G144" s="3" t="s">
        <v>13</v>
      </c>
      <c r="H144" s="3" t="s">
        <v>6453</v>
      </c>
    </row>
    <row r="145" spans="1:8" x14ac:dyDescent="0.25">
      <c r="A145" s="3" t="s">
        <v>6983</v>
      </c>
      <c r="B145" s="3" t="s">
        <v>6991</v>
      </c>
      <c r="C145" s="3" t="s">
        <v>6985</v>
      </c>
      <c r="D145" s="3" t="s">
        <v>6287</v>
      </c>
      <c r="E145" s="3">
        <v>144</v>
      </c>
      <c r="F145" s="3" t="s">
        <v>4929</v>
      </c>
      <c r="G145" s="3" t="s">
        <v>1093</v>
      </c>
      <c r="H145" s="3" t="s">
        <v>6453</v>
      </c>
    </row>
    <row r="146" spans="1:8" x14ac:dyDescent="0.25">
      <c r="A146" s="3" t="s">
        <v>6983</v>
      </c>
      <c r="B146" s="3" t="s">
        <v>6991</v>
      </c>
      <c r="C146" s="3" t="s">
        <v>6985</v>
      </c>
      <c r="D146" s="3" t="s">
        <v>6287</v>
      </c>
      <c r="E146" s="3">
        <v>145</v>
      </c>
      <c r="F146" s="3" t="s">
        <v>4930</v>
      </c>
      <c r="G146" s="3" t="s">
        <v>13</v>
      </c>
      <c r="H146" s="3" t="s">
        <v>6453</v>
      </c>
    </row>
    <row r="147" spans="1:8" x14ac:dyDescent="0.25">
      <c r="A147" s="3" t="s">
        <v>6983</v>
      </c>
      <c r="B147" s="3" t="s">
        <v>6991</v>
      </c>
      <c r="C147" s="3" t="s">
        <v>6985</v>
      </c>
      <c r="D147" s="3" t="s">
        <v>6287</v>
      </c>
      <c r="E147" s="3">
        <v>146</v>
      </c>
      <c r="F147" s="3" t="s">
        <v>4931</v>
      </c>
      <c r="G147" s="3" t="s">
        <v>13</v>
      </c>
      <c r="H147" s="3" t="s">
        <v>6453</v>
      </c>
    </row>
    <row r="148" spans="1:8" x14ac:dyDescent="0.25">
      <c r="A148" s="3" t="s">
        <v>6983</v>
      </c>
      <c r="B148" s="3" t="s">
        <v>6991</v>
      </c>
      <c r="C148" s="3" t="s">
        <v>6985</v>
      </c>
      <c r="D148" s="3" t="s">
        <v>6287</v>
      </c>
      <c r="E148" s="3">
        <v>147</v>
      </c>
      <c r="F148" s="3" t="s">
        <v>4932</v>
      </c>
      <c r="G148" s="3" t="s">
        <v>1093</v>
      </c>
      <c r="H148" s="3" t="s">
        <v>6453</v>
      </c>
    </row>
    <row r="149" spans="1:8" x14ac:dyDescent="0.25">
      <c r="A149" s="3" t="s">
        <v>6983</v>
      </c>
      <c r="B149" s="3" t="s">
        <v>6991</v>
      </c>
      <c r="C149" s="3" t="s">
        <v>6985</v>
      </c>
      <c r="D149" s="3" t="s">
        <v>6287</v>
      </c>
      <c r="E149" s="3">
        <v>148</v>
      </c>
      <c r="F149" s="3" t="s">
        <v>4933</v>
      </c>
      <c r="G149" s="3" t="s">
        <v>13</v>
      </c>
      <c r="H149" s="3" t="s">
        <v>6453</v>
      </c>
    </row>
    <row r="150" spans="1:8" x14ac:dyDescent="0.25">
      <c r="A150" s="3" t="s">
        <v>6983</v>
      </c>
      <c r="B150" s="3" t="s">
        <v>6991</v>
      </c>
      <c r="C150" s="3" t="s">
        <v>6985</v>
      </c>
      <c r="D150" s="3" t="s">
        <v>6287</v>
      </c>
      <c r="E150" s="3">
        <v>149</v>
      </c>
      <c r="F150" s="3" t="s">
        <v>4934</v>
      </c>
      <c r="G150" s="3" t="s">
        <v>13</v>
      </c>
      <c r="H150" s="3" t="s">
        <v>6453</v>
      </c>
    </row>
    <row r="151" spans="1:8" x14ac:dyDescent="0.25">
      <c r="A151" s="3" t="s">
        <v>6983</v>
      </c>
      <c r="B151" s="3" t="s">
        <v>6991</v>
      </c>
      <c r="C151" s="3" t="s">
        <v>6985</v>
      </c>
      <c r="D151" s="3" t="s">
        <v>6287</v>
      </c>
      <c r="E151" s="3">
        <v>150</v>
      </c>
      <c r="F151" s="3" t="s">
        <v>4935</v>
      </c>
      <c r="G151" s="3" t="s">
        <v>1093</v>
      </c>
      <c r="H151" s="3" t="s">
        <v>6453</v>
      </c>
    </row>
    <row r="152" spans="1:8" x14ac:dyDescent="0.25">
      <c r="A152" s="3" t="s">
        <v>6983</v>
      </c>
      <c r="B152" s="3" t="s">
        <v>6991</v>
      </c>
      <c r="C152" s="3" t="s">
        <v>6985</v>
      </c>
      <c r="D152" s="3" t="s">
        <v>6287</v>
      </c>
      <c r="E152" s="3">
        <v>151</v>
      </c>
      <c r="F152" s="3" t="s">
        <v>4936</v>
      </c>
      <c r="G152" s="3" t="s">
        <v>13</v>
      </c>
      <c r="H152" s="3" t="s">
        <v>6453</v>
      </c>
    </row>
    <row r="153" spans="1:8" x14ac:dyDescent="0.25">
      <c r="A153" s="3" t="s">
        <v>6983</v>
      </c>
      <c r="B153" s="3" t="s">
        <v>6991</v>
      </c>
      <c r="C153" s="3" t="s">
        <v>6985</v>
      </c>
      <c r="D153" s="3" t="s">
        <v>6287</v>
      </c>
      <c r="E153" s="3">
        <v>152</v>
      </c>
      <c r="F153" s="3" t="s">
        <v>4937</v>
      </c>
      <c r="G153" s="3" t="s">
        <v>13</v>
      </c>
      <c r="H153" s="3" t="s">
        <v>6453</v>
      </c>
    </row>
    <row r="154" spans="1:8" x14ac:dyDescent="0.25">
      <c r="A154" s="3" t="s">
        <v>6983</v>
      </c>
      <c r="B154" s="3" t="s">
        <v>6991</v>
      </c>
      <c r="C154" s="3" t="s">
        <v>6985</v>
      </c>
      <c r="D154" s="3" t="s">
        <v>6287</v>
      </c>
      <c r="E154" s="3">
        <v>153</v>
      </c>
      <c r="F154" s="3" t="s">
        <v>4938</v>
      </c>
      <c r="G154" s="3" t="s">
        <v>1093</v>
      </c>
      <c r="H154" s="3" t="s">
        <v>6453</v>
      </c>
    </row>
    <row r="155" spans="1:8" x14ac:dyDescent="0.25">
      <c r="A155" s="3" t="s">
        <v>6983</v>
      </c>
      <c r="B155" s="3" t="s">
        <v>6991</v>
      </c>
      <c r="C155" s="3" t="s">
        <v>6985</v>
      </c>
      <c r="D155" s="3" t="s">
        <v>6287</v>
      </c>
      <c r="E155" s="3">
        <v>154</v>
      </c>
      <c r="F155" s="3" t="s">
        <v>4939</v>
      </c>
      <c r="G155" s="3" t="s">
        <v>13</v>
      </c>
      <c r="H155" s="3" t="s">
        <v>6453</v>
      </c>
    </row>
    <row r="156" spans="1:8" x14ac:dyDescent="0.25">
      <c r="A156" s="3" t="s">
        <v>6983</v>
      </c>
      <c r="B156" s="3" t="s">
        <v>6991</v>
      </c>
      <c r="C156" s="3" t="s">
        <v>6985</v>
      </c>
      <c r="D156" s="3" t="s">
        <v>6287</v>
      </c>
      <c r="E156" s="3">
        <v>155</v>
      </c>
      <c r="F156" s="3" t="s">
        <v>4940</v>
      </c>
      <c r="G156" s="3" t="s">
        <v>13</v>
      </c>
      <c r="H156" s="3" t="s">
        <v>6453</v>
      </c>
    </row>
    <row r="157" spans="1:8" x14ac:dyDescent="0.25">
      <c r="A157" s="3" t="s">
        <v>6983</v>
      </c>
      <c r="B157" s="3" t="s">
        <v>6991</v>
      </c>
      <c r="C157" s="3" t="s">
        <v>6985</v>
      </c>
      <c r="D157" s="3" t="s">
        <v>6287</v>
      </c>
      <c r="E157" s="3">
        <v>156</v>
      </c>
      <c r="F157" s="3" t="s">
        <v>4941</v>
      </c>
      <c r="G157" s="3" t="s">
        <v>1093</v>
      </c>
      <c r="H157" s="3" t="s">
        <v>6453</v>
      </c>
    </row>
    <row r="158" spans="1:8" x14ac:dyDescent="0.25">
      <c r="A158" s="3" t="s">
        <v>6983</v>
      </c>
      <c r="B158" s="3" t="s">
        <v>6991</v>
      </c>
      <c r="C158" s="3" t="s">
        <v>6985</v>
      </c>
      <c r="D158" s="3" t="s">
        <v>6287</v>
      </c>
      <c r="E158" s="3">
        <v>157</v>
      </c>
      <c r="F158" s="3" t="s">
        <v>4942</v>
      </c>
      <c r="G158" s="3" t="s">
        <v>13</v>
      </c>
      <c r="H158" s="3" t="s">
        <v>6453</v>
      </c>
    </row>
    <row r="159" spans="1:8" x14ac:dyDescent="0.25">
      <c r="A159" s="3" t="s">
        <v>6983</v>
      </c>
      <c r="B159" s="3" t="s">
        <v>6991</v>
      </c>
      <c r="C159" s="3" t="s">
        <v>6985</v>
      </c>
      <c r="D159" s="3" t="s">
        <v>6287</v>
      </c>
      <c r="E159" s="3">
        <v>158</v>
      </c>
      <c r="F159" s="3" t="s">
        <v>4943</v>
      </c>
      <c r="G159" s="3" t="s">
        <v>13</v>
      </c>
      <c r="H159" s="3" t="s">
        <v>6453</v>
      </c>
    </row>
    <row r="160" spans="1:8" x14ac:dyDescent="0.25">
      <c r="A160" s="3" t="s">
        <v>6983</v>
      </c>
      <c r="B160" s="3" t="s">
        <v>6991</v>
      </c>
      <c r="C160" s="3" t="s">
        <v>6985</v>
      </c>
      <c r="D160" s="3" t="s">
        <v>6287</v>
      </c>
      <c r="E160" s="3">
        <v>159</v>
      </c>
      <c r="F160" s="3" t="s">
        <v>4944</v>
      </c>
      <c r="G160" s="3" t="s">
        <v>1093</v>
      </c>
      <c r="H160" s="3" t="s">
        <v>6453</v>
      </c>
    </row>
    <row r="161" spans="1:8" x14ac:dyDescent="0.25">
      <c r="A161" s="3" t="s">
        <v>6983</v>
      </c>
      <c r="B161" s="3" t="s">
        <v>6991</v>
      </c>
      <c r="C161" s="3" t="s">
        <v>6985</v>
      </c>
      <c r="D161" s="3" t="s">
        <v>6287</v>
      </c>
      <c r="E161" s="3">
        <v>160</v>
      </c>
      <c r="F161" s="3" t="s">
        <v>4945</v>
      </c>
      <c r="G161" s="3" t="s">
        <v>13</v>
      </c>
      <c r="H161" s="3" t="s">
        <v>6453</v>
      </c>
    </row>
    <row r="162" spans="1:8" x14ac:dyDescent="0.25">
      <c r="A162" s="3" t="s">
        <v>6983</v>
      </c>
      <c r="B162" s="3" t="s">
        <v>6991</v>
      </c>
      <c r="C162" s="3" t="s">
        <v>6985</v>
      </c>
      <c r="D162" s="3" t="s">
        <v>6287</v>
      </c>
      <c r="E162" s="3">
        <v>161</v>
      </c>
      <c r="F162" s="3" t="s">
        <v>4946</v>
      </c>
      <c r="G162" s="3" t="s">
        <v>13</v>
      </c>
      <c r="H162" s="3" t="s">
        <v>6453</v>
      </c>
    </row>
    <row r="163" spans="1:8" x14ac:dyDescent="0.25">
      <c r="A163" s="3" t="s">
        <v>6983</v>
      </c>
      <c r="B163" s="3" t="s">
        <v>6991</v>
      </c>
      <c r="C163" s="3" t="s">
        <v>6985</v>
      </c>
      <c r="D163" s="3" t="s">
        <v>6287</v>
      </c>
      <c r="E163" s="3">
        <v>162</v>
      </c>
      <c r="F163" s="3" t="s">
        <v>4947</v>
      </c>
      <c r="G163" s="3" t="s">
        <v>1093</v>
      </c>
      <c r="H163" s="3" t="s">
        <v>6453</v>
      </c>
    </row>
    <row r="164" spans="1:8" x14ac:dyDescent="0.25">
      <c r="A164" s="3" t="s">
        <v>6983</v>
      </c>
      <c r="B164" s="3" t="s">
        <v>6991</v>
      </c>
      <c r="C164" s="3" t="s">
        <v>6985</v>
      </c>
      <c r="D164" s="3" t="s">
        <v>6287</v>
      </c>
      <c r="E164" s="3">
        <v>163</v>
      </c>
      <c r="F164" s="3" t="s">
        <v>4948</v>
      </c>
      <c r="G164" s="3" t="s">
        <v>13</v>
      </c>
      <c r="H164" s="3" t="s">
        <v>6453</v>
      </c>
    </row>
    <row r="165" spans="1:8" x14ac:dyDescent="0.25">
      <c r="A165" s="3" t="s">
        <v>6983</v>
      </c>
      <c r="B165" s="3" t="s">
        <v>6991</v>
      </c>
      <c r="C165" s="3" t="s">
        <v>6985</v>
      </c>
      <c r="D165" s="3" t="s">
        <v>6287</v>
      </c>
      <c r="E165" s="3">
        <v>164</v>
      </c>
      <c r="F165" s="3" t="s">
        <v>4949</v>
      </c>
      <c r="G165" s="3" t="s">
        <v>13</v>
      </c>
      <c r="H165" s="3" t="s">
        <v>6453</v>
      </c>
    </row>
    <row r="166" spans="1:8" x14ac:dyDescent="0.25">
      <c r="A166" s="3" t="s">
        <v>6983</v>
      </c>
      <c r="B166" s="3" t="s">
        <v>6991</v>
      </c>
      <c r="C166" s="3" t="s">
        <v>6985</v>
      </c>
      <c r="D166" s="3" t="s">
        <v>6287</v>
      </c>
      <c r="E166" s="3">
        <v>165</v>
      </c>
      <c r="F166" s="3" t="s">
        <v>4950</v>
      </c>
      <c r="G166" s="3" t="s">
        <v>1093</v>
      </c>
      <c r="H166" s="3" t="s">
        <v>6453</v>
      </c>
    </row>
    <row r="167" spans="1:8" x14ac:dyDescent="0.25">
      <c r="A167" s="3" t="s">
        <v>6983</v>
      </c>
      <c r="B167" s="3" t="s">
        <v>6991</v>
      </c>
      <c r="C167" s="3" t="s">
        <v>6985</v>
      </c>
      <c r="D167" s="3" t="s">
        <v>6287</v>
      </c>
      <c r="E167" s="3">
        <v>166</v>
      </c>
      <c r="F167" s="3" t="s">
        <v>4951</v>
      </c>
      <c r="G167" s="3" t="s">
        <v>13</v>
      </c>
      <c r="H167" s="3" t="s">
        <v>6453</v>
      </c>
    </row>
    <row r="168" spans="1:8" x14ac:dyDescent="0.25">
      <c r="A168" s="3" t="s">
        <v>6983</v>
      </c>
      <c r="B168" s="3" t="s">
        <v>6991</v>
      </c>
      <c r="C168" s="3" t="s">
        <v>6985</v>
      </c>
      <c r="D168" s="3" t="s">
        <v>6287</v>
      </c>
      <c r="E168" s="3">
        <v>167</v>
      </c>
      <c r="F168" s="3" t="s">
        <v>4952</v>
      </c>
      <c r="G168" s="3" t="s">
        <v>13</v>
      </c>
      <c r="H168" s="3" t="s">
        <v>6453</v>
      </c>
    </row>
    <row r="169" spans="1:8" x14ac:dyDescent="0.25">
      <c r="A169" s="3" t="s">
        <v>6983</v>
      </c>
      <c r="B169" s="3" t="s">
        <v>6991</v>
      </c>
      <c r="C169" s="3" t="s">
        <v>6985</v>
      </c>
      <c r="D169" s="3" t="s">
        <v>6287</v>
      </c>
      <c r="E169" s="3">
        <v>168</v>
      </c>
      <c r="F169" s="3" t="s">
        <v>4953</v>
      </c>
      <c r="G169" s="3" t="s">
        <v>1093</v>
      </c>
      <c r="H169" s="3" t="s">
        <v>6453</v>
      </c>
    </row>
    <row r="170" spans="1:8" x14ac:dyDescent="0.25">
      <c r="A170" s="3" t="s">
        <v>6983</v>
      </c>
      <c r="B170" s="3" t="s">
        <v>6991</v>
      </c>
      <c r="C170" s="3" t="s">
        <v>6985</v>
      </c>
      <c r="D170" s="3" t="s">
        <v>6287</v>
      </c>
      <c r="E170" s="3">
        <v>169</v>
      </c>
      <c r="F170" s="3" t="s">
        <v>4954</v>
      </c>
      <c r="G170" s="3" t="s">
        <v>13</v>
      </c>
      <c r="H170" s="3" t="s">
        <v>6453</v>
      </c>
    </row>
    <row r="171" spans="1:8" x14ac:dyDescent="0.25">
      <c r="A171" s="3" t="s">
        <v>6983</v>
      </c>
      <c r="B171" s="3" t="s">
        <v>6991</v>
      </c>
      <c r="C171" s="3" t="s">
        <v>6985</v>
      </c>
      <c r="D171" s="3" t="s">
        <v>6287</v>
      </c>
      <c r="E171" s="3">
        <v>170</v>
      </c>
      <c r="F171" s="3" t="s">
        <v>4955</v>
      </c>
      <c r="G171" s="3" t="s">
        <v>13</v>
      </c>
      <c r="H171" s="3" t="s">
        <v>6453</v>
      </c>
    </row>
    <row r="172" spans="1:8" x14ac:dyDescent="0.25">
      <c r="A172" s="3" t="s">
        <v>6983</v>
      </c>
      <c r="B172" s="3" t="s">
        <v>6991</v>
      </c>
      <c r="C172" s="3" t="s">
        <v>6985</v>
      </c>
      <c r="D172" s="3" t="s">
        <v>6287</v>
      </c>
      <c r="E172" s="3">
        <v>171</v>
      </c>
      <c r="F172" s="3" t="s">
        <v>4956</v>
      </c>
      <c r="G172" s="3" t="s">
        <v>1093</v>
      </c>
      <c r="H172" s="3" t="s">
        <v>6453</v>
      </c>
    </row>
    <row r="173" spans="1:8" x14ac:dyDescent="0.25">
      <c r="A173" s="3" t="s">
        <v>6983</v>
      </c>
      <c r="B173" s="3" t="s">
        <v>6991</v>
      </c>
      <c r="C173" s="3" t="s">
        <v>6985</v>
      </c>
      <c r="D173" s="3" t="s">
        <v>6287</v>
      </c>
      <c r="E173" s="3">
        <v>172</v>
      </c>
      <c r="F173" s="3" t="s">
        <v>4957</v>
      </c>
      <c r="G173" s="3" t="s">
        <v>13</v>
      </c>
      <c r="H173" s="3" t="s">
        <v>6453</v>
      </c>
    </row>
    <row r="174" spans="1:8" x14ac:dyDescent="0.25">
      <c r="A174" s="3" t="s">
        <v>6983</v>
      </c>
      <c r="B174" s="3" t="s">
        <v>6991</v>
      </c>
      <c r="C174" s="3" t="s">
        <v>6985</v>
      </c>
      <c r="D174" s="3" t="s">
        <v>6287</v>
      </c>
      <c r="E174" s="3">
        <v>173</v>
      </c>
      <c r="F174" s="3" t="s">
        <v>4958</v>
      </c>
      <c r="G174" s="3" t="s">
        <v>13</v>
      </c>
      <c r="H174" s="3" t="s">
        <v>6453</v>
      </c>
    </row>
    <row r="175" spans="1:8" x14ac:dyDescent="0.25">
      <c r="A175" s="3" t="s">
        <v>6983</v>
      </c>
      <c r="B175" s="3" t="s">
        <v>6991</v>
      </c>
      <c r="C175" s="3" t="s">
        <v>6985</v>
      </c>
      <c r="D175" s="3" t="s">
        <v>6287</v>
      </c>
      <c r="E175" s="3">
        <v>174</v>
      </c>
      <c r="F175" s="3" t="s">
        <v>4959</v>
      </c>
      <c r="G175" s="3" t="s">
        <v>1093</v>
      </c>
      <c r="H175" s="3" t="s">
        <v>6453</v>
      </c>
    </row>
    <row r="176" spans="1:8" x14ac:dyDescent="0.25">
      <c r="A176" s="3" t="s">
        <v>6983</v>
      </c>
      <c r="B176" s="3" t="s">
        <v>6991</v>
      </c>
      <c r="C176" s="3" t="s">
        <v>6985</v>
      </c>
      <c r="D176" s="3" t="s">
        <v>6287</v>
      </c>
      <c r="E176" s="3">
        <v>175</v>
      </c>
      <c r="F176" s="3" t="s">
        <v>4960</v>
      </c>
      <c r="G176" s="3" t="s">
        <v>13</v>
      </c>
      <c r="H176" s="3" t="s">
        <v>6453</v>
      </c>
    </row>
    <row r="177" spans="1:8" x14ac:dyDescent="0.25">
      <c r="A177" s="3" t="s">
        <v>6983</v>
      </c>
      <c r="B177" s="3" t="s">
        <v>6991</v>
      </c>
      <c r="C177" s="3" t="s">
        <v>6985</v>
      </c>
      <c r="D177" s="3" t="s">
        <v>6287</v>
      </c>
      <c r="E177" s="3">
        <v>176</v>
      </c>
      <c r="F177" s="3" t="s">
        <v>4961</v>
      </c>
      <c r="G177" s="3" t="s">
        <v>13</v>
      </c>
      <c r="H177" s="3" t="s">
        <v>6453</v>
      </c>
    </row>
    <row r="178" spans="1:8" x14ac:dyDescent="0.25">
      <c r="A178" s="3" t="s">
        <v>6983</v>
      </c>
      <c r="B178" s="3" t="s">
        <v>6991</v>
      </c>
      <c r="C178" s="3" t="s">
        <v>6985</v>
      </c>
      <c r="D178" s="3" t="s">
        <v>6287</v>
      </c>
      <c r="E178" s="3">
        <v>177</v>
      </c>
      <c r="F178" s="3" t="s">
        <v>4962</v>
      </c>
      <c r="G178" s="3" t="s">
        <v>1093</v>
      </c>
      <c r="H178" s="3" t="s">
        <v>6453</v>
      </c>
    </row>
    <row r="179" spans="1:8" x14ac:dyDescent="0.25">
      <c r="A179" s="3" t="s">
        <v>6983</v>
      </c>
      <c r="B179" s="3" t="s">
        <v>6991</v>
      </c>
      <c r="C179" s="3" t="s">
        <v>6985</v>
      </c>
      <c r="D179" s="3" t="s">
        <v>6287</v>
      </c>
      <c r="E179" s="3">
        <v>178</v>
      </c>
      <c r="F179" s="3" t="s">
        <v>4963</v>
      </c>
      <c r="G179" s="3" t="s">
        <v>13</v>
      </c>
      <c r="H179" s="3" t="s">
        <v>6453</v>
      </c>
    </row>
    <row r="180" spans="1:8" x14ac:dyDescent="0.25">
      <c r="A180" s="3" t="s">
        <v>6983</v>
      </c>
      <c r="B180" s="3" t="s">
        <v>6991</v>
      </c>
      <c r="C180" s="3" t="s">
        <v>6985</v>
      </c>
      <c r="D180" s="3" t="s">
        <v>6287</v>
      </c>
      <c r="E180" s="3">
        <v>179</v>
      </c>
      <c r="F180" s="3" t="s">
        <v>4964</v>
      </c>
      <c r="G180" s="3" t="s">
        <v>13</v>
      </c>
      <c r="H180" s="3" t="s">
        <v>6453</v>
      </c>
    </row>
    <row r="181" spans="1:8" x14ac:dyDescent="0.25">
      <c r="A181" s="3" t="s">
        <v>6983</v>
      </c>
      <c r="B181" s="3" t="s">
        <v>6991</v>
      </c>
      <c r="C181" s="3" t="s">
        <v>6985</v>
      </c>
      <c r="D181" s="3" t="s">
        <v>6287</v>
      </c>
      <c r="E181" s="3">
        <v>180</v>
      </c>
      <c r="F181" s="3" t="s">
        <v>4965</v>
      </c>
      <c r="G181" s="3" t="s">
        <v>1093</v>
      </c>
      <c r="H181" s="3" t="s">
        <v>6453</v>
      </c>
    </row>
    <row r="182" spans="1:8" x14ac:dyDescent="0.25">
      <c r="A182" s="3" t="s">
        <v>6983</v>
      </c>
      <c r="B182" s="3" t="s">
        <v>6991</v>
      </c>
      <c r="C182" s="3" t="s">
        <v>6985</v>
      </c>
      <c r="D182" s="3" t="s">
        <v>6287</v>
      </c>
      <c r="E182" s="3">
        <v>181</v>
      </c>
      <c r="F182" s="3" t="s">
        <v>4966</v>
      </c>
      <c r="G182" s="3" t="s">
        <v>13</v>
      </c>
      <c r="H182" s="3" t="s">
        <v>6453</v>
      </c>
    </row>
    <row r="183" spans="1:8" x14ac:dyDescent="0.25">
      <c r="A183" s="3" t="s">
        <v>6983</v>
      </c>
      <c r="B183" s="3" t="s">
        <v>6991</v>
      </c>
      <c r="C183" s="3" t="s">
        <v>6985</v>
      </c>
      <c r="D183" s="3" t="s">
        <v>6287</v>
      </c>
      <c r="E183" s="3">
        <v>182</v>
      </c>
      <c r="F183" s="3" t="s">
        <v>4967</v>
      </c>
      <c r="G183" s="3" t="s">
        <v>13</v>
      </c>
      <c r="H183" s="3" t="s">
        <v>6453</v>
      </c>
    </row>
    <row r="184" spans="1:8" x14ac:dyDescent="0.25">
      <c r="A184" s="3" t="s">
        <v>6983</v>
      </c>
      <c r="B184" s="3" t="s">
        <v>6991</v>
      </c>
      <c r="C184" s="3" t="s">
        <v>6985</v>
      </c>
      <c r="D184" s="3" t="s">
        <v>6287</v>
      </c>
      <c r="E184" s="3">
        <v>183</v>
      </c>
      <c r="F184" s="3" t="s">
        <v>4968</v>
      </c>
      <c r="G184" s="3" t="s">
        <v>1093</v>
      </c>
      <c r="H184" s="3" t="s">
        <v>6453</v>
      </c>
    </row>
    <row r="185" spans="1:8" x14ac:dyDescent="0.25">
      <c r="A185" s="3" t="s">
        <v>6983</v>
      </c>
      <c r="B185" s="3" t="s">
        <v>6991</v>
      </c>
      <c r="C185" s="3" t="s">
        <v>6985</v>
      </c>
      <c r="D185" s="3" t="s">
        <v>6287</v>
      </c>
      <c r="E185" s="3">
        <v>184</v>
      </c>
      <c r="F185" s="3" t="s">
        <v>4969</v>
      </c>
      <c r="G185" s="3" t="s">
        <v>13</v>
      </c>
      <c r="H185" s="3" t="s">
        <v>6453</v>
      </c>
    </row>
    <row r="186" spans="1:8" x14ac:dyDescent="0.25">
      <c r="A186" s="3" t="s">
        <v>6983</v>
      </c>
      <c r="B186" s="3" t="s">
        <v>6991</v>
      </c>
      <c r="C186" s="3" t="s">
        <v>6985</v>
      </c>
      <c r="D186" s="3" t="s">
        <v>6287</v>
      </c>
      <c r="E186" s="3">
        <v>185</v>
      </c>
      <c r="F186" s="3" t="s">
        <v>4970</v>
      </c>
      <c r="G186" s="3" t="s">
        <v>13</v>
      </c>
      <c r="H186" s="3" t="s">
        <v>6453</v>
      </c>
    </row>
    <row r="187" spans="1:8" x14ac:dyDescent="0.25">
      <c r="A187" s="3" t="s">
        <v>6983</v>
      </c>
      <c r="B187" s="3" t="s">
        <v>6991</v>
      </c>
      <c r="C187" s="3" t="s">
        <v>6985</v>
      </c>
      <c r="D187" s="3" t="s">
        <v>6287</v>
      </c>
      <c r="E187" s="3">
        <v>186</v>
      </c>
      <c r="F187" s="3" t="s">
        <v>4971</v>
      </c>
      <c r="G187" s="3" t="s">
        <v>1093</v>
      </c>
      <c r="H187" s="3" t="s">
        <v>6453</v>
      </c>
    </row>
    <row r="188" spans="1:8" x14ac:dyDescent="0.25">
      <c r="A188" s="3" t="s">
        <v>6983</v>
      </c>
      <c r="B188" s="3" t="s">
        <v>6991</v>
      </c>
      <c r="C188" s="3" t="s">
        <v>6985</v>
      </c>
      <c r="D188" s="3" t="s">
        <v>6287</v>
      </c>
      <c r="E188" s="3">
        <v>187</v>
      </c>
      <c r="F188" s="3" t="s">
        <v>4972</v>
      </c>
      <c r="G188" s="3" t="s">
        <v>13</v>
      </c>
      <c r="H188" s="3" t="s">
        <v>6453</v>
      </c>
    </row>
    <row r="189" spans="1:8" x14ac:dyDescent="0.25">
      <c r="A189" s="3" t="s">
        <v>6983</v>
      </c>
      <c r="B189" s="3" t="s">
        <v>6991</v>
      </c>
      <c r="C189" s="3" t="s">
        <v>6985</v>
      </c>
      <c r="D189" s="3" t="s">
        <v>6287</v>
      </c>
      <c r="E189" s="3">
        <v>188</v>
      </c>
      <c r="F189" s="3" t="s">
        <v>4973</v>
      </c>
      <c r="G189" s="3" t="s">
        <v>13</v>
      </c>
      <c r="H189" s="3" t="s">
        <v>6453</v>
      </c>
    </row>
    <row r="190" spans="1:8" x14ac:dyDescent="0.25">
      <c r="A190" s="3" t="s">
        <v>6983</v>
      </c>
      <c r="B190" s="3" t="s">
        <v>6991</v>
      </c>
      <c r="C190" s="3" t="s">
        <v>6985</v>
      </c>
      <c r="D190" s="3" t="s">
        <v>6287</v>
      </c>
      <c r="E190" s="3">
        <v>189</v>
      </c>
      <c r="F190" s="3" t="s">
        <v>4974</v>
      </c>
      <c r="G190" s="3" t="s">
        <v>1093</v>
      </c>
      <c r="H190" s="3" t="s">
        <v>6453</v>
      </c>
    </row>
    <row r="191" spans="1:8" x14ac:dyDescent="0.25">
      <c r="A191" s="3" t="s">
        <v>6983</v>
      </c>
      <c r="B191" s="3" t="s">
        <v>6991</v>
      </c>
      <c r="C191" s="3" t="s">
        <v>6985</v>
      </c>
      <c r="D191" s="3" t="s">
        <v>6287</v>
      </c>
      <c r="E191" s="3">
        <v>190</v>
      </c>
      <c r="F191" s="3" t="s">
        <v>4975</v>
      </c>
      <c r="G191" s="3" t="s">
        <v>13</v>
      </c>
      <c r="H191" s="3" t="s">
        <v>6453</v>
      </c>
    </row>
    <row r="192" spans="1:8" x14ac:dyDescent="0.25">
      <c r="A192" s="3" t="s">
        <v>6983</v>
      </c>
      <c r="B192" s="3" t="s">
        <v>6991</v>
      </c>
      <c r="C192" s="3" t="s">
        <v>6985</v>
      </c>
      <c r="D192" s="3" t="s">
        <v>6287</v>
      </c>
      <c r="E192" s="3">
        <v>191</v>
      </c>
      <c r="F192" s="3" t="s">
        <v>4976</v>
      </c>
      <c r="G192" s="3" t="s">
        <v>13</v>
      </c>
      <c r="H192" s="3" t="s">
        <v>6453</v>
      </c>
    </row>
    <row r="193" spans="1:8" x14ac:dyDescent="0.25">
      <c r="A193" s="3" t="s">
        <v>6983</v>
      </c>
      <c r="B193" s="3" t="s">
        <v>6991</v>
      </c>
      <c r="C193" s="3" t="s">
        <v>6985</v>
      </c>
      <c r="D193" s="3" t="s">
        <v>6287</v>
      </c>
      <c r="E193" s="3">
        <v>192</v>
      </c>
      <c r="F193" s="3" t="s">
        <v>4977</v>
      </c>
      <c r="G193" s="3" t="s">
        <v>1093</v>
      </c>
      <c r="H193" s="3" t="s">
        <v>6453</v>
      </c>
    </row>
    <row r="194" spans="1:8" x14ac:dyDescent="0.25">
      <c r="A194" s="3" t="s">
        <v>6983</v>
      </c>
      <c r="B194" s="3" t="s">
        <v>6991</v>
      </c>
      <c r="C194" s="3" t="s">
        <v>6985</v>
      </c>
      <c r="D194" s="3" t="s">
        <v>6287</v>
      </c>
      <c r="E194" s="3">
        <v>193</v>
      </c>
      <c r="F194" s="3" t="s">
        <v>4978</v>
      </c>
      <c r="G194" s="3" t="s">
        <v>13</v>
      </c>
      <c r="H194" s="3" t="s">
        <v>6453</v>
      </c>
    </row>
    <row r="195" spans="1:8" x14ac:dyDescent="0.25">
      <c r="A195" s="3" t="s">
        <v>6983</v>
      </c>
      <c r="B195" s="3" t="s">
        <v>6991</v>
      </c>
      <c r="C195" s="3" t="s">
        <v>6985</v>
      </c>
      <c r="D195" s="3" t="s">
        <v>6287</v>
      </c>
      <c r="E195" s="3">
        <v>194</v>
      </c>
      <c r="F195" s="3" t="s">
        <v>4979</v>
      </c>
      <c r="G195" s="3" t="s">
        <v>13</v>
      </c>
      <c r="H195" s="3" t="s">
        <v>6453</v>
      </c>
    </row>
    <row r="196" spans="1:8" x14ac:dyDescent="0.25">
      <c r="A196" s="3" t="s">
        <v>6983</v>
      </c>
      <c r="B196" s="3" t="s">
        <v>6991</v>
      </c>
      <c r="C196" s="3" t="s">
        <v>6985</v>
      </c>
      <c r="D196" s="3" t="s">
        <v>6287</v>
      </c>
      <c r="E196" s="3">
        <v>195</v>
      </c>
      <c r="F196" s="3" t="s">
        <v>4980</v>
      </c>
      <c r="G196" s="3" t="s">
        <v>1093</v>
      </c>
      <c r="H196" s="3" t="s">
        <v>6453</v>
      </c>
    </row>
    <row r="197" spans="1:8" x14ac:dyDescent="0.25">
      <c r="A197" s="3" t="s">
        <v>6983</v>
      </c>
      <c r="B197" s="3" t="s">
        <v>6991</v>
      </c>
      <c r="C197" s="3" t="s">
        <v>6985</v>
      </c>
      <c r="D197" s="3" t="s">
        <v>6287</v>
      </c>
      <c r="E197" s="3">
        <v>196</v>
      </c>
      <c r="F197" s="3" t="s">
        <v>4981</v>
      </c>
      <c r="G197" s="3" t="s">
        <v>5980</v>
      </c>
      <c r="H197" s="3" t="s">
        <v>6453</v>
      </c>
    </row>
    <row r="198" spans="1:8" x14ac:dyDescent="0.25">
      <c r="A198" s="3" t="s">
        <v>6983</v>
      </c>
      <c r="B198" s="3" t="s">
        <v>6991</v>
      </c>
      <c r="C198" s="3" t="s">
        <v>6985</v>
      </c>
      <c r="D198" s="3" t="s">
        <v>6287</v>
      </c>
      <c r="E198" s="3">
        <v>197</v>
      </c>
      <c r="F198" s="3" t="s">
        <v>4982</v>
      </c>
      <c r="G198" s="3" t="s">
        <v>5980</v>
      </c>
      <c r="H198" s="3" t="s">
        <v>6453</v>
      </c>
    </row>
    <row r="199" spans="1:8" x14ac:dyDescent="0.25">
      <c r="A199" s="3" t="s">
        <v>6983</v>
      </c>
      <c r="B199" s="3" t="s">
        <v>6991</v>
      </c>
      <c r="C199" s="3" t="s">
        <v>6985</v>
      </c>
      <c r="D199" s="3" t="s">
        <v>6287</v>
      </c>
      <c r="E199" s="3">
        <v>198</v>
      </c>
      <c r="F199" s="3" t="s">
        <v>4983</v>
      </c>
      <c r="G199" s="3" t="s">
        <v>1093</v>
      </c>
      <c r="H199" s="3" t="s">
        <v>6453</v>
      </c>
    </row>
    <row r="200" spans="1:8" x14ac:dyDescent="0.25">
      <c r="A200" s="3" t="s">
        <v>6983</v>
      </c>
      <c r="B200" s="3" t="s">
        <v>6991</v>
      </c>
      <c r="C200" s="3" t="s">
        <v>6985</v>
      </c>
      <c r="D200" s="3" t="s">
        <v>6287</v>
      </c>
      <c r="E200" s="3">
        <v>199</v>
      </c>
      <c r="F200" s="3" t="s">
        <v>4984</v>
      </c>
      <c r="G200" s="3" t="s">
        <v>5980</v>
      </c>
      <c r="H200" s="3" t="s">
        <v>6453</v>
      </c>
    </row>
    <row r="201" spans="1:8" x14ac:dyDescent="0.25">
      <c r="A201" s="3" t="s">
        <v>6983</v>
      </c>
      <c r="B201" s="3" t="s">
        <v>6991</v>
      </c>
      <c r="C201" s="3" t="s">
        <v>6985</v>
      </c>
      <c r="D201" s="3" t="s">
        <v>6287</v>
      </c>
      <c r="E201" s="3">
        <v>200</v>
      </c>
      <c r="F201" s="3" t="s">
        <v>4985</v>
      </c>
      <c r="G201" s="3" t="s">
        <v>5980</v>
      </c>
      <c r="H201" s="3" t="s">
        <v>6453</v>
      </c>
    </row>
    <row r="202" spans="1:8" x14ac:dyDescent="0.25">
      <c r="A202" s="3" t="s">
        <v>6983</v>
      </c>
      <c r="B202" s="3" t="s">
        <v>6991</v>
      </c>
      <c r="C202" s="3" t="s">
        <v>6985</v>
      </c>
      <c r="D202" s="3" t="s">
        <v>6287</v>
      </c>
      <c r="E202" s="3">
        <v>201</v>
      </c>
      <c r="F202" s="3" t="s">
        <v>4986</v>
      </c>
      <c r="G202" s="3" t="s">
        <v>1093</v>
      </c>
      <c r="H202" s="3" t="s">
        <v>6453</v>
      </c>
    </row>
    <row r="203" spans="1:8" x14ac:dyDescent="0.25">
      <c r="A203" s="3" t="s">
        <v>6983</v>
      </c>
      <c r="B203" s="3" t="s">
        <v>6991</v>
      </c>
      <c r="C203" s="3" t="s">
        <v>6985</v>
      </c>
      <c r="D203" s="3" t="s">
        <v>6287</v>
      </c>
      <c r="E203" s="3">
        <v>202</v>
      </c>
      <c r="F203" s="3" t="s">
        <v>4987</v>
      </c>
      <c r="G203" s="3" t="s">
        <v>5980</v>
      </c>
      <c r="H203" s="3" t="s">
        <v>6453</v>
      </c>
    </row>
    <row r="204" spans="1:8" x14ac:dyDescent="0.25">
      <c r="A204" s="3" t="s">
        <v>6983</v>
      </c>
      <c r="B204" s="3" t="s">
        <v>6991</v>
      </c>
      <c r="C204" s="3" t="s">
        <v>6985</v>
      </c>
      <c r="D204" s="3" t="s">
        <v>6287</v>
      </c>
      <c r="E204" s="3">
        <v>203</v>
      </c>
      <c r="F204" s="3" t="s">
        <v>4988</v>
      </c>
      <c r="G204" s="3" t="s">
        <v>5980</v>
      </c>
      <c r="H204" s="3" t="s">
        <v>6453</v>
      </c>
    </row>
    <row r="205" spans="1:8" x14ac:dyDescent="0.25">
      <c r="A205" s="3" t="s">
        <v>6983</v>
      </c>
      <c r="B205" s="3" t="s">
        <v>6991</v>
      </c>
      <c r="C205" s="3" t="s">
        <v>6985</v>
      </c>
      <c r="D205" s="3" t="s">
        <v>6287</v>
      </c>
      <c r="E205" s="3">
        <v>204</v>
      </c>
      <c r="F205" s="3" t="s">
        <v>4989</v>
      </c>
      <c r="G205" s="3" t="s">
        <v>1093</v>
      </c>
      <c r="H205" s="3" t="s">
        <v>6453</v>
      </c>
    </row>
    <row r="206" spans="1:8" x14ac:dyDescent="0.25">
      <c r="A206" s="3" t="s">
        <v>6983</v>
      </c>
      <c r="B206" s="3" t="s">
        <v>6991</v>
      </c>
      <c r="C206" s="3" t="s">
        <v>6985</v>
      </c>
      <c r="D206" s="3" t="s">
        <v>6287</v>
      </c>
      <c r="E206" s="3">
        <v>205</v>
      </c>
      <c r="F206" s="3" t="s">
        <v>4990</v>
      </c>
      <c r="G206" s="3" t="s">
        <v>5980</v>
      </c>
      <c r="H206" s="3" t="s">
        <v>6453</v>
      </c>
    </row>
    <row r="207" spans="1:8" x14ac:dyDescent="0.25">
      <c r="A207" s="3" t="s">
        <v>6983</v>
      </c>
      <c r="B207" s="3" t="s">
        <v>6991</v>
      </c>
      <c r="C207" s="3" t="s">
        <v>6985</v>
      </c>
      <c r="D207" s="3" t="s">
        <v>6287</v>
      </c>
      <c r="E207" s="3">
        <v>206</v>
      </c>
      <c r="F207" s="3" t="s">
        <v>4991</v>
      </c>
      <c r="G207" s="3" t="s">
        <v>5980</v>
      </c>
      <c r="H207" s="3" t="s">
        <v>6453</v>
      </c>
    </row>
    <row r="208" spans="1:8" x14ac:dyDescent="0.25">
      <c r="A208" s="3" t="s">
        <v>6983</v>
      </c>
      <c r="B208" s="3" t="s">
        <v>6991</v>
      </c>
      <c r="C208" s="3" t="s">
        <v>6985</v>
      </c>
      <c r="D208" s="3" t="s">
        <v>6287</v>
      </c>
      <c r="E208" s="3">
        <v>207</v>
      </c>
      <c r="F208" s="3" t="s">
        <v>4992</v>
      </c>
      <c r="G208" s="3" t="s">
        <v>1093</v>
      </c>
      <c r="H208" s="3" t="s">
        <v>6453</v>
      </c>
    </row>
    <row r="209" spans="1:8" x14ac:dyDescent="0.25">
      <c r="A209" s="3" t="s">
        <v>6983</v>
      </c>
      <c r="B209" s="3" t="s">
        <v>6991</v>
      </c>
      <c r="C209" s="3" t="s">
        <v>6985</v>
      </c>
      <c r="D209" s="3" t="s">
        <v>6287</v>
      </c>
      <c r="E209" s="3">
        <v>208</v>
      </c>
      <c r="F209" s="3" t="s">
        <v>4993</v>
      </c>
      <c r="G209" s="3" t="s">
        <v>5980</v>
      </c>
      <c r="H209" s="3" t="s">
        <v>6453</v>
      </c>
    </row>
    <row r="210" spans="1:8" x14ac:dyDescent="0.25">
      <c r="A210" s="3" t="s">
        <v>6983</v>
      </c>
      <c r="B210" s="3" t="s">
        <v>6991</v>
      </c>
      <c r="C210" s="3" t="s">
        <v>6985</v>
      </c>
      <c r="D210" s="3" t="s">
        <v>6287</v>
      </c>
      <c r="E210" s="3">
        <v>209</v>
      </c>
      <c r="F210" s="3" t="s">
        <v>4994</v>
      </c>
      <c r="G210" s="3" t="s">
        <v>5980</v>
      </c>
      <c r="H210" s="3" t="s">
        <v>6453</v>
      </c>
    </row>
    <row r="211" spans="1:8" x14ac:dyDescent="0.25">
      <c r="A211" s="3" t="s">
        <v>6983</v>
      </c>
      <c r="B211" s="3" t="s">
        <v>6991</v>
      </c>
      <c r="C211" s="3" t="s">
        <v>6985</v>
      </c>
      <c r="D211" s="3" t="s">
        <v>6287</v>
      </c>
      <c r="E211" s="3">
        <v>210</v>
      </c>
      <c r="F211" s="3" t="s">
        <v>4995</v>
      </c>
      <c r="G211" s="3" t="s">
        <v>1093</v>
      </c>
      <c r="H211" s="3" t="s">
        <v>6453</v>
      </c>
    </row>
    <row r="212" spans="1:8" x14ac:dyDescent="0.25">
      <c r="A212" s="3" t="s">
        <v>6983</v>
      </c>
      <c r="B212" s="3" t="s">
        <v>6991</v>
      </c>
      <c r="C212" s="3" t="s">
        <v>6985</v>
      </c>
      <c r="D212" s="3" t="s">
        <v>6287</v>
      </c>
      <c r="E212" s="3">
        <v>211</v>
      </c>
      <c r="F212" s="3" t="s">
        <v>4996</v>
      </c>
      <c r="G212" s="3" t="s">
        <v>13</v>
      </c>
      <c r="H212" s="3" t="s">
        <v>6453</v>
      </c>
    </row>
    <row r="213" spans="1:8" x14ac:dyDescent="0.25">
      <c r="A213" s="3" t="s">
        <v>6983</v>
      </c>
      <c r="B213" s="3" t="s">
        <v>6991</v>
      </c>
      <c r="C213" s="3" t="s">
        <v>6985</v>
      </c>
      <c r="D213" s="3" t="s">
        <v>6287</v>
      </c>
      <c r="E213" s="3">
        <v>212</v>
      </c>
      <c r="F213" s="3" t="s">
        <v>4997</v>
      </c>
      <c r="G213" s="3" t="s">
        <v>13</v>
      </c>
      <c r="H213" s="3" t="s">
        <v>6453</v>
      </c>
    </row>
    <row r="214" spans="1:8" x14ac:dyDescent="0.25">
      <c r="A214" s="3" t="s">
        <v>6983</v>
      </c>
      <c r="B214" s="3" t="s">
        <v>6991</v>
      </c>
      <c r="C214" s="3" t="s">
        <v>6985</v>
      </c>
      <c r="D214" s="3" t="s">
        <v>6287</v>
      </c>
      <c r="E214" s="3">
        <v>213</v>
      </c>
      <c r="F214" s="3" t="s">
        <v>4998</v>
      </c>
      <c r="G214" s="3" t="s">
        <v>1093</v>
      </c>
      <c r="H214" s="3" t="s">
        <v>6453</v>
      </c>
    </row>
    <row r="215" spans="1:8" x14ac:dyDescent="0.25">
      <c r="A215" s="3" t="s">
        <v>6983</v>
      </c>
      <c r="B215" s="3" t="s">
        <v>6991</v>
      </c>
      <c r="C215" s="3" t="s">
        <v>6985</v>
      </c>
      <c r="D215" s="3" t="s">
        <v>6287</v>
      </c>
      <c r="E215" s="3">
        <v>214</v>
      </c>
      <c r="F215" s="3" t="s">
        <v>4999</v>
      </c>
      <c r="G215" s="3" t="s">
        <v>13</v>
      </c>
      <c r="H215" s="3" t="s">
        <v>6453</v>
      </c>
    </row>
    <row r="216" spans="1:8" x14ac:dyDescent="0.25">
      <c r="A216" s="3" t="s">
        <v>6983</v>
      </c>
      <c r="B216" s="3" t="s">
        <v>6991</v>
      </c>
      <c r="C216" s="3" t="s">
        <v>6985</v>
      </c>
      <c r="D216" s="3" t="s">
        <v>6287</v>
      </c>
      <c r="E216" s="3">
        <v>215</v>
      </c>
      <c r="F216" s="3" t="s">
        <v>5000</v>
      </c>
      <c r="G216" s="3" t="s">
        <v>13</v>
      </c>
      <c r="H216" s="3" t="s">
        <v>6453</v>
      </c>
    </row>
    <row r="217" spans="1:8" x14ac:dyDescent="0.25">
      <c r="A217" s="3" t="s">
        <v>6983</v>
      </c>
      <c r="B217" s="3" t="s">
        <v>6991</v>
      </c>
      <c r="C217" s="3" t="s">
        <v>6985</v>
      </c>
      <c r="D217" s="3" t="s">
        <v>6287</v>
      </c>
      <c r="E217" s="3">
        <v>216</v>
      </c>
      <c r="F217" s="3" t="s">
        <v>5001</v>
      </c>
      <c r="G217" s="3" t="s">
        <v>1093</v>
      </c>
      <c r="H217" s="3" t="s">
        <v>6453</v>
      </c>
    </row>
    <row r="218" spans="1:8" x14ac:dyDescent="0.25">
      <c r="A218" s="3" t="s">
        <v>6983</v>
      </c>
      <c r="B218" s="3" t="s">
        <v>6991</v>
      </c>
      <c r="C218" s="3" t="s">
        <v>6985</v>
      </c>
      <c r="D218" s="3" t="s">
        <v>6287</v>
      </c>
      <c r="E218" s="3">
        <v>217</v>
      </c>
      <c r="F218" s="3" t="s">
        <v>5002</v>
      </c>
      <c r="G218" s="3" t="s">
        <v>13</v>
      </c>
      <c r="H218" s="3" t="s">
        <v>6453</v>
      </c>
    </row>
    <row r="219" spans="1:8" x14ac:dyDescent="0.25">
      <c r="A219" s="3" t="s">
        <v>6983</v>
      </c>
      <c r="B219" s="3" t="s">
        <v>6991</v>
      </c>
      <c r="C219" s="3" t="s">
        <v>6985</v>
      </c>
      <c r="D219" s="3" t="s">
        <v>6287</v>
      </c>
      <c r="E219" s="3">
        <v>218</v>
      </c>
      <c r="F219" s="3" t="s">
        <v>5003</v>
      </c>
      <c r="G219" s="3" t="s">
        <v>13</v>
      </c>
      <c r="H219" s="3" t="s">
        <v>6453</v>
      </c>
    </row>
    <row r="220" spans="1:8" x14ac:dyDescent="0.25">
      <c r="A220" s="3" t="s">
        <v>6983</v>
      </c>
      <c r="B220" s="3" t="s">
        <v>6991</v>
      </c>
      <c r="C220" s="3" t="s">
        <v>6985</v>
      </c>
      <c r="D220" s="3" t="s">
        <v>6287</v>
      </c>
      <c r="E220" s="3">
        <v>219</v>
      </c>
      <c r="F220" s="3" t="s">
        <v>5004</v>
      </c>
      <c r="G220" s="3" t="s">
        <v>1093</v>
      </c>
      <c r="H220" s="3" t="s">
        <v>6453</v>
      </c>
    </row>
    <row r="221" spans="1:8" x14ac:dyDescent="0.25">
      <c r="A221" s="3" t="s">
        <v>6983</v>
      </c>
      <c r="B221" s="3" t="s">
        <v>6991</v>
      </c>
      <c r="C221" s="3" t="s">
        <v>6985</v>
      </c>
      <c r="D221" s="3" t="s">
        <v>6287</v>
      </c>
      <c r="E221" s="3">
        <v>220</v>
      </c>
      <c r="F221" s="3" t="s">
        <v>5005</v>
      </c>
      <c r="G221" s="3" t="s">
        <v>13</v>
      </c>
      <c r="H221" s="3" t="s">
        <v>6453</v>
      </c>
    </row>
    <row r="222" spans="1:8" x14ac:dyDescent="0.25">
      <c r="A222" s="3" t="s">
        <v>6983</v>
      </c>
      <c r="B222" s="3" t="s">
        <v>6991</v>
      </c>
      <c r="C222" s="3" t="s">
        <v>6985</v>
      </c>
      <c r="D222" s="3" t="s">
        <v>6287</v>
      </c>
      <c r="E222" s="3">
        <v>221</v>
      </c>
      <c r="F222" s="3" t="s">
        <v>5006</v>
      </c>
      <c r="G222" s="3" t="s">
        <v>13</v>
      </c>
      <c r="H222" s="3" t="s">
        <v>6453</v>
      </c>
    </row>
    <row r="223" spans="1:8" x14ac:dyDescent="0.25">
      <c r="A223" s="3" t="s">
        <v>6983</v>
      </c>
      <c r="B223" s="3" t="s">
        <v>6991</v>
      </c>
      <c r="C223" s="3" t="s">
        <v>6985</v>
      </c>
      <c r="D223" s="3" t="s">
        <v>6287</v>
      </c>
      <c r="E223" s="3">
        <v>222</v>
      </c>
      <c r="F223" s="3" t="s">
        <v>5007</v>
      </c>
      <c r="G223" s="3" t="s">
        <v>5981</v>
      </c>
      <c r="H223" s="3" t="s">
        <v>6453</v>
      </c>
    </row>
    <row r="224" spans="1:8" x14ac:dyDescent="0.25">
      <c r="A224" s="3" t="s">
        <v>6983</v>
      </c>
      <c r="B224" s="3" t="s">
        <v>6991</v>
      </c>
      <c r="C224" s="3" t="s">
        <v>6985</v>
      </c>
      <c r="D224" s="3" t="s">
        <v>6287</v>
      </c>
      <c r="E224" s="3">
        <v>223</v>
      </c>
      <c r="F224" s="3" t="s">
        <v>5008</v>
      </c>
      <c r="G224" s="3" t="s">
        <v>5982</v>
      </c>
      <c r="H224" s="3" t="s">
        <v>6453</v>
      </c>
    </row>
    <row r="225" spans="1:10" x14ac:dyDescent="0.25">
      <c r="A225" s="3" t="s">
        <v>6983</v>
      </c>
      <c r="B225" s="3" t="s">
        <v>6991</v>
      </c>
      <c r="C225" s="3" t="s">
        <v>6985</v>
      </c>
      <c r="D225" s="3" t="s">
        <v>6287</v>
      </c>
      <c r="E225" s="3">
        <v>224</v>
      </c>
      <c r="F225" s="3" t="s">
        <v>5009</v>
      </c>
      <c r="G225" s="3" t="s">
        <v>5983</v>
      </c>
      <c r="H225" s="3" t="s">
        <v>6453</v>
      </c>
    </row>
    <row r="226" spans="1:10" ht="15" customHeight="1" x14ac:dyDescent="0.25">
      <c r="A226" s="3" t="s">
        <v>6983</v>
      </c>
      <c r="B226" s="3" t="s">
        <v>6991</v>
      </c>
      <c r="C226" s="3" t="s">
        <v>6985</v>
      </c>
      <c r="D226" s="3" t="s">
        <v>6288</v>
      </c>
      <c r="E226" s="3">
        <v>225</v>
      </c>
      <c r="F226" s="3" t="s">
        <v>5010</v>
      </c>
      <c r="G226" s="3" t="s">
        <v>14</v>
      </c>
      <c r="H226" s="3" t="s">
        <v>6544</v>
      </c>
      <c r="I226" s="3" t="s">
        <v>1179</v>
      </c>
    </row>
    <row r="227" spans="1:10" x14ac:dyDescent="0.25">
      <c r="A227" s="3" t="s">
        <v>6983</v>
      </c>
      <c r="B227" s="3" t="s">
        <v>6991</v>
      </c>
      <c r="C227" s="3" t="s">
        <v>6985</v>
      </c>
      <c r="D227" s="3" t="s">
        <v>6288</v>
      </c>
      <c r="E227" s="3">
        <v>226</v>
      </c>
      <c r="F227" s="3" t="s">
        <v>5011</v>
      </c>
      <c r="G227" s="3" t="s">
        <v>15</v>
      </c>
      <c r="H227" s="3" t="s">
        <v>6545</v>
      </c>
      <c r="I227" s="3" t="s">
        <v>1179</v>
      </c>
    </row>
    <row r="228" spans="1:10" x14ac:dyDescent="0.25">
      <c r="A228" s="3" t="s">
        <v>6983</v>
      </c>
      <c r="B228" s="3" t="s">
        <v>6991</v>
      </c>
      <c r="C228" s="3" t="s">
        <v>6985</v>
      </c>
      <c r="D228" s="3" t="s">
        <v>6288</v>
      </c>
      <c r="E228" s="3">
        <v>227</v>
      </c>
      <c r="F228" s="3" t="s">
        <v>5012</v>
      </c>
      <c r="G228" s="3" t="s">
        <v>1091</v>
      </c>
      <c r="H228" s="3" t="s">
        <v>6546</v>
      </c>
      <c r="I228" s="3" t="s">
        <v>1179</v>
      </c>
    </row>
    <row r="229" spans="1:10" x14ac:dyDescent="0.25">
      <c r="A229" s="3" t="s">
        <v>6983</v>
      </c>
      <c r="B229" s="3" t="s">
        <v>6991</v>
      </c>
      <c r="C229" s="3" t="s">
        <v>6985</v>
      </c>
      <c r="D229" s="3" t="s">
        <v>6288</v>
      </c>
      <c r="E229" s="3">
        <v>228</v>
      </c>
      <c r="F229" s="3" t="s">
        <v>5013</v>
      </c>
      <c r="G229" s="3" t="s">
        <v>14</v>
      </c>
      <c r="H229" s="3" t="s">
        <v>6547</v>
      </c>
      <c r="I229" s="3" t="s">
        <v>1179</v>
      </c>
    </row>
    <row r="230" spans="1:10" x14ac:dyDescent="0.25">
      <c r="A230" s="3" t="s">
        <v>6983</v>
      </c>
      <c r="B230" s="3" t="s">
        <v>6991</v>
      </c>
      <c r="C230" s="3" t="s">
        <v>6985</v>
      </c>
      <c r="D230" s="3" t="s">
        <v>6288</v>
      </c>
      <c r="E230" s="3">
        <v>229</v>
      </c>
      <c r="F230" s="3" t="s">
        <v>5014</v>
      </c>
      <c r="G230" s="3" t="s">
        <v>15</v>
      </c>
      <c r="H230" s="3" t="s">
        <v>6548</v>
      </c>
      <c r="I230" s="3" t="s">
        <v>1179</v>
      </c>
    </row>
    <row r="231" spans="1:10" x14ac:dyDescent="0.25">
      <c r="A231" s="3" t="s">
        <v>6983</v>
      </c>
      <c r="B231" s="3" t="s">
        <v>6991</v>
      </c>
      <c r="C231" s="3" t="s">
        <v>6985</v>
      </c>
      <c r="D231" s="3" t="s">
        <v>6288</v>
      </c>
      <c r="E231" s="3">
        <v>230</v>
      </c>
      <c r="F231" s="3" t="s">
        <v>5015</v>
      </c>
      <c r="G231" s="3" t="s">
        <v>1091</v>
      </c>
      <c r="H231" s="3" t="s">
        <v>6549</v>
      </c>
      <c r="I231" s="3" t="s">
        <v>1179</v>
      </c>
    </row>
    <row r="232" spans="1:10" x14ac:dyDescent="0.25">
      <c r="A232" s="3" t="s">
        <v>6983</v>
      </c>
      <c r="B232" s="3" t="s">
        <v>6991</v>
      </c>
      <c r="C232" s="3" t="s">
        <v>6985</v>
      </c>
      <c r="D232" s="3" t="s">
        <v>6288</v>
      </c>
      <c r="E232" s="3">
        <v>231</v>
      </c>
      <c r="F232" s="3" t="s">
        <v>5016</v>
      </c>
      <c r="G232" s="3" t="s">
        <v>5</v>
      </c>
      <c r="H232" s="3" t="s">
        <v>6550</v>
      </c>
      <c r="I232" s="3" t="s">
        <v>1179</v>
      </c>
    </row>
    <row r="233" spans="1:10" ht="15" customHeight="1" x14ac:dyDescent="0.25">
      <c r="A233" s="3" t="s">
        <v>6983</v>
      </c>
      <c r="B233" s="3" t="s">
        <v>6991</v>
      </c>
      <c r="C233" s="3" t="s">
        <v>6985</v>
      </c>
      <c r="D233" s="3" t="s">
        <v>6288</v>
      </c>
      <c r="E233" s="3">
        <v>232</v>
      </c>
      <c r="F233" s="3" t="s">
        <v>5017</v>
      </c>
      <c r="G233" s="3" t="s">
        <v>1092</v>
      </c>
      <c r="H233" s="3" t="s">
        <v>6551</v>
      </c>
      <c r="I233" s="3" t="s">
        <v>1179</v>
      </c>
    </row>
    <row r="234" spans="1:10" x14ac:dyDescent="0.25">
      <c r="A234" s="3" t="s">
        <v>6983</v>
      </c>
      <c r="B234" s="3" t="s">
        <v>6991</v>
      </c>
      <c r="C234" s="3" t="s">
        <v>6985</v>
      </c>
      <c r="D234" s="3" t="s">
        <v>6288</v>
      </c>
      <c r="E234" s="3">
        <v>233</v>
      </c>
      <c r="F234" s="3" t="s">
        <v>5018</v>
      </c>
      <c r="G234" s="3" t="s">
        <v>16</v>
      </c>
      <c r="H234" s="3" t="s">
        <v>6552</v>
      </c>
      <c r="I234" s="3" t="s">
        <v>1179</v>
      </c>
    </row>
    <row r="235" spans="1:10" x14ac:dyDescent="0.25">
      <c r="A235" s="3" t="s">
        <v>6983</v>
      </c>
      <c r="B235" s="3" t="s">
        <v>6991</v>
      </c>
      <c r="C235" s="3" t="s">
        <v>6985</v>
      </c>
      <c r="D235" s="3" t="s">
        <v>6288</v>
      </c>
      <c r="E235" s="3">
        <v>234</v>
      </c>
      <c r="F235" s="3" t="s">
        <v>5019</v>
      </c>
      <c r="G235" s="3" t="s">
        <v>16</v>
      </c>
      <c r="H235" s="3" t="s">
        <v>6554</v>
      </c>
      <c r="I235" s="3" t="s">
        <v>1179</v>
      </c>
    </row>
    <row r="236" spans="1:10" x14ac:dyDescent="0.25">
      <c r="A236" s="3" t="s">
        <v>6983</v>
      </c>
      <c r="B236" s="3" t="s">
        <v>6991</v>
      </c>
      <c r="C236" s="3" t="s">
        <v>6985</v>
      </c>
      <c r="D236" s="3" t="s">
        <v>6288</v>
      </c>
      <c r="E236" s="3">
        <v>235</v>
      </c>
      <c r="F236" s="3" t="s">
        <v>5020</v>
      </c>
      <c r="G236" s="3" t="s">
        <v>16</v>
      </c>
      <c r="H236" s="3" t="s">
        <v>6553</v>
      </c>
      <c r="I236" s="3" t="s">
        <v>1179</v>
      </c>
    </row>
    <row r="237" spans="1:10" x14ac:dyDescent="0.25">
      <c r="A237" s="3" t="s">
        <v>6983</v>
      </c>
      <c r="B237" s="3" t="s">
        <v>6991</v>
      </c>
      <c r="C237" s="3" t="s">
        <v>6985</v>
      </c>
      <c r="D237" s="3" t="s">
        <v>6288</v>
      </c>
      <c r="E237" s="3">
        <v>236</v>
      </c>
      <c r="F237" s="3" t="s">
        <v>5021</v>
      </c>
      <c r="G237" s="3" t="s">
        <v>17</v>
      </c>
      <c r="H237" s="3" t="s">
        <v>38</v>
      </c>
      <c r="I237" s="3" t="s">
        <v>1179</v>
      </c>
    </row>
    <row r="238" spans="1:10" ht="13.5" customHeight="1" x14ac:dyDescent="0.25">
      <c r="A238" s="3" t="s">
        <v>6983</v>
      </c>
      <c r="B238" s="3" t="s">
        <v>6991</v>
      </c>
      <c r="C238" s="3" t="s">
        <v>6985</v>
      </c>
      <c r="D238" s="3" t="s">
        <v>6289</v>
      </c>
      <c r="E238" s="3">
        <v>237</v>
      </c>
      <c r="F238" s="3" t="s">
        <v>5022</v>
      </c>
      <c r="G238" s="3" t="s">
        <v>4</v>
      </c>
      <c r="H238" s="3" t="s">
        <v>6375</v>
      </c>
      <c r="I238" s="3" t="s">
        <v>6529</v>
      </c>
      <c r="J238" s="4"/>
    </row>
    <row r="239" spans="1:10" x14ac:dyDescent="0.25">
      <c r="A239" s="3" t="s">
        <v>6983</v>
      </c>
      <c r="B239" s="3" t="s">
        <v>6991</v>
      </c>
      <c r="C239" s="3" t="s">
        <v>6985</v>
      </c>
      <c r="D239" s="3" t="s">
        <v>6289</v>
      </c>
      <c r="E239" s="3">
        <v>238</v>
      </c>
      <c r="F239" s="3" t="s">
        <v>5023</v>
      </c>
      <c r="G239" s="3" t="s">
        <v>4</v>
      </c>
      <c r="H239" s="3" t="s">
        <v>6376</v>
      </c>
      <c r="I239" s="3" t="s">
        <v>6529</v>
      </c>
    </row>
    <row r="240" spans="1:10" x14ac:dyDescent="0.25">
      <c r="A240" s="3" t="s">
        <v>6983</v>
      </c>
      <c r="B240" s="3" t="s">
        <v>6991</v>
      </c>
      <c r="C240" s="3" t="s">
        <v>6985</v>
      </c>
      <c r="D240" s="3" t="s">
        <v>6289</v>
      </c>
      <c r="E240" s="3">
        <v>239</v>
      </c>
      <c r="F240" s="3" t="s">
        <v>5024</v>
      </c>
      <c r="G240" s="3" t="s">
        <v>5</v>
      </c>
      <c r="H240" s="4" t="s">
        <v>6530</v>
      </c>
      <c r="I240" s="3" t="s">
        <v>6529</v>
      </c>
    </row>
    <row r="241" spans="1:9" x14ac:dyDescent="0.25">
      <c r="A241" s="3" t="s">
        <v>6983</v>
      </c>
      <c r="B241" s="3" t="s">
        <v>6991</v>
      </c>
      <c r="C241" s="3" t="s">
        <v>6985</v>
      </c>
      <c r="D241" s="3" t="s">
        <v>6289</v>
      </c>
      <c r="E241" s="3">
        <v>240</v>
      </c>
      <c r="F241" s="3" t="s">
        <v>5025</v>
      </c>
      <c r="G241" s="3" t="s">
        <v>5</v>
      </c>
      <c r="H241" s="4" t="s">
        <v>6531</v>
      </c>
      <c r="I241" s="3" t="s">
        <v>6529</v>
      </c>
    </row>
    <row r="242" spans="1:9" x14ac:dyDescent="0.25">
      <c r="A242" s="3" t="s">
        <v>6983</v>
      </c>
      <c r="B242" s="3" t="s">
        <v>6991</v>
      </c>
      <c r="C242" s="3" t="s">
        <v>6985</v>
      </c>
      <c r="D242" s="3" t="s">
        <v>6289</v>
      </c>
      <c r="E242" s="3">
        <v>241</v>
      </c>
      <c r="F242" s="3" t="s">
        <v>5026</v>
      </c>
      <c r="G242" s="3" t="s">
        <v>5</v>
      </c>
      <c r="H242" s="4" t="s">
        <v>6374</v>
      </c>
      <c r="I242" s="3" t="s">
        <v>6529</v>
      </c>
    </row>
    <row r="243" spans="1:9" x14ac:dyDescent="0.25">
      <c r="A243" s="3" t="s">
        <v>6983</v>
      </c>
      <c r="B243" s="3" t="s">
        <v>6991</v>
      </c>
      <c r="C243" s="3" t="s">
        <v>6985</v>
      </c>
      <c r="D243" s="3" t="s">
        <v>6289</v>
      </c>
      <c r="E243" s="3">
        <v>242</v>
      </c>
      <c r="F243" s="3" t="s">
        <v>5027</v>
      </c>
      <c r="G243" s="3" t="s">
        <v>7</v>
      </c>
      <c r="H243" s="3" t="s">
        <v>26</v>
      </c>
      <c r="I243" s="3" t="s">
        <v>6529</v>
      </c>
    </row>
    <row r="244" spans="1:9" x14ac:dyDescent="0.25">
      <c r="A244" s="3" t="s">
        <v>6983</v>
      </c>
      <c r="B244" s="3" t="s">
        <v>6991</v>
      </c>
      <c r="C244" s="3" t="s">
        <v>6985</v>
      </c>
      <c r="D244" s="3" t="s">
        <v>6289</v>
      </c>
      <c r="E244" s="3">
        <v>243</v>
      </c>
      <c r="F244" s="3" t="s">
        <v>5028</v>
      </c>
      <c r="G244" s="3" t="s">
        <v>7</v>
      </c>
      <c r="H244" s="3" t="s">
        <v>27</v>
      </c>
      <c r="I244" s="3" t="s">
        <v>6529</v>
      </c>
    </row>
    <row r="245" spans="1:9" x14ac:dyDescent="0.25">
      <c r="A245" s="3" t="s">
        <v>6983</v>
      </c>
      <c r="B245" s="3" t="s">
        <v>6991</v>
      </c>
      <c r="C245" s="3" t="s">
        <v>6985</v>
      </c>
      <c r="D245" s="3" t="s">
        <v>6289</v>
      </c>
      <c r="E245" s="3">
        <v>244</v>
      </c>
      <c r="F245" s="3" t="s">
        <v>5029</v>
      </c>
      <c r="G245" s="3" t="s">
        <v>7</v>
      </c>
      <c r="H245" s="3" t="s">
        <v>28</v>
      </c>
      <c r="I245" s="3" t="s">
        <v>6529</v>
      </c>
    </row>
    <row r="246" spans="1:9" x14ac:dyDescent="0.25">
      <c r="A246" s="3" t="s">
        <v>6983</v>
      </c>
      <c r="B246" s="3" t="s">
        <v>6991</v>
      </c>
      <c r="C246" s="3" t="s">
        <v>6985</v>
      </c>
      <c r="D246" s="3" t="s">
        <v>6289</v>
      </c>
      <c r="E246" s="3">
        <v>245</v>
      </c>
      <c r="F246" s="3" t="s">
        <v>5030</v>
      </c>
      <c r="G246" s="3" t="s">
        <v>8</v>
      </c>
      <c r="H246" s="4" t="s">
        <v>6994</v>
      </c>
      <c r="I246" s="3" t="s">
        <v>6529</v>
      </c>
    </row>
    <row r="247" spans="1:9" x14ac:dyDescent="0.25">
      <c r="A247" s="3" t="s">
        <v>6983</v>
      </c>
      <c r="B247" s="3" t="s">
        <v>6991</v>
      </c>
      <c r="C247" s="3" t="s">
        <v>6985</v>
      </c>
      <c r="D247" s="3" t="s">
        <v>6289</v>
      </c>
      <c r="E247" s="3">
        <v>246</v>
      </c>
      <c r="F247" s="3" t="s">
        <v>5031</v>
      </c>
      <c r="G247" s="3" t="s">
        <v>9</v>
      </c>
      <c r="H247" s="4" t="s">
        <v>6377</v>
      </c>
      <c r="I247" s="3" t="s">
        <v>6529</v>
      </c>
    </row>
    <row r="248" spans="1:9" x14ac:dyDescent="0.25">
      <c r="A248" s="3" t="s">
        <v>6983</v>
      </c>
      <c r="B248" s="3" t="s">
        <v>6991</v>
      </c>
      <c r="C248" s="3" t="s">
        <v>6985</v>
      </c>
      <c r="D248" s="3" t="s">
        <v>6290</v>
      </c>
      <c r="E248" s="3">
        <v>247</v>
      </c>
      <c r="F248" s="3" t="s">
        <v>5032</v>
      </c>
      <c r="G248" s="3" t="s">
        <v>31</v>
      </c>
      <c r="H248" s="3" t="s">
        <v>6970</v>
      </c>
      <c r="I248" s="12"/>
    </row>
    <row r="249" spans="1:9" x14ac:dyDescent="0.25">
      <c r="A249" s="3" t="s">
        <v>6983</v>
      </c>
      <c r="B249" s="3" t="s">
        <v>6991</v>
      </c>
      <c r="C249" s="3" t="s">
        <v>6985</v>
      </c>
      <c r="D249" s="3" t="s">
        <v>6290</v>
      </c>
      <c r="E249" s="3">
        <v>248</v>
      </c>
      <c r="F249" s="3" t="s">
        <v>5033</v>
      </c>
      <c r="G249" s="3" t="s">
        <v>5984</v>
      </c>
      <c r="H249" s="3" t="s">
        <v>6457</v>
      </c>
    </row>
    <row r="250" spans="1:9" x14ac:dyDescent="0.25">
      <c r="A250" s="3" t="s">
        <v>6983</v>
      </c>
      <c r="B250" s="3" t="s">
        <v>6991</v>
      </c>
      <c r="C250" s="3" t="s">
        <v>6985</v>
      </c>
      <c r="D250" s="3" t="s">
        <v>6290</v>
      </c>
      <c r="E250" s="3">
        <v>249</v>
      </c>
      <c r="F250" s="3" t="s">
        <v>5034</v>
      </c>
      <c r="G250" s="3" t="s">
        <v>5984</v>
      </c>
      <c r="H250" s="3" t="s">
        <v>6458</v>
      </c>
    </row>
    <row r="251" spans="1:9" x14ac:dyDescent="0.25">
      <c r="A251" s="3" t="s">
        <v>6983</v>
      </c>
      <c r="B251" s="3" t="s">
        <v>6991</v>
      </c>
      <c r="C251" s="3" t="s">
        <v>6985</v>
      </c>
      <c r="D251" s="3" t="s">
        <v>6290</v>
      </c>
      <c r="E251" s="3">
        <v>250</v>
      </c>
      <c r="F251" s="3" t="s">
        <v>5035</v>
      </c>
      <c r="G251" s="3" t="s">
        <v>5984</v>
      </c>
      <c r="H251" s="3" t="s">
        <v>6459</v>
      </c>
    </row>
    <row r="252" spans="1:9" x14ac:dyDescent="0.25">
      <c r="A252" s="3" t="s">
        <v>6983</v>
      </c>
      <c r="B252" s="3" t="s">
        <v>6991</v>
      </c>
      <c r="C252" s="3" t="s">
        <v>6985</v>
      </c>
      <c r="D252" s="3" t="s">
        <v>6290</v>
      </c>
      <c r="E252" s="3">
        <v>251</v>
      </c>
      <c r="F252" s="3" t="s">
        <v>5036</v>
      </c>
      <c r="G252" s="3" t="s">
        <v>11</v>
      </c>
      <c r="H252" s="3" t="s">
        <v>6460</v>
      </c>
    </row>
    <row r="253" spans="1:9" x14ac:dyDescent="0.25">
      <c r="A253" s="3" t="s">
        <v>6983</v>
      </c>
      <c r="B253" s="3" t="s">
        <v>6991</v>
      </c>
      <c r="C253" s="3" t="s">
        <v>6985</v>
      </c>
      <c r="D253" s="3" t="s">
        <v>6290</v>
      </c>
      <c r="E253" s="3">
        <v>252</v>
      </c>
      <c r="F253" s="3" t="s">
        <v>5037</v>
      </c>
      <c r="G253" s="3" t="s">
        <v>5984</v>
      </c>
      <c r="H253" s="3" t="s">
        <v>6461</v>
      </c>
    </row>
    <row r="254" spans="1:9" x14ac:dyDescent="0.25">
      <c r="A254" s="3" t="s">
        <v>6983</v>
      </c>
      <c r="B254" s="3" t="s">
        <v>6991</v>
      </c>
      <c r="C254" s="3" t="s">
        <v>6985</v>
      </c>
      <c r="D254" s="3" t="s">
        <v>6290</v>
      </c>
      <c r="E254" s="3">
        <v>253</v>
      </c>
      <c r="F254" s="3" t="s">
        <v>5038</v>
      </c>
      <c r="G254" s="3" t="s">
        <v>5984</v>
      </c>
      <c r="H254" s="3" t="s">
        <v>6462</v>
      </c>
    </row>
    <row r="255" spans="1:9" x14ac:dyDescent="0.25">
      <c r="A255" s="3" t="s">
        <v>6983</v>
      </c>
      <c r="B255" s="3" t="s">
        <v>6991</v>
      </c>
      <c r="C255" s="3" t="s">
        <v>6985</v>
      </c>
      <c r="D255" s="3" t="s">
        <v>6290</v>
      </c>
      <c r="E255" s="3">
        <v>254</v>
      </c>
      <c r="F255" s="3" t="s">
        <v>5039</v>
      </c>
      <c r="G255" s="3" t="s">
        <v>5984</v>
      </c>
      <c r="H255" s="3" t="s">
        <v>6463</v>
      </c>
    </row>
    <row r="256" spans="1:9" x14ac:dyDescent="0.25">
      <c r="A256" s="3" t="s">
        <v>6983</v>
      </c>
      <c r="B256" s="3" t="s">
        <v>6991</v>
      </c>
      <c r="C256" s="3" t="s">
        <v>6985</v>
      </c>
      <c r="D256" s="3" t="s">
        <v>6290</v>
      </c>
      <c r="E256" s="3">
        <v>255</v>
      </c>
      <c r="F256" s="3" t="s">
        <v>5040</v>
      </c>
      <c r="G256" s="3" t="s">
        <v>11</v>
      </c>
      <c r="H256" s="3" t="s">
        <v>6460</v>
      </c>
    </row>
    <row r="257" spans="1:8" x14ac:dyDescent="0.25">
      <c r="A257" s="3" t="s">
        <v>6983</v>
      </c>
      <c r="B257" s="3" t="s">
        <v>6991</v>
      </c>
      <c r="C257" s="3" t="s">
        <v>6985</v>
      </c>
      <c r="D257" s="3" t="s">
        <v>6290</v>
      </c>
      <c r="E257" s="3">
        <v>256</v>
      </c>
      <c r="F257" s="3" t="s">
        <v>5041</v>
      </c>
      <c r="G257" s="3" t="s">
        <v>5984</v>
      </c>
      <c r="H257" s="3" t="s">
        <v>6464</v>
      </c>
    </row>
    <row r="258" spans="1:8" x14ac:dyDescent="0.25">
      <c r="A258" s="3" t="s">
        <v>6983</v>
      </c>
      <c r="B258" s="3" t="s">
        <v>6991</v>
      </c>
      <c r="C258" s="3" t="s">
        <v>6985</v>
      </c>
      <c r="D258" s="3" t="s">
        <v>6290</v>
      </c>
      <c r="E258" s="3">
        <v>257</v>
      </c>
      <c r="F258" s="3" t="s">
        <v>5042</v>
      </c>
      <c r="G258" s="3" t="s">
        <v>5984</v>
      </c>
      <c r="H258" s="3" t="s">
        <v>6465</v>
      </c>
    </row>
    <row r="259" spans="1:8" x14ac:dyDescent="0.25">
      <c r="A259" s="3" t="s">
        <v>6983</v>
      </c>
      <c r="B259" s="3" t="s">
        <v>6991</v>
      </c>
      <c r="C259" s="3" t="s">
        <v>6985</v>
      </c>
      <c r="D259" s="3" t="s">
        <v>6290</v>
      </c>
      <c r="E259" s="3">
        <v>258</v>
      </c>
      <c r="F259" s="3" t="s">
        <v>5043</v>
      </c>
      <c r="G259" s="3" t="s">
        <v>5984</v>
      </c>
      <c r="H259" s="3" t="s">
        <v>6466</v>
      </c>
    </row>
    <row r="260" spans="1:8" x14ac:dyDescent="0.25">
      <c r="A260" s="3" t="s">
        <v>6983</v>
      </c>
      <c r="B260" s="3" t="s">
        <v>6991</v>
      </c>
      <c r="C260" s="3" t="s">
        <v>6985</v>
      </c>
      <c r="D260" s="3" t="s">
        <v>6290</v>
      </c>
      <c r="E260" s="3">
        <v>259</v>
      </c>
      <c r="F260" s="3" t="s">
        <v>5044</v>
      </c>
      <c r="G260" s="3" t="s">
        <v>11</v>
      </c>
      <c r="H260" s="3" t="s">
        <v>6460</v>
      </c>
    </row>
    <row r="261" spans="1:8" x14ac:dyDescent="0.25">
      <c r="A261" s="3" t="s">
        <v>6983</v>
      </c>
      <c r="B261" s="3" t="s">
        <v>6991</v>
      </c>
      <c r="C261" s="3" t="s">
        <v>6985</v>
      </c>
      <c r="D261" s="3" t="s">
        <v>6290</v>
      </c>
      <c r="E261" s="3">
        <v>260</v>
      </c>
      <c r="F261" s="3" t="s">
        <v>5045</v>
      </c>
      <c r="G261" s="3" t="s">
        <v>5979</v>
      </c>
      <c r="H261" s="3" t="s">
        <v>6456</v>
      </c>
    </row>
    <row r="262" spans="1:8" x14ac:dyDescent="0.25">
      <c r="A262" s="3" t="s">
        <v>6983</v>
      </c>
      <c r="B262" s="3" t="s">
        <v>6991</v>
      </c>
      <c r="C262" s="3" t="s">
        <v>6985</v>
      </c>
      <c r="D262" s="3" t="s">
        <v>6290</v>
      </c>
      <c r="E262" s="3">
        <v>261</v>
      </c>
      <c r="F262" s="3" t="s">
        <v>5046</v>
      </c>
      <c r="G262" s="3" t="s">
        <v>5979</v>
      </c>
      <c r="H262" s="3" t="s">
        <v>6454</v>
      </c>
    </row>
    <row r="263" spans="1:8" x14ac:dyDescent="0.25">
      <c r="A263" s="3" t="s">
        <v>6983</v>
      </c>
      <c r="B263" s="3" t="s">
        <v>6991</v>
      </c>
      <c r="C263" s="3" t="s">
        <v>6985</v>
      </c>
      <c r="D263" s="3" t="s">
        <v>6290</v>
      </c>
      <c r="E263" s="3">
        <v>262</v>
      </c>
      <c r="F263" s="3" t="s">
        <v>5047</v>
      </c>
      <c r="G263" s="3" t="s">
        <v>5979</v>
      </c>
      <c r="H263" s="3" t="s">
        <v>6455</v>
      </c>
    </row>
    <row r="264" spans="1:8" x14ac:dyDescent="0.25">
      <c r="A264" s="3" t="s">
        <v>6983</v>
      </c>
      <c r="B264" s="3" t="s">
        <v>6991</v>
      </c>
      <c r="C264" s="3" t="s">
        <v>6985</v>
      </c>
      <c r="D264" s="3" t="s">
        <v>6291</v>
      </c>
      <c r="E264" s="3">
        <v>263</v>
      </c>
      <c r="F264" s="3" t="s">
        <v>5048</v>
      </c>
      <c r="G264" s="3" t="s">
        <v>4</v>
      </c>
      <c r="H264" s="3" t="s">
        <v>6517</v>
      </c>
    </row>
    <row r="265" spans="1:8" x14ac:dyDescent="0.25">
      <c r="A265" s="3" t="s">
        <v>6983</v>
      </c>
      <c r="B265" s="3" t="s">
        <v>6991</v>
      </c>
      <c r="C265" s="3" t="s">
        <v>6985</v>
      </c>
      <c r="D265" s="3" t="s">
        <v>6291</v>
      </c>
      <c r="E265" s="3">
        <v>264</v>
      </c>
      <c r="F265" s="3" t="s">
        <v>5049</v>
      </c>
      <c r="G265" s="3" t="s">
        <v>13</v>
      </c>
      <c r="H265" s="3" t="s">
        <v>6518</v>
      </c>
    </row>
    <row r="266" spans="1:8" x14ac:dyDescent="0.25">
      <c r="A266" s="3" t="s">
        <v>6983</v>
      </c>
      <c r="B266" s="3" t="s">
        <v>6991</v>
      </c>
      <c r="C266" s="3" t="s">
        <v>6985</v>
      </c>
      <c r="D266" s="3" t="s">
        <v>6292</v>
      </c>
      <c r="E266" s="3">
        <v>265</v>
      </c>
      <c r="F266" s="3" t="s">
        <v>5050</v>
      </c>
      <c r="G266" s="3" t="s">
        <v>5985</v>
      </c>
      <c r="H266" s="3" t="s">
        <v>6926</v>
      </c>
    </row>
    <row r="267" spans="1:8" x14ac:dyDescent="0.25">
      <c r="A267" s="3" t="s">
        <v>6983</v>
      </c>
      <c r="B267" s="3" t="s">
        <v>6991</v>
      </c>
      <c r="C267" s="3" t="s">
        <v>6985</v>
      </c>
      <c r="D267" s="3" t="s">
        <v>6292</v>
      </c>
      <c r="E267" s="3">
        <v>266</v>
      </c>
      <c r="F267" s="3" t="s">
        <v>5051</v>
      </c>
      <c r="G267" s="3" t="s">
        <v>5986</v>
      </c>
      <c r="H267" s="3" t="s">
        <v>6926</v>
      </c>
    </row>
    <row r="268" spans="1:8" x14ac:dyDescent="0.25">
      <c r="A268" s="3" t="s">
        <v>6983</v>
      </c>
      <c r="B268" s="3" t="s">
        <v>6991</v>
      </c>
      <c r="C268" s="3" t="s">
        <v>6985</v>
      </c>
      <c r="D268" s="3" t="s">
        <v>6292</v>
      </c>
      <c r="E268" s="3">
        <v>267</v>
      </c>
      <c r="F268" s="3" t="s">
        <v>5052</v>
      </c>
      <c r="G268" s="3" t="s">
        <v>5987</v>
      </c>
      <c r="H268" s="3" t="s">
        <v>6926</v>
      </c>
    </row>
    <row r="269" spans="1:8" x14ac:dyDescent="0.25">
      <c r="A269" s="3" t="s">
        <v>6983</v>
      </c>
      <c r="B269" s="3" t="s">
        <v>6991</v>
      </c>
      <c r="C269" s="3" t="s">
        <v>6985</v>
      </c>
      <c r="D269" s="3" t="s">
        <v>6292</v>
      </c>
      <c r="E269" s="3">
        <v>268</v>
      </c>
      <c r="F269" s="3" t="s">
        <v>5053</v>
      </c>
      <c r="G269" s="3" t="s">
        <v>5988</v>
      </c>
      <c r="H269" s="3" t="s">
        <v>6926</v>
      </c>
    </row>
    <row r="270" spans="1:8" x14ac:dyDescent="0.25">
      <c r="A270" s="3" t="s">
        <v>6983</v>
      </c>
      <c r="B270" s="3" t="s">
        <v>6991</v>
      </c>
      <c r="C270" s="3" t="s">
        <v>6985</v>
      </c>
      <c r="D270" s="3" t="s">
        <v>6292</v>
      </c>
      <c r="E270" s="3">
        <v>269</v>
      </c>
      <c r="F270" s="3" t="s">
        <v>5054</v>
      </c>
      <c r="G270" s="3" t="s">
        <v>5987</v>
      </c>
      <c r="H270" s="3" t="s">
        <v>6926</v>
      </c>
    </row>
    <row r="271" spans="1:8" x14ac:dyDescent="0.25">
      <c r="A271" s="3" t="s">
        <v>6983</v>
      </c>
      <c r="B271" s="3" t="s">
        <v>6991</v>
      </c>
      <c r="C271" s="3" t="s">
        <v>6985</v>
      </c>
      <c r="D271" s="3" t="s">
        <v>6292</v>
      </c>
      <c r="E271" s="3">
        <v>270</v>
      </c>
      <c r="F271" s="3" t="s">
        <v>5055</v>
      </c>
      <c r="G271" s="3" t="s">
        <v>5988</v>
      </c>
      <c r="H271" s="3" t="s">
        <v>6926</v>
      </c>
    </row>
    <row r="272" spans="1:8" x14ac:dyDescent="0.25">
      <c r="A272" s="3" t="s">
        <v>6983</v>
      </c>
      <c r="B272" s="3" t="s">
        <v>6991</v>
      </c>
      <c r="C272" s="3" t="s">
        <v>6985</v>
      </c>
      <c r="D272" s="3" t="s">
        <v>6292</v>
      </c>
      <c r="E272" s="3">
        <v>271</v>
      </c>
      <c r="F272" s="3" t="s">
        <v>5056</v>
      </c>
      <c r="G272" s="3" t="s">
        <v>5987</v>
      </c>
      <c r="H272" s="3" t="s">
        <v>6926</v>
      </c>
    </row>
    <row r="273" spans="1:8" x14ac:dyDescent="0.25">
      <c r="A273" s="3" t="s">
        <v>6983</v>
      </c>
      <c r="B273" s="3" t="s">
        <v>6991</v>
      </c>
      <c r="C273" s="3" t="s">
        <v>6985</v>
      </c>
      <c r="D273" s="3" t="s">
        <v>6292</v>
      </c>
      <c r="E273" s="3">
        <v>272</v>
      </c>
      <c r="F273" s="3" t="s">
        <v>5057</v>
      </c>
      <c r="G273" s="3" t="s">
        <v>5988</v>
      </c>
      <c r="H273" s="3" t="s">
        <v>6926</v>
      </c>
    </row>
    <row r="274" spans="1:8" x14ac:dyDescent="0.25">
      <c r="A274" s="3" t="s">
        <v>6983</v>
      </c>
      <c r="B274" s="3" t="s">
        <v>6991</v>
      </c>
      <c r="C274" s="3" t="s">
        <v>6985</v>
      </c>
      <c r="D274" s="3" t="s">
        <v>6292</v>
      </c>
      <c r="E274" s="3">
        <v>273</v>
      </c>
      <c r="F274" s="3" t="s">
        <v>5058</v>
      </c>
      <c r="G274" s="3" t="s">
        <v>1097</v>
      </c>
      <c r="H274" s="3" t="s">
        <v>6926</v>
      </c>
    </row>
    <row r="275" spans="1:8" x14ac:dyDescent="0.25">
      <c r="A275" s="3" t="s">
        <v>6983</v>
      </c>
      <c r="B275" s="3" t="s">
        <v>6991</v>
      </c>
      <c r="C275" s="3" t="s">
        <v>6985</v>
      </c>
      <c r="D275" s="3" t="s">
        <v>6292</v>
      </c>
      <c r="E275" s="3">
        <v>274</v>
      </c>
      <c r="F275" s="3" t="s">
        <v>5059</v>
      </c>
      <c r="G275" s="3" t="s">
        <v>5</v>
      </c>
      <c r="H275" s="3" t="s">
        <v>6926</v>
      </c>
    </row>
    <row r="276" spans="1:8" x14ac:dyDescent="0.25">
      <c r="A276" s="3" t="s">
        <v>6983</v>
      </c>
      <c r="B276" s="3" t="s">
        <v>6991</v>
      </c>
      <c r="C276" s="3" t="s">
        <v>6985</v>
      </c>
      <c r="D276" s="3" t="s">
        <v>6293</v>
      </c>
      <c r="E276" s="3">
        <v>275</v>
      </c>
      <c r="F276" s="3" t="s">
        <v>5060</v>
      </c>
      <c r="G276" s="3" t="s">
        <v>5985</v>
      </c>
      <c r="H276" s="3" t="s">
        <v>6927</v>
      </c>
    </row>
    <row r="277" spans="1:8" x14ac:dyDescent="0.25">
      <c r="A277" s="3" t="s">
        <v>6983</v>
      </c>
      <c r="B277" s="3" t="s">
        <v>6991</v>
      </c>
      <c r="C277" s="3" t="s">
        <v>6985</v>
      </c>
      <c r="D277" s="3" t="s">
        <v>6293</v>
      </c>
      <c r="E277" s="3">
        <v>276</v>
      </c>
      <c r="F277" s="3" t="s">
        <v>5061</v>
      </c>
      <c r="G277" s="3" t="s">
        <v>5986</v>
      </c>
      <c r="H277" s="3" t="s">
        <v>6927</v>
      </c>
    </row>
    <row r="278" spans="1:8" x14ac:dyDescent="0.25">
      <c r="A278" s="3" t="s">
        <v>6983</v>
      </c>
      <c r="B278" s="3" t="s">
        <v>6991</v>
      </c>
      <c r="C278" s="3" t="s">
        <v>6985</v>
      </c>
      <c r="D278" s="3" t="s">
        <v>6293</v>
      </c>
      <c r="E278" s="3">
        <v>277</v>
      </c>
      <c r="F278" s="3" t="s">
        <v>5062</v>
      </c>
      <c r="G278" s="3" t="s">
        <v>5987</v>
      </c>
      <c r="H278" s="3" t="s">
        <v>6927</v>
      </c>
    </row>
    <row r="279" spans="1:8" x14ac:dyDescent="0.25">
      <c r="A279" s="3" t="s">
        <v>6983</v>
      </c>
      <c r="B279" s="3" t="s">
        <v>6991</v>
      </c>
      <c r="C279" s="3" t="s">
        <v>6985</v>
      </c>
      <c r="D279" s="3" t="s">
        <v>6293</v>
      </c>
      <c r="E279" s="3">
        <v>278</v>
      </c>
      <c r="F279" s="3" t="s">
        <v>5063</v>
      </c>
      <c r="G279" s="3" t="s">
        <v>5988</v>
      </c>
      <c r="H279" s="3" t="s">
        <v>6927</v>
      </c>
    </row>
    <row r="280" spans="1:8" x14ac:dyDescent="0.25">
      <c r="A280" s="3" t="s">
        <v>6983</v>
      </c>
      <c r="B280" s="3" t="s">
        <v>6991</v>
      </c>
      <c r="C280" s="3" t="s">
        <v>6985</v>
      </c>
      <c r="D280" s="3" t="s">
        <v>6293</v>
      </c>
      <c r="E280" s="3">
        <v>279</v>
      </c>
      <c r="F280" s="3" t="s">
        <v>5064</v>
      </c>
      <c r="G280" s="3" t="s">
        <v>5987</v>
      </c>
      <c r="H280" s="3" t="s">
        <v>6927</v>
      </c>
    </row>
    <row r="281" spans="1:8" x14ac:dyDescent="0.25">
      <c r="A281" s="3" t="s">
        <v>6983</v>
      </c>
      <c r="B281" s="3" t="s">
        <v>6991</v>
      </c>
      <c r="C281" s="3" t="s">
        <v>6985</v>
      </c>
      <c r="D281" s="3" t="s">
        <v>6293</v>
      </c>
      <c r="E281" s="3">
        <v>280</v>
      </c>
      <c r="F281" s="3" t="s">
        <v>5065</v>
      </c>
      <c r="G281" s="3" t="s">
        <v>5988</v>
      </c>
      <c r="H281" s="3" t="s">
        <v>6927</v>
      </c>
    </row>
    <row r="282" spans="1:8" x14ac:dyDescent="0.25">
      <c r="A282" s="3" t="s">
        <v>6983</v>
      </c>
      <c r="B282" s="3" t="s">
        <v>6991</v>
      </c>
      <c r="C282" s="3" t="s">
        <v>6985</v>
      </c>
      <c r="D282" s="3" t="s">
        <v>6293</v>
      </c>
      <c r="E282" s="3">
        <v>281</v>
      </c>
      <c r="F282" s="3" t="s">
        <v>5066</v>
      </c>
      <c r="G282" s="3" t="s">
        <v>5987</v>
      </c>
      <c r="H282" s="3" t="s">
        <v>6927</v>
      </c>
    </row>
    <row r="283" spans="1:8" x14ac:dyDescent="0.25">
      <c r="A283" s="3" t="s">
        <v>6983</v>
      </c>
      <c r="B283" s="3" t="s">
        <v>6991</v>
      </c>
      <c r="C283" s="3" t="s">
        <v>6985</v>
      </c>
      <c r="D283" s="3" t="s">
        <v>6293</v>
      </c>
      <c r="E283" s="3">
        <v>282</v>
      </c>
      <c r="F283" s="3" t="s">
        <v>5067</v>
      </c>
      <c r="G283" s="3" t="s">
        <v>5988</v>
      </c>
      <c r="H283" s="3" t="s">
        <v>6927</v>
      </c>
    </row>
    <row r="284" spans="1:8" x14ac:dyDescent="0.25">
      <c r="A284" s="3" t="s">
        <v>6983</v>
      </c>
      <c r="B284" s="3" t="s">
        <v>6991</v>
      </c>
      <c r="C284" s="3" t="s">
        <v>6985</v>
      </c>
      <c r="D284" s="3" t="s">
        <v>6293</v>
      </c>
      <c r="E284" s="3">
        <v>283</v>
      </c>
      <c r="F284" s="3" t="s">
        <v>5068</v>
      </c>
      <c r="G284" s="3" t="s">
        <v>1097</v>
      </c>
      <c r="H284" s="3" t="s">
        <v>6927</v>
      </c>
    </row>
    <row r="285" spans="1:8" x14ac:dyDescent="0.25">
      <c r="A285" s="3" t="s">
        <v>6983</v>
      </c>
      <c r="B285" s="3" t="s">
        <v>6991</v>
      </c>
      <c r="C285" s="3" t="s">
        <v>6985</v>
      </c>
      <c r="D285" s="3" t="s">
        <v>6293</v>
      </c>
      <c r="E285" s="3">
        <v>284</v>
      </c>
      <c r="F285" s="3" t="s">
        <v>5069</v>
      </c>
      <c r="G285" s="3" t="s">
        <v>5</v>
      </c>
      <c r="H285" s="3" t="s">
        <v>6927</v>
      </c>
    </row>
    <row r="286" spans="1:8" x14ac:dyDescent="0.25">
      <c r="A286" s="3" t="s">
        <v>6983</v>
      </c>
      <c r="B286" s="3" t="s">
        <v>6991</v>
      </c>
      <c r="C286" s="3" t="s">
        <v>6985</v>
      </c>
      <c r="D286" s="3" t="s">
        <v>6294</v>
      </c>
      <c r="E286" s="3">
        <v>285</v>
      </c>
      <c r="F286" s="3" t="s">
        <v>5070</v>
      </c>
      <c r="G286" s="3" t="s">
        <v>5985</v>
      </c>
      <c r="H286" s="3" t="s">
        <v>6928</v>
      </c>
    </row>
    <row r="287" spans="1:8" x14ac:dyDescent="0.25">
      <c r="A287" s="3" t="s">
        <v>6983</v>
      </c>
      <c r="B287" s="3" t="s">
        <v>6991</v>
      </c>
      <c r="C287" s="3" t="s">
        <v>6985</v>
      </c>
      <c r="D287" s="3" t="s">
        <v>6294</v>
      </c>
      <c r="E287" s="3">
        <v>286</v>
      </c>
      <c r="F287" s="3" t="s">
        <v>5071</v>
      </c>
      <c r="G287" s="3" t="s">
        <v>5986</v>
      </c>
      <c r="H287" s="3" t="s">
        <v>6928</v>
      </c>
    </row>
    <row r="288" spans="1:8" x14ac:dyDescent="0.25">
      <c r="A288" s="3" t="s">
        <v>6983</v>
      </c>
      <c r="B288" s="3" t="s">
        <v>6991</v>
      </c>
      <c r="C288" s="3" t="s">
        <v>6985</v>
      </c>
      <c r="D288" s="3" t="s">
        <v>6294</v>
      </c>
      <c r="E288" s="3">
        <v>287</v>
      </c>
      <c r="F288" s="3" t="s">
        <v>5072</v>
      </c>
      <c r="G288" s="3" t="s">
        <v>5987</v>
      </c>
      <c r="H288" s="3" t="s">
        <v>6928</v>
      </c>
    </row>
    <row r="289" spans="1:8" x14ac:dyDescent="0.25">
      <c r="A289" s="3" t="s">
        <v>6983</v>
      </c>
      <c r="B289" s="3" t="s">
        <v>6991</v>
      </c>
      <c r="C289" s="3" t="s">
        <v>6985</v>
      </c>
      <c r="D289" s="3" t="s">
        <v>6294</v>
      </c>
      <c r="E289" s="3">
        <v>288</v>
      </c>
      <c r="F289" s="3" t="s">
        <v>5073</v>
      </c>
      <c r="G289" s="3" t="s">
        <v>5988</v>
      </c>
      <c r="H289" s="3" t="s">
        <v>6928</v>
      </c>
    </row>
    <row r="290" spans="1:8" x14ac:dyDescent="0.25">
      <c r="A290" s="3" t="s">
        <v>6983</v>
      </c>
      <c r="B290" s="3" t="s">
        <v>6991</v>
      </c>
      <c r="C290" s="3" t="s">
        <v>6985</v>
      </c>
      <c r="D290" s="3" t="s">
        <v>6294</v>
      </c>
      <c r="E290" s="3">
        <v>289</v>
      </c>
      <c r="F290" s="3" t="s">
        <v>5074</v>
      </c>
      <c r="G290" s="3" t="s">
        <v>5987</v>
      </c>
      <c r="H290" s="3" t="s">
        <v>6928</v>
      </c>
    </row>
    <row r="291" spans="1:8" x14ac:dyDescent="0.25">
      <c r="A291" s="3" t="s">
        <v>6983</v>
      </c>
      <c r="B291" s="3" t="s">
        <v>6991</v>
      </c>
      <c r="C291" s="3" t="s">
        <v>6985</v>
      </c>
      <c r="D291" s="3" t="s">
        <v>6294</v>
      </c>
      <c r="E291" s="3">
        <v>290</v>
      </c>
      <c r="F291" s="3" t="s">
        <v>5075</v>
      </c>
      <c r="G291" s="3" t="s">
        <v>5988</v>
      </c>
      <c r="H291" s="3" t="s">
        <v>6928</v>
      </c>
    </row>
    <row r="292" spans="1:8" x14ac:dyDescent="0.25">
      <c r="A292" s="3" t="s">
        <v>6983</v>
      </c>
      <c r="B292" s="3" t="s">
        <v>6991</v>
      </c>
      <c r="C292" s="3" t="s">
        <v>6985</v>
      </c>
      <c r="D292" s="3" t="s">
        <v>6294</v>
      </c>
      <c r="E292" s="3">
        <v>291</v>
      </c>
      <c r="F292" s="3" t="s">
        <v>5076</v>
      </c>
      <c r="G292" s="3" t="s">
        <v>5987</v>
      </c>
      <c r="H292" s="3" t="s">
        <v>6928</v>
      </c>
    </row>
    <row r="293" spans="1:8" x14ac:dyDescent="0.25">
      <c r="A293" s="3" t="s">
        <v>6983</v>
      </c>
      <c r="B293" s="3" t="s">
        <v>6991</v>
      </c>
      <c r="C293" s="3" t="s">
        <v>6985</v>
      </c>
      <c r="D293" s="3" t="s">
        <v>6294</v>
      </c>
      <c r="E293" s="3">
        <v>292</v>
      </c>
      <c r="F293" s="3" t="s">
        <v>5077</v>
      </c>
      <c r="G293" s="3" t="s">
        <v>5988</v>
      </c>
      <c r="H293" s="3" t="s">
        <v>6928</v>
      </c>
    </row>
    <row r="294" spans="1:8" x14ac:dyDescent="0.25">
      <c r="A294" s="3" t="s">
        <v>6983</v>
      </c>
      <c r="B294" s="3" t="s">
        <v>6991</v>
      </c>
      <c r="C294" s="3" t="s">
        <v>6985</v>
      </c>
      <c r="D294" s="3" t="s">
        <v>6294</v>
      </c>
      <c r="E294" s="3">
        <v>293</v>
      </c>
      <c r="F294" s="3" t="s">
        <v>5078</v>
      </c>
      <c r="G294" s="3" t="s">
        <v>1097</v>
      </c>
      <c r="H294" s="3" t="s">
        <v>6928</v>
      </c>
    </row>
    <row r="295" spans="1:8" x14ac:dyDescent="0.25">
      <c r="A295" s="3" t="s">
        <v>6983</v>
      </c>
      <c r="B295" s="3" t="s">
        <v>6991</v>
      </c>
      <c r="C295" s="3" t="s">
        <v>6985</v>
      </c>
      <c r="D295" s="3" t="s">
        <v>6294</v>
      </c>
      <c r="E295" s="3">
        <v>294</v>
      </c>
      <c r="F295" s="3" t="s">
        <v>5079</v>
      </c>
      <c r="G295" s="3" t="s">
        <v>5</v>
      </c>
      <c r="H295" s="3" t="s">
        <v>6928</v>
      </c>
    </row>
    <row r="296" spans="1:8" x14ac:dyDescent="0.25">
      <c r="A296" s="3" t="s">
        <v>6983</v>
      </c>
      <c r="B296" s="3" t="s">
        <v>6991</v>
      </c>
      <c r="C296" s="3" t="s">
        <v>6985</v>
      </c>
      <c r="D296" s="3" t="s">
        <v>6295</v>
      </c>
      <c r="E296" s="3">
        <v>295</v>
      </c>
      <c r="F296" s="3" t="s">
        <v>5080</v>
      </c>
      <c r="G296" s="3" t="s">
        <v>5985</v>
      </c>
      <c r="H296" s="5" t="s">
        <v>6925</v>
      </c>
    </row>
    <row r="297" spans="1:8" x14ac:dyDescent="0.25">
      <c r="A297" s="3" t="s">
        <v>6983</v>
      </c>
      <c r="B297" s="3" t="s">
        <v>6991</v>
      </c>
      <c r="C297" s="3" t="s">
        <v>6985</v>
      </c>
      <c r="D297" s="3" t="s">
        <v>6295</v>
      </c>
      <c r="E297" s="3">
        <v>296</v>
      </c>
      <c r="F297" s="3" t="s">
        <v>5081</v>
      </c>
      <c r="G297" s="3" t="s">
        <v>5986</v>
      </c>
      <c r="H297" s="5" t="s">
        <v>6925</v>
      </c>
    </row>
    <row r="298" spans="1:8" x14ac:dyDescent="0.25">
      <c r="A298" s="3" t="s">
        <v>6983</v>
      </c>
      <c r="B298" s="3" t="s">
        <v>6991</v>
      </c>
      <c r="C298" s="3" t="s">
        <v>6985</v>
      </c>
      <c r="D298" s="3" t="s">
        <v>6295</v>
      </c>
      <c r="E298" s="3">
        <v>297</v>
      </c>
      <c r="F298" s="3" t="s">
        <v>5082</v>
      </c>
      <c r="G298" s="3" t="s">
        <v>5987</v>
      </c>
      <c r="H298" s="5" t="s">
        <v>6925</v>
      </c>
    </row>
    <row r="299" spans="1:8" x14ac:dyDescent="0.25">
      <c r="A299" s="3" t="s">
        <v>6983</v>
      </c>
      <c r="B299" s="3" t="s">
        <v>6991</v>
      </c>
      <c r="C299" s="3" t="s">
        <v>6985</v>
      </c>
      <c r="D299" s="3" t="s">
        <v>6295</v>
      </c>
      <c r="E299" s="3">
        <v>298</v>
      </c>
      <c r="F299" s="3" t="s">
        <v>5083</v>
      </c>
      <c r="G299" s="3" t="s">
        <v>5988</v>
      </c>
      <c r="H299" s="5" t="s">
        <v>6925</v>
      </c>
    </row>
    <row r="300" spans="1:8" x14ac:dyDescent="0.25">
      <c r="A300" s="3" t="s">
        <v>6983</v>
      </c>
      <c r="B300" s="3" t="s">
        <v>6991</v>
      </c>
      <c r="C300" s="3" t="s">
        <v>6985</v>
      </c>
      <c r="D300" s="3" t="s">
        <v>6295</v>
      </c>
      <c r="E300" s="3">
        <v>299</v>
      </c>
      <c r="F300" s="3" t="s">
        <v>5084</v>
      </c>
      <c r="G300" s="3" t="s">
        <v>5987</v>
      </c>
      <c r="H300" s="5" t="s">
        <v>6925</v>
      </c>
    </row>
    <row r="301" spans="1:8" x14ac:dyDescent="0.25">
      <c r="A301" s="3" t="s">
        <v>6983</v>
      </c>
      <c r="B301" s="3" t="s">
        <v>6991</v>
      </c>
      <c r="C301" s="3" t="s">
        <v>6985</v>
      </c>
      <c r="D301" s="3" t="s">
        <v>6295</v>
      </c>
      <c r="E301" s="3">
        <v>300</v>
      </c>
      <c r="F301" s="3" t="s">
        <v>5085</v>
      </c>
      <c r="G301" s="3" t="s">
        <v>5988</v>
      </c>
      <c r="H301" s="5" t="s">
        <v>6925</v>
      </c>
    </row>
    <row r="302" spans="1:8" x14ac:dyDescent="0.25">
      <c r="A302" s="3" t="s">
        <v>6983</v>
      </c>
      <c r="B302" s="3" t="s">
        <v>6991</v>
      </c>
      <c r="C302" s="3" t="s">
        <v>6985</v>
      </c>
      <c r="D302" s="3" t="s">
        <v>6295</v>
      </c>
      <c r="E302" s="3">
        <v>301</v>
      </c>
      <c r="F302" s="3" t="s">
        <v>5086</v>
      </c>
      <c r="G302" s="3" t="s">
        <v>5987</v>
      </c>
      <c r="H302" s="5" t="s">
        <v>6925</v>
      </c>
    </row>
    <row r="303" spans="1:8" x14ac:dyDescent="0.25">
      <c r="A303" s="3" t="s">
        <v>6983</v>
      </c>
      <c r="B303" s="3" t="s">
        <v>6991</v>
      </c>
      <c r="C303" s="3" t="s">
        <v>6985</v>
      </c>
      <c r="D303" s="3" t="s">
        <v>6295</v>
      </c>
      <c r="E303" s="3">
        <v>302</v>
      </c>
      <c r="F303" s="3" t="s">
        <v>5087</v>
      </c>
      <c r="G303" s="3" t="s">
        <v>5988</v>
      </c>
      <c r="H303" s="5" t="s">
        <v>6925</v>
      </c>
    </row>
    <row r="304" spans="1:8" x14ac:dyDescent="0.25">
      <c r="A304" s="3" t="s">
        <v>6983</v>
      </c>
      <c r="B304" s="3" t="s">
        <v>6991</v>
      </c>
      <c r="C304" s="3" t="s">
        <v>6985</v>
      </c>
      <c r="D304" s="3" t="s">
        <v>6295</v>
      </c>
      <c r="E304" s="3">
        <v>303</v>
      </c>
      <c r="F304" s="3" t="s">
        <v>5088</v>
      </c>
      <c r="G304" s="3" t="s">
        <v>1097</v>
      </c>
      <c r="H304" s="5" t="s">
        <v>6925</v>
      </c>
    </row>
    <row r="305" spans="1:8" x14ac:dyDescent="0.25">
      <c r="A305" s="3" t="s">
        <v>6983</v>
      </c>
      <c r="B305" s="3" t="s">
        <v>6991</v>
      </c>
      <c r="C305" s="3" t="s">
        <v>6985</v>
      </c>
      <c r="D305" s="3" t="s">
        <v>6295</v>
      </c>
      <c r="E305" s="3">
        <v>304</v>
      </c>
      <c r="F305" s="3" t="s">
        <v>5089</v>
      </c>
      <c r="G305" s="3" t="s">
        <v>5</v>
      </c>
      <c r="H305" s="5" t="s">
        <v>6925</v>
      </c>
    </row>
    <row r="306" spans="1:8" x14ac:dyDescent="0.25">
      <c r="A306" s="3" t="s">
        <v>6983</v>
      </c>
      <c r="B306" s="3" t="s">
        <v>6991</v>
      </c>
      <c r="C306" s="3" t="s">
        <v>6985</v>
      </c>
      <c r="D306" s="3" t="s">
        <v>6296</v>
      </c>
      <c r="E306" s="3">
        <v>305</v>
      </c>
      <c r="F306" s="3" t="s">
        <v>5090</v>
      </c>
      <c r="G306" s="3" t="s">
        <v>11</v>
      </c>
      <c r="H306" s="3" t="s">
        <v>6930</v>
      </c>
    </row>
    <row r="307" spans="1:8" x14ac:dyDescent="0.25">
      <c r="A307" s="3" t="s">
        <v>6983</v>
      </c>
      <c r="B307" s="3" t="s">
        <v>6991</v>
      </c>
      <c r="C307" s="3" t="s">
        <v>6985</v>
      </c>
      <c r="D307" s="3" t="s">
        <v>6296</v>
      </c>
      <c r="E307" s="3">
        <v>306</v>
      </c>
      <c r="F307" s="3" t="s">
        <v>5091</v>
      </c>
      <c r="G307" s="3" t="s">
        <v>4</v>
      </c>
      <c r="H307" s="3" t="s">
        <v>6929</v>
      </c>
    </row>
    <row r="308" spans="1:8" x14ac:dyDescent="0.25">
      <c r="A308" s="3" t="s">
        <v>6983</v>
      </c>
      <c r="B308" s="3" t="s">
        <v>6991</v>
      </c>
      <c r="C308" s="3" t="s">
        <v>6985</v>
      </c>
      <c r="D308" s="3" t="s">
        <v>6296</v>
      </c>
      <c r="E308" s="3">
        <v>307</v>
      </c>
      <c r="F308" s="3" t="s">
        <v>5092</v>
      </c>
      <c r="G308" s="3" t="s">
        <v>4</v>
      </c>
      <c r="H308" s="3" t="s">
        <v>6931</v>
      </c>
    </row>
    <row r="309" spans="1:8" x14ac:dyDescent="0.25">
      <c r="A309" s="3" t="s">
        <v>6983</v>
      </c>
      <c r="B309" s="3" t="s">
        <v>6991</v>
      </c>
      <c r="C309" s="3" t="s">
        <v>6985</v>
      </c>
      <c r="D309" s="3" t="s">
        <v>6297</v>
      </c>
      <c r="E309" s="3">
        <v>308</v>
      </c>
      <c r="F309" s="3" t="s">
        <v>5093</v>
      </c>
      <c r="G309" s="3" t="s">
        <v>11</v>
      </c>
      <c r="H309" s="3" t="s">
        <v>6932</v>
      </c>
    </row>
    <row r="310" spans="1:8" x14ac:dyDescent="0.25">
      <c r="A310" s="3" t="s">
        <v>6983</v>
      </c>
      <c r="B310" s="3" t="s">
        <v>6991</v>
      </c>
      <c r="C310" s="3" t="s">
        <v>6985</v>
      </c>
      <c r="D310" s="3" t="s">
        <v>6297</v>
      </c>
      <c r="E310" s="3">
        <v>309</v>
      </c>
      <c r="F310" s="3" t="s">
        <v>5094</v>
      </c>
      <c r="G310" s="3" t="s">
        <v>4</v>
      </c>
      <c r="H310" s="3" t="s">
        <v>6933</v>
      </c>
    </row>
    <row r="311" spans="1:8" x14ac:dyDescent="0.25">
      <c r="A311" s="3" t="s">
        <v>6983</v>
      </c>
      <c r="B311" s="3" t="s">
        <v>6991</v>
      </c>
      <c r="C311" s="3" t="s">
        <v>6985</v>
      </c>
      <c r="D311" s="3" t="s">
        <v>6297</v>
      </c>
      <c r="E311" s="3">
        <v>310</v>
      </c>
      <c r="F311" s="3" t="s">
        <v>5095</v>
      </c>
      <c r="G311" s="3" t="s">
        <v>4</v>
      </c>
      <c r="H311" s="3" t="s">
        <v>6934</v>
      </c>
    </row>
    <row r="312" spans="1:8" x14ac:dyDescent="0.25">
      <c r="A312" s="3" t="s">
        <v>6983</v>
      </c>
      <c r="B312" s="3" t="s">
        <v>6991</v>
      </c>
      <c r="C312" s="3" t="s">
        <v>6985</v>
      </c>
      <c r="D312" s="3" t="s">
        <v>6298</v>
      </c>
      <c r="E312" s="3">
        <v>311</v>
      </c>
      <c r="F312" s="3" t="s">
        <v>5096</v>
      </c>
      <c r="G312" s="3" t="s">
        <v>11</v>
      </c>
      <c r="H312" s="3" t="s">
        <v>6935</v>
      </c>
    </row>
    <row r="313" spans="1:8" x14ac:dyDescent="0.25">
      <c r="A313" s="3" t="s">
        <v>6983</v>
      </c>
      <c r="B313" s="3" t="s">
        <v>6991</v>
      </c>
      <c r="C313" s="3" t="s">
        <v>6985</v>
      </c>
      <c r="D313" s="3" t="s">
        <v>6298</v>
      </c>
      <c r="E313" s="3">
        <v>312</v>
      </c>
      <c r="F313" s="3" t="s">
        <v>5097</v>
      </c>
      <c r="G313" s="3" t="s">
        <v>4</v>
      </c>
      <c r="H313" s="3" t="s">
        <v>6936</v>
      </c>
    </row>
    <row r="314" spans="1:8" x14ac:dyDescent="0.25">
      <c r="A314" s="3" t="s">
        <v>6983</v>
      </c>
      <c r="B314" s="3" t="s">
        <v>6991</v>
      </c>
      <c r="C314" s="3" t="s">
        <v>6985</v>
      </c>
      <c r="D314" s="3" t="s">
        <v>6298</v>
      </c>
      <c r="E314" s="3">
        <v>313</v>
      </c>
      <c r="F314" s="3" t="s">
        <v>5098</v>
      </c>
      <c r="G314" s="3" t="s">
        <v>4</v>
      </c>
      <c r="H314" s="3" t="s">
        <v>6937</v>
      </c>
    </row>
    <row r="315" spans="1:8" x14ac:dyDescent="0.25">
      <c r="A315" s="3" t="s">
        <v>6983</v>
      </c>
      <c r="B315" s="3" t="s">
        <v>6991</v>
      </c>
      <c r="C315" s="3" t="s">
        <v>6985</v>
      </c>
      <c r="D315" s="3" t="s">
        <v>6299</v>
      </c>
      <c r="E315" s="3">
        <v>314</v>
      </c>
      <c r="F315" s="3" t="s">
        <v>5099</v>
      </c>
      <c r="G315" s="3" t="s">
        <v>5989</v>
      </c>
      <c r="H315" s="3" t="str">
        <f>_xlfn.CONCAT("Output ",F315, ", from Structural Connector Server.")</f>
        <v>Output Latching mechanism PT, from Structural Connector Server.</v>
      </c>
    </row>
    <row r="316" spans="1:8" x14ac:dyDescent="0.25">
      <c r="A316" s="3" t="s">
        <v>6983</v>
      </c>
      <c r="B316" s="3" t="s">
        <v>6991</v>
      </c>
      <c r="C316" s="3" t="s">
        <v>6985</v>
      </c>
      <c r="D316" s="3" t="s">
        <v>6299</v>
      </c>
      <c r="E316" s="3">
        <v>315</v>
      </c>
      <c r="F316" s="3" t="s">
        <v>5100</v>
      </c>
      <c r="G316" s="3" t="s">
        <v>5990</v>
      </c>
      <c r="H316" s="3" t="str">
        <f t="shared" ref="H316:H379" si="0">_xlfn.CONCAT("Output ",F316, ", from Structural Connector Server.")</f>
        <v>Output Reconnontion Wnch Pay Rate, from Structural Connector Server.</v>
      </c>
    </row>
    <row r="317" spans="1:8" x14ac:dyDescent="0.25">
      <c r="A317" s="3" t="s">
        <v>6983</v>
      </c>
      <c r="B317" s="3" t="s">
        <v>6991</v>
      </c>
      <c r="C317" s="3" t="s">
        <v>6985</v>
      </c>
      <c r="D317" s="3" t="s">
        <v>6299</v>
      </c>
      <c r="E317" s="3">
        <v>316</v>
      </c>
      <c r="F317" s="3" t="s">
        <v>5101</v>
      </c>
      <c r="G317" s="3" t="s">
        <v>5990</v>
      </c>
      <c r="H317" s="3" t="str">
        <f t="shared" si="0"/>
        <v>Output Abandonment Winch Pay Rate, from Structural Connector Server.</v>
      </c>
    </row>
    <row r="318" spans="1:8" x14ac:dyDescent="0.25">
      <c r="A318" s="3" t="s">
        <v>6983</v>
      </c>
      <c r="B318" s="3" t="s">
        <v>6991</v>
      </c>
      <c r="C318" s="3" t="s">
        <v>6985</v>
      </c>
      <c r="D318" s="3" t="s">
        <v>6299</v>
      </c>
      <c r="E318" s="3">
        <v>317</v>
      </c>
      <c r="F318" s="3" t="s">
        <v>5102</v>
      </c>
      <c r="G318" s="3" t="s">
        <v>5990</v>
      </c>
      <c r="H318" s="3" t="str">
        <f t="shared" si="0"/>
        <v>Output Storage Winch Pay Rate, from Structural Connector Server.</v>
      </c>
    </row>
    <row r="319" spans="1:8" x14ac:dyDescent="0.25">
      <c r="A319" s="3" t="s">
        <v>6983</v>
      </c>
      <c r="B319" s="3" t="s">
        <v>6991</v>
      </c>
      <c r="C319" s="3" t="s">
        <v>6985</v>
      </c>
      <c r="D319" s="3" t="s">
        <v>6299</v>
      </c>
      <c r="E319" s="3">
        <v>318</v>
      </c>
      <c r="F319" s="3" t="s">
        <v>5103</v>
      </c>
      <c r="G319" s="3" t="s">
        <v>20</v>
      </c>
      <c r="H319" s="3" t="str">
        <f t="shared" si="0"/>
        <v>Output HPU Shutdown Confirmation, from Structural Connector Server.</v>
      </c>
    </row>
    <row r="320" spans="1:8" x14ac:dyDescent="0.25">
      <c r="A320" s="3" t="s">
        <v>6983</v>
      </c>
      <c r="B320" s="3" t="s">
        <v>6991</v>
      </c>
      <c r="C320" s="3" t="s">
        <v>6985</v>
      </c>
      <c r="D320" s="3" t="s">
        <v>6299</v>
      </c>
      <c r="E320" s="3">
        <v>319</v>
      </c>
      <c r="F320" s="3" t="s">
        <v>5104</v>
      </c>
      <c r="G320" s="3" t="s">
        <v>20</v>
      </c>
      <c r="H320" s="3" t="str">
        <f t="shared" si="0"/>
        <v>Output HPU Shutdown Command, from Structural Connector Server.</v>
      </c>
    </row>
    <row r="321" spans="1:8" x14ac:dyDescent="0.25">
      <c r="A321" s="3" t="s">
        <v>6983</v>
      </c>
      <c r="B321" s="3" t="s">
        <v>6991</v>
      </c>
      <c r="C321" s="3" t="s">
        <v>6985</v>
      </c>
      <c r="D321" s="3" t="s">
        <v>6299</v>
      </c>
      <c r="E321" s="3">
        <v>320</v>
      </c>
      <c r="F321" s="3" t="s">
        <v>5105</v>
      </c>
      <c r="G321" s="3" t="s">
        <v>5991</v>
      </c>
      <c r="H321" s="3" t="str">
        <f t="shared" si="0"/>
        <v>Output Load Cell Tension, from Structural Connector Server.</v>
      </c>
    </row>
    <row r="322" spans="1:8" x14ac:dyDescent="0.25">
      <c r="A322" s="3" t="s">
        <v>6983</v>
      </c>
      <c r="B322" s="3" t="s">
        <v>6991</v>
      </c>
      <c r="C322" s="3" t="s">
        <v>6985</v>
      </c>
      <c r="D322" s="3" t="s">
        <v>6299</v>
      </c>
      <c r="E322" s="3">
        <v>321</v>
      </c>
      <c r="F322" s="3" t="s">
        <v>5106</v>
      </c>
      <c r="G322" s="3" t="s">
        <v>5991</v>
      </c>
      <c r="H322" s="3" t="str">
        <f t="shared" si="0"/>
        <v>Output Mean Load Cell Tension, from Structural Connector Server.</v>
      </c>
    </row>
    <row r="323" spans="1:8" x14ac:dyDescent="0.25">
      <c r="A323" s="3" t="s">
        <v>6983</v>
      </c>
      <c r="B323" s="3" t="s">
        <v>6991</v>
      </c>
      <c r="C323" s="3" t="s">
        <v>6985</v>
      </c>
      <c r="D323" s="3" t="s">
        <v>6299</v>
      </c>
      <c r="E323" s="3">
        <v>322</v>
      </c>
      <c r="F323" s="3" t="s">
        <v>5107</v>
      </c>
      <c r="G323" s="3" t="s">
        <v>5991</v>
      </c>
      <c r="H323" s="3" t="str">
        <f t="shared" si="0"/>
        <v>Output Reconnection Winch Tension, from Structural Connector Server.</v>
      </c>
    </row>
    <row r="324" spans="1:8" x14ac:dyDescent="0.25">
      <c r="A324" s="3" t="s">
        <v>6983</v>
      </c>
      <c r="B324" s="3" t="s">
        <v>6991</v>
      </c>
      <c r="C324" s="3" t="s">
        <v>6985</v>
      </c>
      <c r="D324" s="3" t="s">
        <v>6299</v>
      </c>
      <c r="E324" s="3">
        <v>323</v>
      </c>
      <c r="F324" s="3" t="s">
        <v>5108</v>
      </c>
      <c r="G324" s="3" t="s">
        <v>5991</v>
      </c>
      <c r="H324" s="3" t="str">
        <f t="shared" si="0"/>
        <v>Output Abandonment Winch Tension, from Structural Connector Server.</v>
      </c>
    </row>
    <row r="325" spans="1:8" x14ac:dyDescent="0.25">
      <c r="A325" s="3" t="s">
        <v>6983</v>
      </c>
      <c r="B325" s="3" t="s">
        <v>6991</v>
      </c>
      <c r="C325" s="3" t="s">
        <v>6985</v>
      </c>
      <c r="D325" s="3" t="s">
        <v>6299</v>
      </c>
      <c r="E325" s="3">
        <v>324</v>
      </c>
      <c r="F325" s="3" t="s">
        <v>5109</v>
      </c>
      <c r="G325" s="3" t="s">
        <v>5991</v>
      </c>
      <c r="H325" s="3" t="str">
        <f t="shared" si="0"/>
        <v>Output Storage Winch Tension, from Structural Connector Server.</v>
      </c>
    </row>
    <row r="326" spans="1:8" x14ac:dyDescent="0.25">
      <c r="A326" s="3" t="s">
        <v>6983</v>
      </c>
      <c r="B326" s="3" t="s">
        <v>6991</v>
      </c>
      <c r="C326" s="3" t="s">
        <v>6985</v>
      </c>
      <c r="D326" s="3" t="s">
        <v>6299</v>
      </c>
      <c r="E326" s="3">
        <v>325</v>
      </c>
      <c r="F326" s="3" t="s">
        <v>5110</v>
      </c>
      <c r="G326" s="3" t="s">
        <v>20</v>
      </c>
      <c r="H326" s="3" t="str">
        <f t="shared" si="0"/>
        <v>Output HC Ready to Connect, from Structural Connector Server.</v>
      </c>
    </row>
    <row r="327" spans="1:8" x14ac:dyDescent="0.25">
      <c r="A327" s="3" t="s">
        <v>6983</v>
      </c>
      <c r="B327" s="3" t="s">
        <v>6991</v>
      </c>
      <c r="C327" s="3" t="s">
        <v>6985</v>
      </c>
      <c r="D327" s="3" t="s">
        <v>6299</v>
      </c>
      <c r="E327" s="3">
        <v>326</v>
      </c>
      <c r="F327" s="3" t="s">
        <v>5111</v>
      </c>
      <c r="G327" s="3" t="s">
        <v>20</v>
      </c>
      <c r="H327" s="3" t="str">
        <f t="shared" si="0"/>
        <v>Output HC Package Common Alarm, from Structural Connector Server.</v>
      </c>
    </row>
    <row r="328" spans="1:8" x14ac:dyDescent="0.25">
      <c r="A328" s="3" t="s">
        <v>6983</v>
      </c>
      <c r="B328" s="3" t="s">
        <v>6991</v>
      </c>
      <c r="C328" s="3" t="s">
        <v>6985</v>
      </c>
      <c r="D328" s="3" t="s">
        <v>6299</v>
      </c>
      <c r="E328" s="3">
        <v>327</v>
      </c>
      <c r="F328" s="3" t="s">
        <v>5112</v>
      </c>
      <c r="G328" s="3" t="s">
        <v>20</v>
      </c>
      <c r="H328" s="3" t="str">
        <f t="shared" si="0"/>
        <v>Output Winch Package Common Alarm, from Structural Connector Server.</v>
      </c>
    </row>
    <row r="329" spans="1:8" x14ac:dyDescent="0.25">
      <c r="A329" s="3" t="s">
        <v>6983</v>
      </c>
      <c r="B329" s="3" t="s">
        <v>6991</v>
      </c>
      <c r="C329" s="3" t="s">
        <v>6985</v>
      </c>
      <c r="D329" s="3" t="s">
        <v>6299</v>
      </c>
      <c r="E329" s="3">
        <v>328</v>
      </c>
      <c r="F329" s="3" t="s">
        <v>5113</v>
      </c>
      <c r="G329" s="3" t="s">
        <v>20</v>
      </c>
      <c r="H329" s="3" t="str">
        <f t="shared" si="0"/>
        <v>Output HPU Common Alarm, from Structural Connector Server.</v>
      </c>
    </row>
    <row r="330" spans="1:8" x14ac:dyDescent="0.25">
      <c r="A330" s="3" t="s">
        <v>6983</v>
      </c>
      <c r="B330" s="3" t="s">
        <v>6991</v>
      </c>
      <c r="C330" s="3" t="s">
        <v>6985</v>
      </c>
      <c r="D330" s="3" t="s">
        <v>6299</v>
      </c>
      <c r="E330" s="3">
        <v>329</v>
      </c>
      <c r="F330" s="3" t="s">
        <v>5114</v>
      </c>
      <c r="G330" s="3" t="s">
        <v>20</v>
      </c>
      <c r="H330" s="3" t="str">
        <f t="shared" si="0"/>
        <v>Output HPU Fault Condition, from Structural Connector Server.</v>
      </c>
    </row>
    <row r="331" spans="1:8" x14ac:dyDescent="0.25">
      <c r="A331" s="3" t="s">
        <v>6983</v>
      </c>
      <c r="B331" s="3" t="s">
        <v>6991</v>
      </c>
      <c r="C331" s="3" t="s">
        <v>6985</v>
      </c>
      <c r="D331" s="3" t="s">
        <v>6299</v>
      </c>
      <c r="E331" s="3">
        <v>330</v>
      </c>
      <c r="F331" s="3" t="s">
        <v>5115</v>
      </c>
      <c r="G331" s="3" t="s">
        <v>20</v>
      </c>
      <c r="H331" s="3" t="str">
        <f t="shared" si="0"/>
        <v>Output HC General Status, from Structural Connector Server.</v>
      </c>
    </row>
    <row r="332" spans="1:8" x14ac:dyDescent="0.25">
      <c r="A332" s="3" t="s">
        <v>6983</v>
      </c>
      <c r="B332" s="3" t="s">
        <v>6991</v>
      </c>
      <c r="C332" s="3" t="s">
        <v>6985</v>
      </c>
      <c r="D332" s="3" t="s">
        <v>6299</v>
      </c>
      <c r="E332" s="3">
        <v>331</v>
      </c>
      <c r="F332" s="3" t="s">
        <v>5116</v>
      </c>
      <c r="G332" s="3" t="s">
        <v>20</v>
      </c>
      <c r="H332" s="3" t="str">
        <f t="shared" si="0"/>
        <v>Output Heave Comp Ready Signal, from Structural Connector Server.</v>
      </c>
    </row>
    <row r="333" spans="1:8" x14ac:dyDescent="0.25">
      <c r="A333" s="3" t="s">
        <v>6983</v>
      </c>
      <c r="B333" s="3" t="s">
        <v>6991</v>
      </c>
      <c r="C333" s="3" t="s">
        <v>6985</v>
      </c>
      <c r="D333" s="3" t="s">
        <v>6299</v>
      </c>
      <c r="E333" s="3">
        <v>332</v>
      </c>
      <c r="F333" s="3" t="s">
        <v>5117</v>
      </c>
      <c r="G333" s="3" t="s">
        <v>20</v>
      </c>
      <c r="H333" s="3" t="str">
        <f t="shared" si="0"/>
        <v>Output Full Auto Heave Comp Mode, from Structural Connector Server.</v>
      </c>
    </row>
    <row r="334" spans="1:8" x14ac:dyDescent="0.25">
      <c r="A334" s="3" t="s">
        <v>6983</v>
      </c>
      <c r="B334" s="3" t="s">
        <v>6991</v>
      </c>
      <c r="C334" s="3" t="s">
        <v>6985</v>
      </c>
      <c r="D334" s="3" t="s">
        <v>6299</v>
      </c>
      <c r="E334" s="3">
        <v>333</v>
      </c>
      <c r="F334" s="3" t="s">
        <v>5118</v>
      </c>
      <c r="G334" s="3" t="s">
        <v>20</v>
      </c>
      <c r="H334" s="3" t="str">
        <f t="shared" si="0"/>
        <v>Output HC Fully Pressurized, from Structural Connector Server.</v>
      </c>
    </row>
    <row r="335" spans="1:8" x14ac:dyDescent="0.25">
      <c r="A335" s="3" t="s">
        <v>6983</v>
      </c>
      <c r="B335" s="3" t="s">
        <v>6991</v>
      </c>
      <c r="C335" s="3" t="s">
        <v>6985</v>
      </c>
      <c r="D335" s="3" t="s">
        <v>6299</v>
      </c>
      <c r="E335" s="3">
        <v>334</v>
      </c>
      <c r="F335" s="3" t="s">
        <v>5119</v>
      </c>
      <c r="G335" s="3" t="s">
        <v>20</v>
      </c>
      <c r="H335" s="3" t="str">
        <f t="shared" si="0"/>
        <v>Output Struct Connectors Latched, from Structural Connector Server.</v>
      </c>
    </row>
    <row r="336" spans="1:8" x14ac:dyDescent="0.25">
      <c r="A336" s="3" t="s">
        <v>6983</v>
      </c>
      <c r="B336" s="3" t="s">
        <v>6991</v>
      </c>
      <c r="C336" s="3" t="s">
        <v>6985</v>
      </c>
      <c r="D336" s="3" t="s">
        <v>6299</v>
      </c>
      <c r="E336" s="3">
        <v>335</v>
      </c>
      <c r="F336" s="3" t="s">
        <v>5120</v>
      </c>
      <c r="G336" s="3" t="s">
        <v>20</v>
      </c>
      <c r="H336" s="3" t="str">
        <f t="shared" si="0"/>
        <v>Output Package General Status, from Structural Connector Server.</v>
      </c>
    </row>
    <row r="337" spans="1:8" x14ac:dyDescent="0.25">
      <c r="A337" s="3" t="s">
        <v>6983</v>
      </c>
      <c r="B337" s="3" t="s">
        <v>6991</v>
      </c>
      <c r="C337" s="3" t="s">
        <v>6985</v>
      </c>
      <c r="D337" s="3" t="s">
        <v>6299</v>
      </c>
      <c r="E337" s="3">
        <v>336</v>
      </c>
      <c r="F337" s="3" t="s">
        <v>5121</v>
      </c>
      <c r="G337" s="3" t="s">
        <v>20</v>
      </c>
      <c r="H337" s="3" t="str">
        <f t="shared" si="0"/>
        <v>Output HPU System General, from Structural Connector Server.</v>
      </c>
    </row>
    <row r="338" spans="1:8" x14ac:dyDescent="0.25">
      <c r="A338" s="3" t="s">
        <v>6983</v>
      </c>
      <c r="B338" s="3" t="s">
        <v>6991</v>
      </c>
      <c r="C338" s="3" t="s">
        <v>6985</v>
      </c>
      <c r="D338" s="3" t="s">
        <v>6299</v>
      </c>
      <c r="E338" s="3">
        <v>337</v>
      </c>
      <c r="F338" s="3" t="s">
        <v>5122</v>
      </c>
      <c r="G338" s="3" t="s">
        <v>20</v>
      </c>
      <c r="H338" s="3" t="str">
        <f t="shared" si="0"/>
        <v>Output HPU Running Status Signal, from Structural Connector Server.</v>
      </c>
    </row>
    <row r="339" spans="1:8" x14ac:dyDescent="0.25">
      <c r="A339" s="3" t="s">
        <v>6983</v>
      </c>
      <c r="B339" s="3" t="s">
        <v>6991</v>
      </c>
      <c r="C339" s="3" t="s">
        <v>6985</v>
      </c>
      <c r="D339" s="3" t="s">
        <v>6299</v>
      </c>
      <c r="E339" s="3">
        <v>338</v>
      </c>
      <c r="F339" s="3" t="s">
        <v>6238</v>
      </c>
      <c r="G339" s="3" t="s">
        <v>20</v>
      </c>
      <c r="H339" s="3" t="str">
        <f t="shared" si="0"/>
        <v>Output Latching - retract (open), from Structural Connector Server.</v>
      </c>
    </row>
    <row r="340" spans="1:8" x14ac:dyDescent="0.25">
      <c r="A340" s="3" t="s">
        <v>6983</v>
      </c>
      <c r="B340" s="3" t="s">
        <v>6991</v>
      </c>
      <c r="C340" s="3" t="s">
        <v>6985</v>
      </c>
      <c r="D340" s="3" t="s">
        <v>6299</v>
      </c>
      <c r="E340" s="3">
        <v>339</v>
      </c>
      <c r="F340" s="3" t="s">
        <v>6239</v>
      </c>
      <c r="G340" s="3" t="s">
        <v>20</v>
      </c>
      <c r="H340" s="3" t="str">
        <f t="shared" si="0"/>
        <v>Output Latching - extend (closed), from Structural Connector Server.</v>
      </c>
    </row>
    <row r="341" spans="1:8" x14ac:dyDescent="0.25">
      <c r="A341" s="3" t="s">
        <v>6983</v>
      </c>
      <c r="B341" s="3" t="s">
        <v>6991</v>
      </c>
      <c r="C341" s="3" t="s">
        <v>6985</v>
      </c>
      <c r="D341" s="3" t="s">
        <v>6299</v>
      </c>
      <c r="E341" s="3">
        <v>340</v>
      </c>
      <c r="F341" s="3" t="s">
        <v>5123</v>
      </c>
      <c r="G341" s="3" t="s">
        <v>20</v>
      </c>
      <c r="H341" s="3" t="str">
        <f t="shared" si="0"/>
        <v>Output fld Stbplt #1 Open CMD, from Structural Connector Server.</v>
      </c>
    </row>
    <row r="342" spans="1:8" x14ac:dyDescent="0.25">
      <c r="A342" s="3" t="s">
        <v>6983</v>
      </c>
      <c r="B342" s="3" t="s">
        <v>6991</v>
      </c>
      <c r="C342" s="3" t="s">
        <v>6985</v>
      </c>
      <c r="D342" s="3" t="s">
        <v>6299</v>
      </c>
      <c r="E342" s="3">
        <v>341</v>
      </c>
      <c r="F342" s="3" t="s">
        <v>5124</v>
      </c>
      <c r="G342" s="3" t="s">
        <v>20</v>
      </c>
      <c r="H342" s="3" t="str">
        <f t="shared" si="0"/>
        <v>Output fld Stbplt #1 Close CMD, from Structural Connector Server.</v>
      </c>
    </row>
    <row r="343" spans="1:8" x14ac:dyDescent="0.25">
      <c r="A343" s="3" t="s">
        <v>6983</v>
      </c>
      <c r="B343" s="3" t="s">
        <v>6991</v>
      </c>
      <c r="C343" s="3" t="s">
        <v>6985</v>
      </c>
      <c r="D343" s="3" t="s">
        <v>6299</v>
      </c>
      <c r="E343" s="3">
        <v>342</v>
      </c>
      <c r="F343" s="3" t="s">
        <v>5125</v>
      </c>
      <c r="G343" s="3" t="s">
        <v>20</v>
      </c>
      <c r="H343" s="3" t="str">
        <f t="shared" si="0"/>
        <v>Output fld Stbplt #2 Open CMD, from Structural Connector Server.</v>
      </c>
    </row>
    <row r="344" spans="1:8" x14ac:dyDescent="0.25">
      <c r="A344" s="3" t="s">
        <v>6983</v>
      </c>
      <c r="B344" s="3" t="s">
        <v>6991</v>
      </c>
      <c r="C344" s="3" t="s">
        <v>6985</v>
      </c>
      <c r="D344" s="3" t="s">
        <v>6299</v>
      </c>
      <c r="E344" s="3">
        <v>343</v>
      </c>
      <c r="F344" s="3" t="s">
        <v>5126</v>
      </c>
      <c r="G344" s="3" t="s">
        <v>20</v>
      </c>
      <c r="H344" s="3" t="str">
        <f t="shared" si="0"/>
        <v>Output fld Stbplt #2 Close CMD, from Structural Connector Server.</v>
      </c>
    </row>
    <row r="345" spans="1:8" x14ac:dyDescent="0.25">
      <c r="A345" s="3" t="s">
        <v>6983</v>
      </c>
      <c r="B345" s="3" t="s">
        <v>6991</v>
      </c>
      <c r="C345" s="3" t="s">
        <v>6985</v>
      </c>
      <c r="D345" s="3" t="s">
        <v>6299</v>
      </c>
      <c r="E345" s="3">
        <v>344</v>
      </c>
      <c r="F345" s="3" t="s">
        <v>5127</v>
      </c>
      <c r="G345" s="3" t="s">
        <v>20</v>
      </c>
      <c r="H345" s="3" t="str">
        <f t="shared" si="0"/>
        <v>Output E&amp;I Stbplt #3 Open CMD, from Structural Connector Server.</v>
      </c>
    </row>
    <row r="346" spans="1:8" x14ac:dyDescent="0.25">
      <c r="A346" s="3" t="s">
        <v>6983</v>
      </c>
      <c r="B346" s="3" t="s">
        <v>6991</v>
      </c>
      <c r="C346" s="3" t="s">
        <v>6985</v>
      </c>
      <c r="D346" s="3" t="s">
        <v>6299</v>
      </c>
      <c r="E346" s="3">
        <v>345</v>
      </c>
      <c r="F346" s="3" t="s">
        <v>5128</v>
      </c>
      <c r="G346" s="3" t="s">
        <v>20</v>
      </c>
      <c r="H346" s="3" t="str">
        <f t="shared" si="0"/>
        <v>Output E&amp;I Stb plt #3 Close CMD, from Structural Connector Server.</v>
      </c>
    </row>
    <row r="347" spans="1:8" x14ac:dyDescent="0.25">
      <c r="A347" s="3" t="s">
        <v>6983</v>
      </c>
      <c r="B347" s="3" t="s">
        <v>6991</v>
      </c>
      <c r="C347" s="3" t="s">
        <v>6985</v>
      </c>
      <c r="D347" s="3" t="s">
        <v>6299</v>
      </c>
      <c r="E347" s="3">
        <v>346</v>
      </c>
      <c r="F347" s="3" t="s">
        <v>5129</v>
      </c>
      <c r="G347" s="3" t="s">
        <v>20</v>
      </c>
      <c r="H347" s="3" t="str">
        <f t="shared" si="0"/>
        <v>Output E&amp;I Stbplt #4 Open CMD, from Structural Connector Server.</v>
      </c>
    </row>
    <row r="348" spans="1:8" x14ac:dyDescent="0.25">
      <c r="A348" s="3" t="s">
        <v>6983</v>
      </c>
      <c r="B348" s="3" t="s">
        <v>6991</v>
      </c>
      <c r="C348" s="3" t="s">
        <v>6985</v>
      </c>
      <c r="D348" s="3" t="s">
        <v>6299</v>
      </c>
      <c r="E348" s="3">
        <v>347</v>
      </c>
      <c r="F348" s="3" t="s">
        <v>5130</v>
      </c>
      <c r="G348" s="3" t="s">
        <v>20</v>
      </c>
      <c r="H348" s="3" t="str">
        <f t="shared" si="0"/>
        <v>Output E&amp;I Stbplt #4 Close CMD, from Structural Connector Server.</v>
      </c>
    </row>
    <row r="349" spans="1:8" x14ac:dyDescent="0.25">
      <c r="A349" s="3" t="s">
        <v>6983</v>
      </c>
      <c r="B349" s="3" t="s">
        <v>6991</v>
      </c>
      <c r="C349" s="3" t="s">
        <v>6985</v>
      </c>
      <c r="D349" s="3" t="s">
        <v>6299</v>
      </c>
      <c r="E349" s="3">
        <v>348</v>
      </c>
      <c r="F349" s="3" t="s">
        <v>5131</v>
      </c>
      <c r="G349" s="3" t="s">
        <v>20</v>
      </c>
      <c r="H349" s="3" t="str">
        <f t="shared" si="0"/>
        <v>Output Reconn Winch GOPS Enabled, from Structural Connector Server.</v>
      </c>
    </row>
    <row r="350" spans="1:8" x14ac:dyDescent="0.25">
      <c r="A350" s="3" t="s">
        <v>6983</v>
      </c>
      <c r="B350" s="3" t="s">
        <v>6991</v>
      </c>
      <c r="C350" s="3" t="s">
        <v>6985</v>
      </c>
      <c r="D350" s="3" t="s">
        <v>6299</v>
      </c>
      <c r="E350" s="3">
        <v>349</v>
      </c>
      <c r="F350" s="3" t="s">
        <v>5132</v>
      </c>
      <c r="G350" s="3" t="s">
        <v>20</v>
      </c>
      <c r="H350" s="3" t="str">
        <f t="shared" si="0"/>
        <v>Output HPU Run Command 300bar, from Structural Connector Server.</v>
      </c>
    </row>
    <row r="351" spans="1:8" x14ac:dyDescent="0.25">
      <c r="A351" s="3" t="s">
        <v>6983</v>
      </c>
      <c r="B351" s="3" t="s">
        <v>6991</v>
      </c>
      <c r="C351" s="3" t="s">
        <v>6985</v>
      </c>
      <c r="D351" s="3" t="s">
        <v>6299</v>
      </c>
      <c r="E351" s="3">
        <v>350</v>
      </c>
      <c r="F351" s="3" t="s">
        <v>5133</v>
      </c>
      <c r="G351" s="3" t="s">
        <v>20</v>
      </c>
      <c r="H351" s="3" t="str">
        <f t="shared" si="0"/>
        <v>Output HPU 300bar Mode is Active, from Structural Connector Server.</v>
      </c>
    </row>
    <row r="352" spans="1:8" x14ac:dyDescent="0.25">
      <c r="A352" s="3" t="s">
        <v>6983</v>
      </c>
      <c r="B352" s="3" t="s">
        <v>6991</v>
      </c>
      <c r="C352" s="3" t="s">
        <v>6985</v>
      </c>
      <c r="D352" s="3" t="s">
        <v>6299</v>
      </c>
      <c r="E352" s="3">
        <v>351</v>
      </c>
      <c r="F352" s="3" t="s">
        <v>5134</v>
      </c>
      <c r="G352" s="3" t="s">
        <v>1093</v>
      </c>
      <c r="H352" s="3" t="str">
        <f t="shared" si="0"/>
        <v>Output Heave Arm Position, from Structural Connector Server.</v>
      </c>
    </row>
    <row r="353" spans="1:8" x14ac:dyDescent="0.25">
      <c r="A353" s="3" t="s">
        <v>6983</v>
      </c>
      <c r="B353" s="3" t="s">
        <v>6991</v>
      </c>
      <c r="C353" s="3" t="s">
        <v>6985</v>
      </c>
      <c r="D353" s="3" t="s">
        <v>6299</v>
      </c>
      <c r="E353" s="3">
        <v>352</v>
      </c>
      <c r="F353" s="3" t="s">
        <v>5135</v>
      </c>
      <c r="G353" s="3" t="s">
        <v>1093</v>
      </c>
      <c r="H353" s="3" t="str">
        <f t="shared" si="0"/>
        <v>Output Mean Heave Arm Position, from Structural Connector Server.</v>
      </c>
    </row>
    <row r="354" spans="1:8" x14ac:dyDescent="0.25">
      <c r="A354" s="3" t="s">
        <v>6983</v>
      </c>
      <c r="B354" s="3" t="s">
        <v>6991</v>
      </c>
      <c r="C354" s="3" t="s">
        <v>6985</v>
      </c>
      <c r="D354" s="3" t="s">
        <v>6299</v>
      </c>
      <c r="E354" s="3">
        <v>353</v>
      </c>
      <c r="F354" s="3" t="s">
        <v>5136</v>
      </c>
      <c r="G354" s="3" t="s">
        <v>20</v>
      </c>
      <c r="H354" s="3" t="str">
        <f t="shared" si="0"/>
        <v>Output Latching Dog 1 Extended, from Structural Connector Server.</v>
      </c>
    </row>
    <row r="355" spans="1:8" x14ac:dyDescent="0.25">
      <c r="A355" s="3" t="s">
        <v>6983</v>
      </c>
      <c r="B355" s="3" t="s">
        <v>6991</v>
      </c>
      <c r="C355" s="3" t="s">
        <v>6985</v>
      </c>
      <c r="D355" s="3" t="s">
        <v>6299</v>
      </c>
      <c r="E355" s="3">
        <v>354</v>
      </c>
      <c r="F355" s="3" t="s">
        <v>5137</v>
      </c>
      <c r="G355" s="3" t="s">
        <v>20</v>
      </c>
      <c r="H355" s="3" t="str">
        <f t="shared" si="0"/>
        <v>Output Latching Dog 2 Extended, from Structural Connector Server.</v>
      </c>
    </row>
    <row r="356" spans="1:8" x14ac:dyDescent="0.25">
      <c r="A356" s="3" t="s">
        <v>6983</v>
      </c>
      <c r="B356" s="3" t="s">
        <v>6991</v>
      </c>
      <c r="C356" s="3" t="s">
        <v>6985</v>
      </c>
      <c r="D356" s="3" t="s">
        <v>6299</v>
      </c>
      <c r="E356" s="3">
        <v>355</v>
      </c>
      <c r="F356" s="3" t="s">
        <v>5138</v>
      </c>
      <c r="G356" s="3" t="s">
        <v>20</v>
      </c>
      <c r="H356" s="3" t="str">
        <f t="shared" si="0"/>
        <v>Output Latching Dog 3 Extended, from Structural Connector Server.</v>
      </c>
    </row>
    <row r="357" spans="1:8" x14ac:dyDescent="0.25">
      <c r="A357" s="3" t="s">
        <v>6983</v>
      </c>
      <c r="B357" s="3" t="s">
        <v>6991</v>
      </c>
      <c r="C357" s="3" t="s">
        <v>6985</v>
      </c>
      <c r="D357" s="3" t="s">
        <v>6299</v>
      </c>
      <c r="E357" s="3">
        <v>356</v>
      </c>
      <c r="F357" s="3" t="s">
        <v>5139</v>
      </c>
      <c r="G357" s="3" t="s">
        <v>20</v>
      </c>
      <c r="H357" s="3" t="str">
        <f t="shared" si="0"/>
        <v>Output Latching Dog 4 Extended, from Structural Connector Server.</v>
      </c>
    </row>
    <row r="358" spans="1:8" x14ac:dyDescent="0.25">
      <c r="A358" s="3" t="s">
        <v>6983</v>
      </c>
      <c r="B358" s="3" t="s">
        <v>6991</v>
      </c>
      <c r="C358" s="3" t="s">
        <v>6985</v>
      </c>
      <c r="D358" s="3" t="s">
        <v>6299</v>
      </c>
      <c r="E358" s="3">
        <v>357</v>
      </c>
      <c r="F358" s="3" t="s">
        <v>5140</v>
      </c>
      <c r="G358" s="3" t="s">
        <v>20</v>
      </c>
      <c r="H358" s="3" t="str">
        <f t="shared" si="0"/>
        <v>Output Latching Dog 5 Extended, from Structural Connector Server.</v>
      </c>
    </row>
    <row r="359" spans="1:8" x14ac:dyDescent="0.25">
      <c r="A359" s="3" t="s">
        <v>6983</v>
      </c>
      <c r="B359" s="3" t="s">
        <v>6991</v>
      </c>
      <c r="C359" s="3" t="s">
        <v>6985</v>
      </c>
      <c r="D359" s="3" t="s">
        <v>6299</v>
      </c>
      <c r="E359" s="3">
        <v>358</v>
      </c>
      <c r="F359" s="3" t="s">
        <v>5141</v>
      </c>
      <c r="G359" s="3" t="s">
        <v>20</v>
      </c>
      <c r="H359" s="3" t="str">
        <f t="shared" si="0"/>
        <v>Output Latching Dog 6 Extended, from Structural Connector Server.</v>
      </c>
    </row>
    <row r="360" spans="1:8" x14ac:dyDescent="0.25">
      <c r="A360" s="3" t="s">
        <v>6983</v>
      </c>
      <c r="B360" s="3" t="s">
        <v>6991</v>
      </c>
      <c r="C360" s="3" t="s">
        <v>6985</v>
      </c>
      <c r="D360" s="3" t="s">
        <v>6299</v>
      </c>
      <c r="E360" s="3">
        <v>359</v>
      </c>
      <c r="F360" s="3" t="s">
        <v>5142</v>
      </c>
      <c r="G360" s="3" t="s">
        <v>20</v>
      </c>
      <c r="H360" s="3" t="str">
        <f t="shared" si="0"/>
        <v>Output Fld Stb Plate #1 Engaged, from Structural Connector Server.</v>
      </c>
    </row>
    <row r="361" spans="1:8" x14ac:dyDescent="0.25">
      <c r="A361" s="3" t="s">
        <v>6983</v>
      </c>
      <c r="B361" s="3" t="s">
        <v>6991</v>
      </c>
      <c r="C361" s="3" t="s">
        <v>6985</v>
      </c>
      <c r="D361" s="3" t="s">
        <v>6299</v>
      </c>
      <c r="E361" s="3">
        <v>360</v>
      </c>
      <c r="F361" s="3" t="s">
        <v>5143</v>
      </c>
      <c r="G361" s="3" t="s">
        <v>20</v>
      </c>
      <c r="H361" s="3" t="str">
        <f t="shared" si="0"/>
        <v>Output Fld Stb Plate #1 Locked, from Structural Connector Server.</v>
      </c>
    </row>
    <row r="362" spans="1:8" x14ac:dyDescent="0.25">
      <c r="A362" s="3" t="s">
        <v>6983</v>
      </c>
      <c r="B362" s="3" t="s">
        <v>6991</v>
      </c>
      <c r="C362" s="3" t="s">
        <v>6985</v>
      </c>
      <c r="D362" s="3" t="s">
        <v>6299</v>
      </c>
      <c r="E362" s="3">
        <v>361</v>
      </c>
      <c r="F362" s="3" t="s">
        <v>5144</v>
      </c>
      <c r="G362" s="3" t="s">
        <v>20</v>
      </c>
      <c r="H362" s="3" t="str">
        <f t="shared" si="0"/>
        <v>Output Fld Stb Plate #2 Engaged, from Structural Connector Server.</v>
      </c>
    </row>
    <row r="363" spans="1:8" x14ac:dyDescent="0.25">
      <c r="A363" s="3" t="s">
        <v>6983</v>
      </c>
      <c r="B363" s="3" t="s">
        <v>6991</v>
      </c>
      <c r="C363" s="3" t="s">
        <v>6985</v>
      </c>
      <c r="D363" s="3" t="s">
        <v>6299</v>
      </c>
      <c r="E363" s="3">
        <v>362</v>
      </c>
      <c r="F363" s="3" t="s">
        <v>5145</v>
      </c>
      <c r="G363" s="3" t="s">
        <v>20</v>
      </c>
      <c r="H363" s="3" t="str">
        <f t="shared" si="0"/>
        <v>Output Fld Stb Plate #2 Locked, from Structural Connector Server.</v>
      </c>
    </row>
    <row r="364" spans="1:8" x14ac:dyDescent="0.25">
      <c r="A364" s="3" t="s">
        <v>6983</v>
      </c>
      <c r="B364" s="3" t="s">
        <v>6991</v>
      </c>
      <c r="C364" s="3" t="s">
        <v>6985</v>
      </c>
      <c r="D364" s="3" t="s">
        <v>6299</v>
      </c>
      <c r="E364" s="3">
        <v>363</v>
      </c>
      <c r="F364" s="3" t="s">
        <v>5146</v>
      </c>
      <c r="G364" s="3" t="s">
        <v>20</v>
      </c>
      <c r="H364" s="3" t="str">
        <f t="shared" si="0"/>
        <v>Output E&amp;I Stb Plate #3 Engaged, from Structural Connector Server.</v>
      </c>
    </row>
    <row r="365" spans="1:8" x14ac:dyDescent="0.25">
      <c r="A365" s="3" t="s">
        <v>6983</v>
      </c>
      <c r="B365" s="3" t="s">
        <v>6991</v>
      </c>
      <c r="C365" s="3" t="s">
        <v>6985</v>
      </c>
      <c r="D365" s="3" t="s">
        <v>6299</v>
      </c>
      <c r="E365" s="3">
        <v>364</v>
      </c>
      <c r="F365" s="3" t="s">
        <v>5147</v>
      </c>
      <c r="G365" s="3" t="s">
        <v>20</v>
      </c>
      <c r="H365" s="3" t="str">
        <f t="shared" si="0"/>
        <v>Output E&amp;I Stb Plate #3 Locked, from Structural Connector Server.</v>
      </c>
    </row>
    <row r="366" spans="1:8" x14ac:dyDescent="0.25">
      <c r="A366" s="3" t="s">
        <v>6983</v>
      </c>
      <c r="B366" s="3" t="s">
        <v>6991</v>
      </c>
      <c r="C366" s="3" t="s">
        <v>6985</v>
      </c>
      <c r="D366" s="3" t="s">
        <v>6299</v>
      </c>
      <c r="E366" s="3">
        <v>365</v>
      </c>
      <c r="F366" s="3" t="s">
        <v>5148</v>
      </c>
      <c r="G366" s="3" t="s">
        <v>20</v>
      </c>
      <c r="H366" s="3" t="str">
        <f t="shared" si="0"/>
        <v>Output E&amp;I Stb Plate #4 Engaged, from Structural Connector Server.</v>
      </c>
    </row>
    <row r="367" spans="1:8" x14ac:dyDescent="0.25">
      <c r="A367" s="3" t="s">
        <v>6983</v>
      </c>
      <c r="B367" s="3" t="s">
        <v>6991</v>
      </c>
      <c r="C367" s="3" t="s">
        <v>6985</v>
      </c>
      <c r="D367" s="3" t="s">
        <v>6299</v>
      </c>
      <c r="E367" s="3">
        <v>366</v>
      </c>
      <c r="F367" s="3" t="s">
        <v>5149</v>
      </c>
      <c r="G367" s="3" t="s">
        <v>20</v>
      </c>
      <c r="H367" s="3" t="str">
        <f t="shared" si="0"/>
        <v>Output E&amp;I Stb Plate #4 Locked, from Structural Connector Server.</v>
      </c>
    </row>
    <row r="368" spans="1:8" x14ac:dyDescent="0.25">
      <c r="A368" s="3" t="s">
        <v>6983</v>
      </c>
      <c r="B368" s="3" t="s">
        <v>6991</v>
      </c>
      <c r="C368" s="3" t="s">
        <v>6985</v>
      </c>
      <c r="D368" s="3" t="s">
        <v>6299</v>
      </c>
      <c r="E368" s="3">
        <v>367</v>
      </c>
      <c r="F368" s="3" t="s">
        <v>5150</v>
      </c>
      <c r="G368" s="3" t="s">
        <v>20</v>
      </c>
      <c r="H368" s="3" t="str">
        <f t="shared" si="0"/>
        <v>Output Latching Dog 1 Retracted, from Structural Connector Server.</v>
      </c>
    </row>
    <row r="369" spans="1:8" x14ac:dyDescent="0.25">
      <c r="A369" s="3" t="s">
        <v>6983</v>
      </c>
      <c r="B369" s="3" t="s">
        <v>6991</v>
      </c>
      <c r="C369" s="3" t="s">
        <v>6985</v>
      </c>
      <c r="D369" s="3" t="s">
        <v>6299</v>
      </c>
      <c r="E369" s="3">
        <v>368</v>
      </c>
      <c r="F369" s="3" t="s">
        <v>5151</v>
      </c>
      <c r="G369" s="3" t="s">
        <v>20</v>
      </c>
      <c r="H369" s="3" t="str">
        <f t="shared" si="0"/>
        <v>Output Latching Dog 2 Retracted, from Structural Connector Server.</v>
      </c>
    </row>
    <row r="370" spans="1:8" x14ac:dyDescent="0.25">
      <c r="A370" s="3" t="s">
        <v>6983</v>
      </c>
      <c r="B370" s="3" t="s">
        <v>6991</v>
      </c>
      <c r="C370" s="3" t="s">
        <v>6985</v>
      </c>
      <c r="D370" s="3" t="s">
        <v>6299</v>
      </c>
      <c r="E370" s="3">
        <v>369</v>
      </c>
      <c r="F370" s="3" t="s">
        <v>5152</v>
      </c>
      <c r="G370" s="3" t="s">
        <v>20</v>
      </c>
      <c r="H370" s="3" t="str">
        <f t="shared" si="0"/>
        <v>Output Latching Dog 3 Retracted, from Structural Connector Server.</v>
      </c>
    </row>
    <row r="371" spans="1:8" x14ac:dyDescent="0.25">
      <c r="A371" s="3" t="s">
        <v>6983</v>
      </c>
      <c r="B371" s="3" t="s">
        <v>6991</v>
      </c>
      <c r="C371" s="3" t="s">
        <v>6985</v>
      </c>
      <c r="D371" s="3" t="s">
        <v>6299</v>
      </c>
      <c r="E371" s="3">
        <v>370</v>
      </c>
      <c r="F371" s="3" t="s">
        <v>5153</v>
      </c>
      <c r="G371" s="3" t="s">
        <v>20</v>
      </c>
      <c r="H371" s="3" t="str">
        <f t="shared" si="0"/>
        <v>Output Latching Dog 4 Retracted, from Structural Connector Server.</v>
      </c>
    </row>
    <row r="372" spans="1:8" x14ac:dyDescent="0.25">
      <c r="A372" s="3" t="s">
        <v>6983</v>
      </c>
      <c r="B372" s="3" t="s">
        <v>6991</v>
      </c>
      <c r="C372" s="3" t="s">
        <v>6985</v>
      </c>
      <c r="D372" s="3" t="s">
        <v>6299</v>
      </c>
      <c r="E372" s="3">
        <v>371</v>
      </c>
      <c r="F372" s="3" t="s">
        <v>5154</v>
      </c>
      <c r="G372" s="3" t="s">
        <v>20</v>
      </c>
      <c r="H372" s="3" t="str">
        <f t="shared" si="0"/>
        <v>Output Latching Dog 5 Retracted, from Structural Connector Server.</v>
      </c>
    </row>
    <row r="373" spans="1:8" x14ac:dyDescent="0.25">
      <c r="A373" s="3" t="s">
        <v>6983</v>
      </c>
      <c r="B373" s="3" t="s">
        <v>6991</v>
      </c>
      <c r="C373" s="3" t="s">
        <v>6985</v>
      </c>
      <c r="D373" s="3" t="s">
        <v>6299</v>
      </c>
      <c r="E373" s="3">
        <v>372</v>
      </c>
      <c r="F373" s="3" t="s">
        <v>5155</v>
      </c>
      <c r="G373" s="3" t="s">
        <v>20</v>
      </c>
      <c r="H373" s="3" t="str">
        <f t="shared" si="0"/>
        <v>Output Latching Dog6 Retracted, from Structural Connector Server.</v>
      </c>
    </row>
    <row r="374" spans="1:8" x14ac:dyDescent="0.25">
      <c r="A374" s="3" t="s">
        <v>6983</v>
      </c>
      <c r="B374" s="3" t="s">
        <v>6991</v>
      </c>
      <c r="C374" s="3" t="s">
        <v>6985</v>
      </c>
      <c r="D374" s="3" t="s">
        <v>6299</v>
      </c>
      <c r="E374" s="3">
        <v>373</v>
      </c>
      <c r="F374" s="3" t="s">
        <v>5156</v>
      </c>
      <c r="G374" s="3" t="s">
        <v>20</v>
      </c>
      <c r="H374" s="3" t="str">
        <f t="shared" si="0"/>
        <v>Output Fld Stb Plate #1 Retracted, from Structural Connector Server.</v>
      </c>
    </row>
    <row r="375" spans="1:8" x14ac:dyDescent="0.25">
      <c r="A375" s="3" t="s">
        <v>6983</v>
      </c>
      <c r="B375" s="3" t="s">
        <v>6991</v>
      </c>
      <c r="C375" s="3" t="s">
        <v>6985</v>
      </c>
      <c r="D375" s="3" t="s">
        <v>6299</v>
      </c>
      <c r="E375" s="3">
        <v>374</v>
      </c>
      <c r="F375" s="3" t="s">
        <v>5157</v>
      </c>
      <c r="G375" s="3" t="s">
        <v>20</v>
      </c>
      <c r="H375" s="3" t="str">
        <f t="shared" si="0"/>
        <v>Output Fld Stb Plate #1 Unlocked, from Structural Connector Server.</v>
      </c>
    </row>
    <row r="376" spans="1:8" x14ac:dyDescent="0.25">
      <c r="A376" s="3" t="s">
        <v>6983</v>
      </c>
      <c r="B376" s="3" t="s">
        <v>6991</v>
      </c>
      <c r="C376" s="3" t="s">
        <v>6985</v>
      </c>
      <c r="D376" s="3" t="s">
        <v>6299</v>
      </c>
      <c r="E376" s="3">
        <v>375</v>
      </c>
      <c r="F376" s="3" t="s">
        <v>5158</v>
      </c>
      <c r="G376" s="3" t="s">
        <v>20</v>
      </c>
      <c r="H376" s="3" t="str">
        <f t="shared" si="0"/>
        <v>Output Fld Stb Plate #2 Retracted, from Structural Connector Server.</v>
      </c>
    </row>
    <row r="377" spans="1:8" x14ac:dyDescent="0.25">
      <c r="A377" s="3" t="s">
        <v>6983</v>
      </c>
      <c r="B377" s="3" t="s">
        <v>6991</v>
      </c>
      <c r="C377" s="3" t="s">
        <v>6985</v>
      </c>
      <c r="D377" s="3" t="s">
        <v>6299</v>
      </c>
      <c r="E377" s="3">
        <v>376</v>
      </c>
      <c r="F377" s="3" t="s">
        <v>5159</v>
      </c>
      <c r="G377" s="3" t="s">
        <v>20</v>
      </c>
      <c r="H377" s="3" t="str">
        <f t="shared" si="0"/>
        <v>Output Fld Stb Plate #2 Unlocked, from Structural Connector Server.</v>
      </c>
    </row>
    <row r="378" spans="1:8" x14ac:dyDescent="0.25">
      <c r="A378" s="3" t="s">
        <v>6983</v>
      </c>
      <c r="B378" s="3" t="s">
        <v>6991</v>
      </c>
      <c r="C378" s="3" t="s">
        <v>6985</v>
      </c>
      <c r="D378" s="3" t="s">
        <v>6299</v>
      </c>
      <c r="E378" s="3">
        <v>377</v>
      </c>
      <c r="F378" s="3" t="s">
        <v>5160</v>
      </c>
      <c r="G378" s="3" t="s">
        <v>20</v>
      </c>
      <c r="H378" s="3" t="str">
        <f t="shared" si="0"/>
        <v>Output E&amp;I Stb Plate #3 Retracted, from Structural Connector Server.</v>
      </c>
    </row>
    <row r="379" spans="1:8" x14ac:dyDescent="0.25">
      <c r="A379" s="3" t="s">
        <v>6983</v>
      </c>
      <c r="B379" s="3" t="s">
        <v>6991</v>
      </c>
      <c r="C379" s="3" t="s">
        <v>6985</v>
      </c>
      <c r="D379" s="3" t="s">
        <v>6299</v>
      </c>
      <c r="E379" s="3">
        <v>378</v>
      </c>
      <c r="F379" s="3" t="s">
        <v>5161</v>
      </c>
      <c r="G379" s="3" t="s">
        <v>20</v>
      </c>
      <c r="H379" s="3" t="str">
        <f t="shared" si="0"/>
        <v>Output E&amp;I Stb Plate #3 Unlocked, from Structural Connector Server.</v>
      </c>
    </row>
    <row r="380" spans="1:8" x14ac:dyDescent="0.25">
      <c r="A380" s="3" t="s">
        <v>6983</v>
      </c>
      <c r="B380" s="3" t="s">
        <v>6991</v>
      </c>
      <c r="C380" s="3" t="s">
        <v>6985</v>
      </c>
      <c r="D380" s="3" t="s">
        <v>6299</v>
      </c>
      <c r="E380" s="3">
        <v>379</v>
      </c>
      <c r="F380" s="3" t="s">
        <v>5162</v>
      </c>
      <c r="G380" s="3" t="s">
        <v>20</v>
      </c>
      <c r="H380" s="3" t="str">
        <f t="shared" ref="H380:H443" si="1">_xlfn.CONCAT("Output ",F380, ", from Structural Connector Server.")</f>
        <v>Output E&amp;I Stb Plate #4 Retracted, from Structural Connector Server.</v>
      </c>
    </row>
    <row r="381" spans="1:8" x14ac:dyDescent="0.25">
      <c r="A381" s="3" t="s">
        <v>6983</v>
      </c>
      <c r="B381" s="3" t="s">
        <v>6991</v>
      </c>
      <c r="C381" s="3" t="s">
        <v>6985</v>
      </c>
      <c r="D381" s="3" t="s">
        <v>6299</v>
      </c>
      <c r="E381" s="3">
        <v>380</v>
      </c>
      <c r="F381" s="3" t="s">
        <v>5163</v>
      </c>
      <c r="G381" s="3" t="s">
        <v>20</v>
      </c>
      <c r="H381" s="3" t="str">
        <f t="shared" si="1"/>
        <v>Output E&amp;I Stb Plate #4 Unlocked, from Structural Connector Server.</v>
      </c>
    </row>
    <row r="382" spans="1:8" x14ac:dyDescent="0.25">
      <c r="A382" s="3" t="s">
        <v>6983</v>
      </c>
      <c r="B382" s="3" t="s">
        <v>6991</v>
      </c>
      <c r="C382" s="3" t="s">
        <v>6985</v>
      </c>
      <c r="D382" s="3" t="s">
        <v>6299</v>
      </c>
      <c r="E382" s="3">
        <v>381</v>
      </c>
      <c r="F382" s="3" t="s">
        <v>5164</v>
      </c>
      <c r="G382" s="3" t="s">
        <v>5992</v>
      </c>
      <c r="H382" s="3" t="str">
        <f t="shared" si="1"/>
        <v>Output RCW Wire Out, from Structural Connector Server.</v>
      </c>
    </row>
    <row r="383" spans="1:8" x14ac:dyDescent="0.25">
      <c r="A383" s="3" t="s">
        <v>6983</v>
      </c>
      <c r="B383" s="3" t="s">
        <v>6991</v>
      </c>
      <c r="C383" s="3" t="s">
        <v>6985</v>
      </c>
      <c r="D383" s="3" t="s">
        <v>6299</v>
      </c>
      <c r="E383" s="3">
        <v>382</v>
      </c>
      <c r="F383" s="3" t="s">
        <v>5165</v>
      </c>
      <c r="G383" s="3" t="s">
        <v>5992</v>
      </c>
      <c r="H383" s="3" t="str">
        <f t="shared" si="1"/>
        <v>Output ABW Wire Out, from Structural Connector Server.</v>
      </c>
    </row>
    <row r="384" spans="1:8" x14ac:dyDescent="0.25">
      <c r="A384" s="3" t="s">
        <v>6983</v>
      </c>
      <c r="B384" s="3" t="s">
        <v>6991</v>
      </c>
      <c r="C384" s="3" t="s">
        <v>6985</v>
      </c>
      <c r="D384" s="3" t="s">
        <v>6299</v>
      </c>
      <c r="E384" s="3">
        <v>383</v>
      </c>
      <c r="F384" s="3" t="s">
        <v>5166</v>
      </c>
      <c r="G384" s="3" t="s">
        <v>5992</v>
      </c>
      <c r="H384" s="3" t="str">
        <f t="shared" si="1"/>
        <v>Output SPW Wirw Out, from Structural Connector Server.</v>
      </c>
    </row>
    <row r="385" spans="1:8" x14ac:dyDescent="0.25">
      <c r="A385" s="3" t="s">
        <v>6983</v>
      </c>
      <c r="B385" s="3" t="s">
        <v>6991</v>
      </c>
      <c r="C385" s="3" t="s">
        <v>6985</v>
      </c>
      <c r="D385" s="3" t="s">
        <v>6299</v>
      </c>
      <c r="E385" s="3">
        <v>384</v>
      </c>
      <c r="F385" s="3" t="s">
        <v>5167</v>
      </c>
      <c r="G385" s="3" t="s">
        <v>20</v>
      </c>
      <c r="H385" s="3" t="str">
        <f t="shared" si="1"/>
        <v>Output SC Latch Perm Push Butt, from Structural Connector Server.</v>
      </c>
    </row>
    <row r="386" spans="1:8" x14ac:dyDescent="0.25">
      <c r="A386" s="3" t="s">
        <v>6983</v>
      </c>
      <c r="B386" s="3" t="s">
        <v>6991</v>
      </c>
      <c r="C386" s="3" t="s">
        <v>6985</v>
      </c>
      <c r="D386" s="3" t="s">
        <v>6240</v>
      </c>
      <c r="E386" s="3">
        <v>385</v>
      </c>
      <c r="F386" s="3" t="s">
        <v>5168</v>
      </c>
      <c r="G386" s="3" t="s">
        <v>5993</v>
      </c>
      <c r="H386" s="3" t="str">
        <f t="shared" si="1"/>
        <v>Output SC1 Oil Level, from Structural Connector Server.</v>
      </c>
    </row>
    <row r="387" spans="1:8" x14ac:dyDescent="0.25">
      <c r="A387" s="3" t="s">
        <v>6983</v>
      </c>
      <c r="B387" s="3" t="s">
        <v>6991</v>
      </c>
      <c r="C387" s="3" t="s">
        <v>6985</v>
      </c>
      <c r="D387" s="3" t="s">
        <v>6240</v>
      </c>
      <c r="E387" s="3">
        <v>386</v>
      </c>
      <c r="F387" s="3" t="s">
        <v>5169</v>
      </c>
      <c r="G387" s="3" t="s">
        <v>5993</v>
      </c>
      <c r="H387" s="3" t="str">
        <f t="shared" si="1"/>
        <v>Output SC2 Oil Level, from Structural Connector Server.</v>
      </c>
    </row>
    <row r="388" spans="1:8" x14ac:dyDescent="0.25">
      <c r="A388" s="3" t="s">
        <v>6983</v>
      </c>
      <c r="B388" s="3" t="s">
        <v>6991</v>
      </c>
      <c r="C388" s="3" t="s">
        <v>6985</v>
      </c>
      <c r="D388" s="3" t="s">
        <v>6240</v>
      </c>
      <c r="E388" s="3">
        <v>387</v>
      </c>
      <c r="F388" s="3" t="s">
        <v>5170</v>
      </c>
      <c r="G388" s="3" t="s">
        <v>5993</v>
      </c>
      <c r="H388" s="3" t="str">
        <f t="shared" si="1"/>
        <v>Output SC3 Oil Level, from Structural Connector Server.</v>
      </c>
    </row>
    <row r="389" spans="1:8" x14ac:dyDescent="0.25">
      <c r="A389" s="3" t="s">
        <v>6983</v>
      </c>
      <c r="B389" s="3" t="s">
        <v>6991</v>
      </c>
      <c r="C389" s="3" t="s">
        <v>6985</v>
      </c>
      <c r="D389" s="3" t="s">
        <v>6240</v>
      </c>
      <c r="E389" s="3">
        <v>388</v>
      </c>
      <c r="F389" s="3" t="s">
        <v>5171</v>
      </c>
      <c r="G389" s="3" t="s">
        <v>5993</v>
      </c>
      <c r="H389" s="3" t="str">
        <f t="shared" si="1"/>
        <v>Output SC4 Oil Level, from Structural Connector Server.</v>
      </c>
    </row>
    <row r="390" spans="1:8" x14ac:dyDescent="0.25">
      <c r="A390" s="3" t="s">
        <v>6983</v>
      </c>
      <c r="B390" s="3" t="s">
        <v>6991</v>
      </c>
      <c r="C390" s="3" t="s">
        <v>6985</v>
      </c>
      <c r="D390" s="3" t="s">
        <v>6240</v>
      </c>
      <c r="E390" s="3">
        <v>389</v>
      </c>
      <c r="F390" s="3" t="s">
        <v>5172</v>
      </c>
      <c r="G390" s="3" t="s">
        <v>5993</v>
      </c>
      <c r="H390" s="3" t="str">
        <f t="shared" si="1"/>
        <v>Output SC5 Oil Level, from Structural Connector Server.</v>
      </c>
    </row>
    <row r="391" spans="1:8" x14ac:dyDescent="0.25">
      <c r="A391" s="3" t="s">
        <v>6983</v>
      </c>
      <c r="B391" s="3" t="s">
        <v>6991</v>
      </c>
      <c r="C391" s="3" t="s">
        <v>6985</v>
      </c>
      <c r="D391" s="3" t="s">
        <v>6240</v>
      </c>
      <c r="E391" s="3">
        <v>390</v>
      </c>
      <c r="F391" s="3" t="s">
        <v>5173</v>
      </c>
      <c r="G391" s="3" t="s">
        <v>5993</v>
      </c>
      <c r="H391" s="3" t="str">
        <f t="shared" si="1"/>
        <v>Output SC6 Oil Level, from Structural Connector Server.</v>
      </c>
    </row>
    <row r="392" spans="1:8" x14ac:dyDescent="0.25">
      <c r="A392" s="3" t="s">
        <v>6983</v>
      </c>
      <c r="B392" s="3" t="s">
        <v>6991</v>
      </c>
      <c r="C392" s="3" t="s">
        <v>6985</v>
      </c>
      <c r="D392" s="3" t="s">
        <v>6240</v>
      </c>
      <c r="E392" s="3">
        <v>391</v>
      </c>
      <c r="F392" s="3" t="s">
        <v>5174</v>
      </c>
      <c r="G392" s="3" t="s">
        <v>5993</v>
      </c>
      <c r="H392" s="3" t="str">
        <f t="shared" si="1"/>
        <v>Output SC7 Oil Level, from Structural Connector Server.</v>
      </c>
    </row>
    <row r="393" spans="1:8" x14ac:dyDescent="0.25">
      <c r="A393" s="3" t="s">
        <v>6983</v>
      </c>
      <c r="B393" s="3" t="s">
        <v>6991</v>
      </c>
      <c r="C393" s="3" t="s">
        <v>6985</v>
      </c>
      <c r="D393" s="3" t="s">
        <v>6240</v>
      </c>
      <c r="E393" s="3">
        <v>392</v>
      </c>
      <c r="F393" s="3" t="s">
        <v>5175</v>
      </c>
      <c r="G393" s="3" t="s">
        <v>5993</v>
      </c>
      <c r="H393" s="3" t="str">
        <f t="shared" si="1"/>
        <v>Output SC8 Oil Level, from Structural Connector Server.</v>
      </c>
    </row>
    <row r="394" spans="1:8" x14ac:dyDescent="0.25">
      <c r="A394" s="3" t="s">
        <v>6983</v>
      </c>
      <c r="B394" s="3" t="s">
        <v>6991</v>
      </c>
      <c r="C394" s="3" t="s">
        <v>6985</v>
      </c>
      <c r="D394" s="3" t="s">
        <v>6240</v>
      </c>
      <c r="E394" s="3">
        <v>393</v>
      </c>
      <c r="F394" s="3" t="s">
        <v>5176</v>
      </c>
      <c r="G394" s="3" t="s">
        <v>5993</v>
      </c>
      <c r="H394" s="3" t="str">
        <f t="shared" si="1"/>
        <v>Output SC9 Oil Level, from Structural Connector Server.</v>
      </c>
    </row>
    <row r="395" spans="1:8" x14ac:dyDescent="0.25">
      <c r="A395" s="3" t="s">
        <v>6983</v>
      </c>
      <c r="B395" s="3" t="s">
        <v>6991</v>
      </c>
      <c r="C395" s="3" t="s">
        <v>6985</v>
      </c>
      <c r="D395" s="3" t="s">
        <v>6241</v>
      </c>
      <c r="E395" s="3">
        <v>394</v>
      </c>
      <c r="F395" s="3" t="s">
        <v>5177</v>
      </c>
      <c r="G395" s="3" t="s">
        <v>5989</v>
      </c>
      <c r="H395" s="3" t="str">
        <f t="shared" si="1"/>
        <v>Output SC1 Upper Main Jack PX, from Structural Connector Server.</v>
      </c>
    </row>
    <row r="396" spans="1:8" x14ac:dyDescent="0.25">
      <c r="A396" s="3" t="s">
        <v>6983</v>
      </c>
      <c r="B396" s="3" t="s">
        <v>6991</v>
      </c>
      <c r="C396" s="3" t="s">
        <v>6985</v>
      </c>
      <c r="D396" s="3" t="s">
        <v>6241</v>
      </c>
      <c r="E396" s="3">
        <v>395</v>
      </c>
      <c r="F396" s="3" t="s">
        <v>5178</v>
      </c>
      <c r="G396" s="3" t="s">
        <v>5989</v>
      </c>
      <c r="H396" s="3" t="str">
        <f t="shared" si="1"/>
        <v>Output SC1 Lower Main Jack PX, from Structural Connector Server.</v>
      </c>
    </row>
    <row r="397" spans="1:8" x14ac:dyDescent="0.25">
      <c r="A397" s="3" t="s">
        <v>6983</v>
      </c>
      <c r="B397" s="3" t="s">
        <v>6991</v>
      </c>
      <c r="C397" s="3" t="s">
        <v>6985</v>
      </c>
      <c r="D397" s="3" t="s">
        <v>6241</v>
      </c>
      <c r="E397" s="3">
        <v>396</v>
      </c>
      <c r="F397" s="3" t="s">
        <v>5179</v>
      </c>
      <c r="G397" s="3" t="s">
        <v>5989</v>
      </c>
      <c r="H397" s="3" t="str">
        <f t="shared" si="1"/>
        <v>Output SC1 Accumulator PX 1, from Structural Connector Server.</v>
      </c>
    </row>
    <row r="398" spans="1:8" x14ac:dyDescent="0.25">
      <c r="A398" s="3" t="s">
        <v>6983</v>
      </c>
      <c r="B398" s="3" t="s">
        <v>6991</v>
      </c>
      <c r="C398" s="3" t="s">
        <v>6985</v>
      </c>
      <c r="D398" s="3" t="s">
        <v>6241</v>
      </c>
      <c r="E398" s="3">
        <v>397</v>
      </c>
      <c r="F398" s="3" t="s">
        <v>5180</v>
      </c>
      <c r="G398" s="3" t="s">
        <v>5989</v>
      </c>
      <c r="H398" s="3" t="str">
        <f t="shared" si="1"/>
        <v>Output SC1 Accumulator PX 2, from Structural Connector Server.</v>
      </c>
    </row>
    <row r="399" spans="1:8" x14ac:dyDescent="0.25">
      <c r="A399" s="3" t="s">
        <v>6983</v>
      </c>
      <c r="B399" s="3" t="s">
        <v>6991</v>
      </c>
      <c r="C399" s="3" t="s">
        <v>6985</v>
      </c>
      <c r="D399" s="3" t="s">
        <v>6241</v>
      </c>
      <c r="E399" s="3">
        <v>398</v>
      </c>
      <c r="F399" s="3" t="s">
        <v>5181</v>
      </c>
      <c r="G399" s="3" t="s">
        <v>5989</v>
      </c>
      <c r="H399" s="3" t="str">
        <f t="shared" si="1"/>
        <v>Output SC1 Bck Release Accum PX, from Structural Connector Server.</v>
      </c>
    </row>
    <row r="400" spans="1:8" x14ac:dyDescent="0.25">
      <c r="A400" s="3" t="s">
        <v>6983</v>
      </c>
      <c r="B400" s="3" t="s">
        <v>6991</v>
      </c>
      <c r="C400" s="3" t="s">
        <v>6985</v>
      </c>
      <c r="D400" s="3" t="s">
        <v>6241</v>
      </c>
      <c r="E400" s="3">
        <v>399</v>
      </c>
      <c r="F400" s="3" t="s">
        <v>5182</v>
      </c>
      <c r="G400" s="3" t="s">
        <v>5989</v>
      </c>
      <c r="H400" s="3" t="str">
        <f t="shared" si="1"/>
        <v>Output SC1 Rotate Blk Dev Opr PX, from Structural Connector Server.</v>
      </c>
    </row>
    <row r="401" spans="1:8" x14ac:dyDescent="0.25">
      <c r="A401" s="3" t="s">
        <v>6983</v>
      </c>
      <c r="B401" s="3" t="s">
        <v>6991</v>
      </c>
      <c r="C401" s="3" t="s">
        <v>6985</v>
      </c>
      <c r="D401" s="3" t="s">
        <v>6241</v>
      </c>
      <c r="E401" s="3">
        <v>400</v>
      </c>
      <c r="F401" s="3" t="s">
        <v>5183</v>
      </c>
      <c r="G401" s="3" t="s">
        <v>5989</v>
      </c>
      <c r="H401" s="3" t="str">
        <f t="shared" si="1"/>
        <v>Output SC1 Discnxt Vlv Opr PX, from Structural Connector Server.</v>
      </c>
    </row>
    <row r="402" spans="1:8" x14ac:dyDescent="0.25">
      <c r="A402" s="3" t="s">
        <v>6983</v>
      </c>
      <c r="B402" s="3" t="s">
        <v>6991</v>
      </c>
      <c r="C402" s="3" t="s">
        <v>6985</v>
      </c>
      <c r="D402" s="3" t="s">
        <v>6241</v>
      </c>
      <c r="E402" s="3">
        <v>401</v>
      </c>
      <c r="F402" s="3" t="s">
        <v>5184</v>
      </c>
      <c r="G402" s="3" t="s">
        <v>5989</v>
      </c>
      <c r="H402" s="3" t="str">
        <f t="shared" si="1"/>
        <v>Output SC1 Main Accum 1 NI PX, from Structural Connector Server.</v>
      </c>
    </row>
    <row r="403" spans="1:8" x14ac:dyDescent="0.25">
      <c r="A403" s="3" t="s">
        <v>6983</v>
      </c>
      <c r="B403" s="3" t="s">
        <v>6991</v>
      </c>
      <c r="C403" s="3" t="s">
        <v>6985</v>
      </c>
      <c r="D403" s="3" t="s">
        <v>6241</v>
      </c>
      <c r="E403" s="3">
        <v>402</v>
      </c>
      <c r="F403" s="3" t="s">
        <v>5185</v>
      </c>
      <c r="G403" s="3" t="s">
        <v>5989</v>
      </c>
      <c r="H403" s="3" t="str">
        <f t="shared" si="1"/>
        <v>Output SC1 Main Accum 2 NI PX, from Structural Connector Server.</v>
      </c>
    </row>
    <row r="404" spans="1:8" x14ac:dyDescent="0.25">
      <c r="A404" s="3" t="s">
        <v>6983</v>
      </c>
      <c r="B404" s="3" t="s">
        <v>6991</v>
      </c>
      <c r="C404" s="3" t="s">
        <v>6985</v>
      </c>
      <c r="D404" s="3" t="s">
        <v>6241</v>
      </c>
      <c r="E404" s="3">
        <v>403</v>
      </c>
      <c r="F404" s="3" t="s">
        <v>5186</v>
      </c>
      <c r="G404" s="3" t="s">
        <v>5989</v>
      </c>
      <c r="H404" s="3" t="str">
        <f t="shared" si="1"/>
        <v>Output SC1 Main Accum 3 NI PX, from Structural Connector Server.</v>
      </c>
    </row>
    <row r="405" spans="1:8" x14ac:dyDescent="0.25">
      <c r="A405" s="3" t="s">
        <v>6983</v>
      </c>
      <c r="B405" s="3" t="s">
        <v>6991</v>
      </c>
      <c r="C405" s="3" t="s">
        <v>6985</v>
      </c>
      <c r="D405" s="3" t="s">
        <v>6241</v>
      </c>
      <c r="E405" s="3">
        <v>404</v>
      </c>
      <c r="F405" s="3" t="s">
        <v>5187</v>
      </c>
      <c r="G405" s="3" t="s">
        <v>5989</v>
      </c>
      <c r="H405" s="3" t="str">
        <f t="shared" si="1"/>
        <v>Output SC1 Hyd Blk 1 Opr PX, from Structural Connector Server.</v>
      </c>
    </row>
    <row r="406" spans="1:8" x14ac:dyDescent="0.25">
      <c r="A406" s="3" t="s">
        <v>6983</v>
      </c>
      <c r="B406" s="3" t="s">
        <v>6991</v>
      </c>
      <c r="C406" s="3" t="s">
        <v>6985</v>
      </c>
      <c r="D406" s="3" t="s">
        <v>6241</v>
      </c>
      <c r="E406" s="3">
        <v>405</v>
      </c>
      <c r="F406" s="3" t="s">
        <v>5188</v>
      </c>
      <c r="G406" s="3" t="s">
        <v>5989</v>
      </c>
      <c r="H406" s="3" t="str">
        <f t="shared" si="1"/>
        <v>Output SC1 Hyd Blk 2 Opr PX, from Structural Connector Server.</v>
      </c>
    </row>
    <row r="407" spans="1:8" x14ac:dyDescent="0.25">
      <c r="A407" s="3" t="s">
        <v>6983</v>
      </c>
      <c r="B407" s="3" t="s">
        <v>6991</v>
      </c>
      <c r="C407" s="3" t="s">
        <v>6985</v>
      </c>
      <c r="D407" s="3" t="s">
        <v>6241</v>
      </c>
      <c r="E407" s="3">
        <v>406</v>
      </c>
      <c r="F407" s="3" t="s">
        <v>5189</v>
      </c>
      <c r="G407" s="3" t="s">
        <v>5989</v>
      </c>
      <c r="H407" s="3" t="str">
        <f t="shared" si="1"/>
        <v>Output SC1 Hyd Blk 3 Opr PX, from Structural Connector Server.</v>
      </c>
    </row>
    <row r="408" spans="1:8" x14ac:dyDescent="0.25">
      <c r="A408" s="3" t="s">
        <v>6983</v>
      </c>
      <c r="B408" s="3" t="s">
        <v>6991</v>
      </c>
      <c r="C408" s="3" t="s">
        <v>6985</v>
      </c>
      <c r="D408" s="3" t="s">
        <v>6242</v>
      </c>
      <c r="E408" s="3">
        <v>407</v>
      </c>
      <c r="F408" s="3" t="s">
        <v>5190</v>
      </c>
      <c r="G408" s="3" t="s">
        <v>5989</v>
      </c>
      <c r="H408" s="3" t="str">
        <f t="shared" si="1"/>
        <v>Output SC2 Upper Main Jack PX, from Structural Connector Server.</v>
      </c>
    </row>
    <row r="409" spans="1:8" x14ac:dyDescent="0.25">
      <c r="A409" s="3" t="s">
        <v>6983</v>
      </c>
      <c r="B409" s="3" t="s">
        <v>6991</v>
      </c>
      <c r="C409" s="3" t="s">
        <v>6985</v>
      </c>
      <c r="D409" s="3" t="s">
        <v>6242</v>
      </c>
      <c r="E409" s="3">
        <v>408</v>
      </c>
      <c r="F409" s="3" t="s">
        <v>5191</v>
      </c>
      <c r="G409" s="3" t="s">
        <v>5989</v>
      </c>
      <c r="H409" s="3" t="str">
        <f t="shared" si="1"/>
        <v>Output SC2 Lower Main Jack PX, from Structural Connector Server.</v>
      </c>
    </row>
    <row r="410" spans="1:8" x14ac:dyDescent="0.25">
      <c r="A410" s="3" t="s">
        <v>6983</v>
      </c>
      <c r="B410" s="3" t="s">
        <v>6991</v>
      </c>
      <c r="C410" s="3" t="s">
        <v>6985</v>
      </c>
      <c r="D410" s="3" t="s">
        <v>6242</v>
      </c>
      <c r="E410" s="3">
        <v>409</v>
      </c>
      <c r="F410" s="3" t="s">
        <v>5192</v>
      </c>
      <c r="G410" s="3" t="s">
        <v>5989</v>
      </c>
      <c r="H410" s="3" t="str">
        <f t="shared" si="1"/>
        <v>Output SC2 Accumulator PX 1, from Structural Connector Server.</v>
      </c>
    </row>
    <row r="411" spans="1:8" x14ac:dyDescent="0.25">
      <c r="A411" s="3" t="s">
        <v>6983</v>
      </c>
      <c r="B411" s="3" t="s">
        <v>6991</v>
      </c>
      <c r="C411" s="3" t="s">
        <v>6985</v>
      </c>
      <c r="D411" s="3" t="s">
        <v>6242</v>
      </c>
      <c r="E411" s="3">
        <v>410</v>
      </c>
      <c r="F411" s="3" t="s">
        <v>5193</v>
      </c>
      <c r="G411" s="3" t="s">
        <v>5989</v>
      </c>
      <c r="H411" s="3" t="str">
        <f t="shared" si="1"/>
        <v>Output SC2 Accumulator PX 2, from Structural Connector Server.</v>
      </c>
    </row>
    <row r="412" spans="1:8" x14ac:dyDescent="0.25">
      <c r="A412" s="3" t="s">
        <v>6983</v>
      </c>
      <c r="B412" s="3" t="s">
        <v>6991</v>
      </c>
      <c r="C412" s="3" t="s">
        <v>6985</v>
      </c>
      <c r="D412" s="3" t="s">
        <v>6242</v>
      </c>
      <c r="E412" s="3">
        <v>411</v>
      </c>
      <c r="F412" s="3" t="s">
        <v>5194</v>
      </c>
      <c r="G412" s="3" t="s">
        <v>5989</v>
      </c>
      <c r="H412" s="3" t="str">
        <f t="shared" si="1"/>
        <v>Output SC2 Bck Release Accum PX, from Structural Connector Server.</v>
      </c>
    </row>
    <row r="413" spans="1:8" x14ac:dyDescent="0.25">
      <c r="A413" s="3" t="s">
        <v>6983</v>
      </c>
      <c r="B413" s="3" t="s">
        <v>6991</v>
      </c>
      <c r="C413" s="3" t="s">
        <v>6985</v>
      </c>
      <c r="D413" s="3" t="s">
        <v>6242</v>
      </c>
      <c r="E413" s="3">
        <v>412</v>
      </c>
      <c r="F413" s="3" t="s">
        <v>5195</v>
      </c>
      <c r="G413" s="3" t="s">
        <v>5989</v>
      </c>
      <c r="H413" s="3" t="str">
        <f t="shared" si="1"/>
        <v>Output SC2 Rotate Blk Dev Opr PX, from Structural Connector Server.</v>
      </c>
    </row>
    <row r="414" spans="1:8" x14ac:dyDescent="0.25">
      <c r="A414" s="3" t="s">
        <v>6983</v>
      </c>
      <c r="B414" s="3" t="s">
        <v>6991</v>
      </c>
      <c r="C414" s="3" t="s">
        <v>6985</v>
      </c>
      <c r="D414" s="3" t="s">
        <v>6242</v>
      </c>
      <c r="E414" s="3">
        <v>413</v>
      </c>
      <c r="F414" s="3" t="s">
        <v>5196</v>
      </c>
      <c r="G414" s="3" t="s">
        <v>5989</v>
      </c>
      <c r="H414" s="3" t="str">
        <f t="shared" si="1"/>
        <v>Output SC2 Dscnxt Vlv Opr PX, from Structural Connector Server.</v>
      </c>
    </row>
    <row r="415" spans="1:8" x14ac:dyDescent="0.25">
      <c r="A415" s="3" t="s">
        <v>6983</v>
      </c>
      <c r="B415" s="3" t="s">
        <v>6991</v>
      </c>
      <c r="C415" s="3" t="s">
        <v>6985</v>
      </c>
      <c r="D415" s="3" t="s">
        <v>6242</v>
      </c>
      <c r="E415" s="3">
        <v>414</v>
      </c>
      <c r="F415" s="3" t="s">
        <v>5197</v>
      </c>
      <c r="G415" s="3" t="s">
        <v>5989</v>
      </c>
      <c r="H415" s="3" t="str">
        <f t="shared" si="1"/>
        <v>Output SC2 Main Accum 1 NI PX, from Structural Connector Server.</v>
      </c>
    </row>
    <row r="416" spans="1:8" x14ac:dyDescent="0.25">
      <c r="A416" s="3" t="s">
        <v>6983</v>
      </c>
      <c r="B416" s="3" t="s">
        <v>6991</v>
      </c>
      <c r="C416" s="3" t="s">
        <v>6985</v>
      </c>
      <c r="D416" s="3" t="s">
        <v>6242</v>
      </c>
      <c r="E416" s="3">
        <v>415</v>
      </c>
      <c r="F416" s="3" t="s">
        <v>5198</v>
      </c>
      <c r="G416" s="3" t="s">
        <v>5989</v>
      </c>
      <c r="H416" s="3" t="str">
        <f t="shared" si="1"/>
        <v>Output SC2 Main Accum 2 NI PX, from Structural Connector Server.</v>
      </c>
    </row>
    <row r="417" spans="1:8" x14ac:dyDescent="0.25">
      <c r="A417" s="3" t="s">
        <v>6983</v>
      </c>
      <c r="B417" s="3" t="s">
        <v>6991</v>
      </c>
      <c r="C417" s="3" t="s">
        <v>6985</v>
      </c>
      <c r="D417" s="3" t="s">
        <v>6242</v>
      </c>
      <c r="E417" s="3">
        <v>416</v>
      </c>
      <c r="F417" s="3" t="s">
        <v>5199</v>
      </c>
      <c r="G417" s="3" t="s">
        <v>5989</v>
      </c>
      <c r="H417" s="3" t="str">
        <f t="shared" si="1"/>
        <v>Output SC2 Main Accum 3 NI PX, from Structural Connector Server.</v>
      </c>
    </row>
    <row r="418" spans="1:8" x14ac:dyDescent="0.25">
      <c r="A418" s="3" t="s">
        <v>6983</v>
      </c>
      <c r="B418" s="3" t="s">
        <v>6991</v>
      </c>
      <c r="C418" s="3" t="s">
        <v>6985</v>
      </c>
      <c r="D418" s="3" t="s">
        <v>6242</v>
      </c>
      <c r="E418" s="3">
        <v>417</v>
      </c>
      <c r="F418" s="3" t="s">
        <v>5200</v>
      </c>
      <c r="G418" s="3" t="s">
        <v>5989</v>
      </c>
      <c r="H418" s="3" t="str">
        <f t="shared" si="1"/>
        <v>Output SC2 Hyd Blk 1 Opr PX, from Structural Connector Server.</v>
      </c>
    </row>
    <row r="419" spans="1:8" x14ac:dyDescent="0.25">
      <c r="A419" s="3" t="s">
        <v>6983</v>
      </c>
      <c r="B419" s="3" t="s">
        <v>6991</v>
      </c>
      <c r="C419" s="3" t="s">
        <v>6985</v>
      </c>
      <c r="D419" s="3" t="s">
        <v>6242</v>
      </c>
      <c r="E419" s="3">
        <v>418</v>
      </c>
      <c r="F419" s="3" t="s">
        <v>5201</v>
      </c>
      <c r="G419" s="3" t="s">
        <v>5989</v>
      </c>
      <c r="H419" s="3" t="str">
        <f t="shared" si="1"/>
        <v>Output SC2 Hyd Blk 2 Opr PX, from Structural Connector Server.</v>
      </c>
    </row>
    <row r="420" spans="1:8" x14ac:dyDescent="0.25">
      <c r="A420" s="3" t="s">
        <v>6983</v>
      </c>
      <c r="B420" s="3" t="s">
        <v>6991</v>
      </c>
      <c r="C420" s="3" t="s">
        <v>6985</v>
      </c>
      <c r="D420" s="3" t="s">
        <v>6242</v>
      </c>
      <c r="E420" s="3">
        <v>419</v>
      </c>
      <c r="F420" s="3" t="s">
        <v>5202</v>
      </c>
      <c r="G420" s="3" t="s">
        <v>5989</v>
      </c>
      <c r="H420" s="3" t="str">
        <f t="shared" si="1"/>
        <v>Output SC2 Hyd Blk 3 Opr PX, from Structural Connector Server.</v>
      </c>
    </row>
    <row r="421" spans="1:8" x14ac:dyDescent="0.25">
      <c r="A421" s="3" t="s">
        <v>6983</v>
      </c>
      <c r="B421" s="3" t="s">
        <v>6991</v>
      </c>
      <c r="C421" s="3" t="s">
        <v>6985</v>
      </c>
      <c r="D421" s="3" t="s">
        <v>6243</v>
      </c>
      <c r="E421" s="3">
        <v>420</v>
      </c>
      <c r="F421" s="3" t="s">
        <v>5203</v>
      </c>
      <c r="G421" s="3" t="s">
        <v>5989</v>
      </c>
      <c r="H421" s="3" t="str">
        <f t="shared" si="1"/>
        <v>Output SC3 Upper Main Jack PX, from Structural Connector Server.</v>
      </c>
    </row>
    <row r="422" spans="1:8" x14ac:dyDescent="0.25">
      <c r="A422" s="3" t="s">
        <v>6983</v>
      </c>
      <c r="B422" s="3" t="s">
        <v>6991</v>
      </c>
      <c r="C422" s="3" t="s">
        <v>6985</v>
      </c>
      <c r="D422" s="3" t="s">
        <v>6243</v>
      </c>
      <c r="E422" s="3">
        <v>421</v>
      </c>
      <c r="F422" s="3" t="s">
        <v>5204</v>
      </c>
      <c r="G422" s="3" t="s">
        <v>5989</v>
      </c>
      <c r="H422" s="3" t="str">
        <f t="shared" si="1"/>
        <v>Output SC3 Lower Main Jack PX, from Structural Connector Server.</v>
      </c>
    </row>
    <row r="423" spans="1:8" x14ac:dyDescent="0.25">
      <c r="A423" s="3" t="s">
        <v>6983</v>
      </c>
      <c r="B423" s="3" t="s">
        <v>6991</v>
      </c>
      <c r="C423" s="3" t="s">
        <v>6985</v>
      </c>
      <c r="D423" s="3" t="s">
        <v>6243</v>
      </c>
      <c r="E423" s="3">
        <v>422</v>
      </c>
      <c r="F423" s="3" t="s">
        <v>5205</v>
      </c>
      <c r="G423" s="3" t="s">
        <v>5989</v>
      </c>
      <c r="H423" s="3" t="str">
        <f t="shared" si="1"/>
        <v>Output SC3 Accumulator PX 1, from Structural Connector Server.</v>
      </c>
    </row>
    <row r="424" spans="1:8" x14ac:dyDescent="0.25">
      <c r="A424" s="3" t="s">
        <v>6983</v>
      </c>
      <c r="B424" s="3" t="s">
        <v>6991</v>
      </c>
      <c r="C424" s="3" t="s">
        <v>6985</v>
      </c>
      <c r="D424" s="3" t="s">
        <v>6243</v>
      </c>
      <c r="E424" s="3">
        <v>423</v>
      </c>
      <c r="F424" s="3" t="s">
        <v>5206</v>
      </c>
      <c r="G424" s="3" t="s">
        <v>5989</v>
      </c>
      <c r="H424" s="3" t="str">
        <f t="shared" si="1"/>
        <v>Output SC3 Accumulator PX 2, from Structural Connector Server.</v>
      </c>
    </row>
    <row r="425" spans="1:8" x14ac:dyDescent="0.25">
      <c r="A425" s="3" t="s">
        <v>6983</v>
      </c>
      <c r="B425" s="3" t="s">
        <v>6991</v>
      </c>
      <c r="C425" s="3" t="s">
        <v>6985</v>
      </c>
      <c r="D425" s="3" t="s">
        <v>6243</v>
      </c>
      <c r="E425" s="3">
        <v>424</v>
      </c>
      <c r="F425" s="3" t="s">
        <v>5207</v>
      </c>
      <c r="G425" s="3" t="s">
        <v>5989</v>
      </c>
      <c r="H425" s="3" t="str">
        <f t="shared" si="1"/>
        <v>Output SC3 Bck Release Accum PX, from Structural Connector Server.</v>
      </c>
    </row>
    <row r="426" spans="1:8" x14ac:dyDescent="0.25">
      <c r="A426" s="3" t="s">
        <v>6983</v>
      </c>
      <c r="B426" s="3" t="s">
        <v>6991</v>
      </c>
      <c r="C426" s="3" t="s">
        <v>6985</v>
      </c>
      <c r="D426" s="3" t="s">
        <v>6243</v>
      </c>
      <c r="E426" s="3">
        <v>425</v>
      </c>
      <c r="F426" s="3" t="s">
        <v>5208</v>
      </c>
      <c r="G426" s="3" t="s">
        <v>5989</v>
      </c>
      <c r="H426" s="3" t="str">
        <f t="shared" si="1"/>
        <v>Output SC3 Rotate Blk Dev Opr PX, from Structural Connector Server.</v>
      </c>
    </row>
    <row r="427" spans="1:8" x14ac:dyDescent="0.25">
      <c r="A427" s="3" t="s">
        <v>6983</v>
      </c>
      <c r="B427" s="3" t="s">
        <v>6991</v>
      </c>
      <c r="C427" s="3" t="s">
        <v>6985</v>
      </c>
      <c r="D427" s="3" t="s">
        <v>6243</v>
      </c>
      <c r="E427" s="3">
        <v>426</v>
      </c>
      <c r="F427" s="3" t="s">
        <v>5209</v>
      </c>
      <c r="G427" s="3" t="s">
        <v>5989</v>
      </c>
      <c r="H427" s="3" t="str">
        <f t="shared" si="1"/>
        <v>Output SC3 Discnxt Vlv Opr PX, from Structural Connector Server.</v>
      </c>
    </row>
    <row r="428" spans="1:8" x14ac:dyDescent="0.25">
      <c r="A428" s="3" t="s">
        <v>6983</v>
      </c>
      <c r="B428" s="3" t="s">
        <v>6991</v>
      </c>
      <c r="C428" s="3" t="s">
        <v>6985</v>
      </c>
      <c r="D428" s="3" t="s">
        <v>6243</v>
      </c>
      <c r="E428" s="3">
        <v>427</v>
      </c>
      <c r="F428" s="3" t="s">
        <v>5210</v>
      </c>
      <c r="G428" s="3" t="s">
        <v>5989</v>
      </c>
      <c r="H428" s="3" t="str">
        <f t="shared" si="1"/>
        <v>Output SC3 Main Accum 1 NI PX, from Structural Connector Server.</v>
      </c>
    </row>
    <row r="429" spans="1:8" x14ac:dyDescent="0.25">
      <c r="A429" s="3" t="s">
        <v>6983</v>
      </c>
      <c r="B429" s="3" t="s">
        <v>6991</v>
      </c>
      <c r="C429" s="3" t="s">
        <v>6985</v>
      </c>
      <c r="D429" s="3" t="s">
        <v>6243</v>
      </c>
      <c r="E429" s="3">
        <v>428</v>
      </c>
      <c r="F429" s="3" t="s">
        <v>5211</v>
      </c>
      <c r="G429" s="3" t="s">
        <v>5989</v>
      </c>
      <c r="H429" s="3" t="str">
        <f t="shared" si="1"/>
        <v>Output SC3 Main Accum 2 NI PX, from Structural Connector Server.</v>
      </c>
    </row>
    <row r="430" spans="1:8" x14ac:dyDescent="0.25">
      <c r="A430" s="3" t="s">
        <v>6983</v>
      </c>
      <c r="B430" s="3" t="s">
        <v>6991</v>
      </c>
      <c r="C430" s="3" t="s">
        <v>6985</v>
      </c>
      <c r="D430" s="3" t="s">
        <v>6243</v>
      </c>
      <c r="E430" s="3">
        <v>429</v>
      </c>
      <c r="F430" s="3" t="s">
        <v>5212</v>
      </c>
      <c r="G430" s="3" t="s">
        <v>5989</v>
      </c>
      <c r="H430" s="3" t="str">
        <f t="shared" si="1"/>
        <v>Output SC3 Main Accum 3 NI PX, from Structural Connector Server.</v>
      </c>
    </row>
    <row r="431" spans="1:8" x14ac:dyDescent="0.25">
      <c r="A431" s="3" t="s">
        <v>6983</v>
      </c>
      <c r="B431" s="3" t="s">
        <v>6991</v>
      </c>
      <c r="C431" s="3" t="s">
        <v>6985</v>
      </c>
      <c r="D431" s="3" t="s">
        <v>6243</v>
      </c>
      <c r="E431" s="3">
        <v>430</v>
      </c>
      <c r="F431" s="3" t="s">
        <v>5213</v>
      </c>
      <c r="G431" s="3" t="s">
        <v>5989</v>
      </c>
      <c r="H431" s="3" t="str">
        <f t="shared" si="1"/>
        <v>Output SC3 Hyd Blk 1 Opr PX, from Structural Connector Server.</v>
      </c>
    </row>
    <row r="432" spans="1:8" x14ac:dyDescent="0.25">
      <c r="A432" s="3" t="s">
        <v>6983</v>
      </c>
      <c r="B432" s="3" t="s">
        <v>6991</v>
      </c>
      <c r="C432" s="3" t="s">
        <v>6985</v>
      </c>
      <c r="D432" s="3" t="s">
        <v>6243</v>
      </c>
      <c r="E432" s="3">
        <v>431</v>
      </c>
      <c r="F432" s="3" t="s">
        <v>5214</v>
      </c>
      <c r="G432" s="3" t="s">
        <v>5989</v>
      </c>
      <c r="H432" s="3" t="str">
        <f t="shared" si="1"/>
        <v>Output SC3 Hyd Blk 2 Opr PX, from Structural Connector Server.</v>
      </c>
    </row>
    <row r="433" spans="1:8" x14ac:dyDescent="0.25">
      <c r="A433" s="3" t="s">
        <v>6983</v>
      </c>
      <c r="B433" s="3" t="s">
        <v>6991</v>
      </c>
      <c r="C433" s="3" t="s">
        <v>6985</v>
      </c>
      <c r="D433" s="3" t="s">
        <v>6243</v>
      </c>
      <c r="E433" s="3">
        <v>432</v>
      </c>
      <c r="F433" s="3" t="s">
        <v>5215</v>
      </c>
      <c r="G433" s="3" t="s">
        <v>5989</v>
      </c>
      <c r="H433" s="3" t="str">
        <f t="shared" si="1"/>
        <v>Output SC3 Hyd Blk 3 Opr PX, from Structural Connector Server.</v>
      </c>
    </row>
    <row r="434" spans="1:8" x14ac:dyDescent="0.25">
      <c r="A434" s="3" t="s">
        <v>6983</v>
      </c>
      <c r="B434" s="3" t="s">
        <v>6991</v>
      </c>
      <c r="C434" s="3" t="s">
        <v>6985</v>
      </c>
      <c r="D434" s="3" t="s">
        <v>6244</v>
      </c>
      <c r="E434" s="3">
        <v>433</v>
      </c>
      <c r="F434" s="3" t="s">
        <v>5216</v>
      </c>
      <c r="G434" s="3" t="s">
        <v>5989</v>
      </c>
      <c r="H434" s="3" t="str">
        <f t="shared" si="1"/>
        <v>Output SC4 Upper Main Jack PX, from Structural Connector Server.</v>
      </c>
    </row>
    <row r="435" spans="1:8" x14ac:dyDescent="0.25">
      <c r="A435" s="3" t="s">
        <v>6983</v>
      </c>
      <c r="B435" s="3" t="s">
        <v>6991</v>
      </c>
      <c r="C435" s="3" t="s">
        <v>6985</v>
      </c>
      <c r="D435" s="3" t="s">
        <v>6244</v>
      </c>
      <c r="E435" s="3">
        <v>434</v>
      </c>
      <c r="F435" s="3" t="s">
        <v>5217</v>
      </c>
      <c r="G435" s="3" t="s">
        <v>5989</v>
      </c>
      <c r="H435" s="3" t="str">
        <f t="shared" si="1"/>
        <v>Output SC4 Lower Main Jack PX, from Structural Connector Server.</v>
      </c>
    </row>
    <row r="436" spans="1:8" x14ac:dyDescent="0.25">
      <c r="A436" s="3" t="s">
        <v>6983</v>
      </c>
      <c r="B436" s="3" t="s">
        <v>6991</v>
      </c>
      <c r="C436" s="3" t="s">
        <v>6985</v>
      </c>
      <c r="D436" s="3" t="s">
        <v>6244</v>
      </c>
      <c r="E436" s="3">
        <v>435</v>
      </c>
      <c r="F436" s="3" t="s">
        <v>5218</v>
      </c>
      <c r="G436" s="3" t="s">
        <v>5989</v>
      </c>
      <c r="H436" s="3" t="str">
        <f t="shared" si="1"/>
        <v>Output SC4 Accumulator PX 1, from Structural Connector Server.</v>
      </c>
    </row>
    <row r="437" spans="1:8" x14ac:dyDescent="0.25">
      <c r="A437" s="3" t="s">
        <v>6983</v>
      </c>
      <c r="B437" s="3" t="s">
        <v>6991</v>
      </c>
      <c r="C437" s="3" t="s">
        <v>6985</v>
      </c>
      <c r="D437" s="3" t="s">
        <v>6244</v>
      </c>
      <c r="E437" s="3">
        <v>436</v>
      </c>
      <c r="F437" s="3" t="s">
        <v>5219</v>
      </c>
      <c r="G437" s="3" t="s">
        <v>5989</v>
      </c>
      <c r="H437" s="3" t="str">
        <f t="shared" si="1"/>
        <v>Output SC4 Accumulator PX 2, from Structural Connector Server.</v>
      </c>
    </row>
    <row r="438" spans="1:8" x14ac:dyDescent="0.25">
      <c r="A438" s="3" t="s">
        <v>6983</v>
      </c>
      <c r="B438" s="3" t="s">
        <v>6991</v>
      </c>
      <c r="C438" s="3" t="s">
        <v>6985</v>
      </c>
      <c r="D438" s="3" t="s">
        <v>6244</v>
      </c>
      <c r="E438" s="3">
        <v>437</v>
      </c>
      <c r="F438" s="3" t="s">
        <v>5220</v>
      </c>
      <c r="G438" s="3" t="s">
        <v>5989</v>
      </c>
      <c r="H438" s="3" t="str">
        <f t="shared" si="1"/>
        <v>Output SC4 Bck Release Accum PX, from Structural Connector Server.</v>
      </c>
    </row>
    <row r="439" spans="1:8" x14ac:dyDescent="0.25">
      <c r="A439" s="3" t="s">
        <v>6983</v>
      </c>
      <c r="B439" s="3" t="s">
        <v>6991</v>
      </c>
      <c r="C439" s="3" t="s">
        <v>6985</v>
      </c>
      <c r="D439" s="3" t="s">
        <v>6244</v>
      </c>
      <c r="E439" s="3">
        <v>438</v>
      </c>
      <c r="F439" s="3" t="s">
        <v>5221</v>
      </c>
      <c r="G439" s="3" t="s">
        <v>5989</v>
      </c>
      <c r="H439" s="3" t="str">
        <f t="shared" si="1"/>
        <v>Output SC4 Rotate Blk Dev Opr PX, from Structural Connector Server.</v>
      </c>
    </row>
    <row r="440" spans="1:8" x14ac:dyDescent="0.25">
      <c r="A440" s="3" t="s">
        <v>6983</v>
      </c>
      <c r="B440" s="3" t="s">
        <v>6991</v>
      </c>
      <c r="C440" s="3" t="s">
        <v>6985</v>
      </c>
      <c r="D440" s="3" t="s">
        <v>6244</v>
      </c>
      <c r="E440" s="3">
        <v>439</v>
      </c>
      <c r="F440" s="3" t="s">
        <v>5222</v>
      </c>
      <c r="G440" s="3" t="s">
        <v>5989</v>
      </c>
      <c r="H440" s="3" t="str">
        <f t="shared" si="1"/>
        <v>Output SC4 Discnxt Vlv Opr PX, from Structural Connector Server.</v>
      </c>
    </row>
    <row r="441" spans="1:8" x14ac:dyDescent="0.25">
      <c r="A441" s="3" t="s">
        <v>6983</v>
      </c>
      <c r="B441" s="3" t="s">
        <v>6991</v>
      </c>
      <c r="C441" s="3" t="s">
        <v>6985</v>
      </c>
      <c r="D441" s="3" t="s">
        <v>6244</v>
      </c>
      <c r="E441" s="3">
        <v>440</v>
      </c>
      <c r="F441" s="3" t="s">
        <v>5223</v>
      </c>
      <c r="G441" s="3" t="s">
        <v>5989</v>
      </c>
      <c r="H441" s="3" t="str">
        <f t="shared" si="1"/>
        <v>Output SC4 Main Accum 1 NI PX, from Structural Connector Server.</v>
      </c>
    </row>
    <row r="442" spans="1:8" x14ac:dyDescent="0.25">
      <c r="A442" s="3" t="s">
        <v>6983</v>
      </c>
      <c r="B442" s="3" t="s">
        <v>6991</v>
      </c>
      <c r="C442" s="3" t="s">
        <v>6985</v>
      </c>
      <c r="D442" s="3" t="s">
        <v>6244</v>
      </c>
      <c r="E442" s="3">
        <v>441</v>
      </c>
      <c r="F442" s="3" t="s">
        <v>5224</v>
      </c>
      <c r="G442" s="3" t="s">
        <v>5989</v>
      </c>
      <c r="H442" s="3" t="str">
        <f t="shared" si="1"/>
        <v>Output SC4 Main Accum 2 NI PX, from Structural Connector Server.</v>
      </c>
    </row>
    <row r="443" spans="1:8" x14ac:dyDescent="0.25">
      <c r="A443" s="3" t="s">
        <v>6983</v>
      </c>
      <c r="B443" s="3" t="s">
        <v>6991</v>
      </c>
      <c r="C443" s="3" t="s">
        <v>6985</v>
      </c>
      <c r="D443" s="3" t="s">
        <v>6244</v>
      </c>
      <c r="E443" s="3">
        <v>442</v>
      </c>
      <c r="F443" s="3" t="s">
        <v>5225</v>
      </c>
      <c r="G443" s="3" t="s">
        <v>5989</v>
      </c>
      <c r="H443" s="3" t="str">
        <f t="shared" si="1"/>
        <v>Output SC4 Main Accum 3 NI PX, from Structural Connector Server.</v>
      </c>
    </row>
    <row r="444" spans="1:8" x14ac:dyDescent="0.25">
      <c r="A444" s="3" t="s">
        <v>6983</v>
      </c>
      <c r="B444" s="3" t="s">
        <v>6991</v>
      </c>
      <c r="C444" s="3" t="s">
        <v>6985</v>
      </c>
      <c r="D444" s="3" t="s">
        <v>6244</v>
      </c>
      <c r="E444" s="3">
        <v>443</v>
      </c>
      <c r="F444" s="3" t="s">
        <v>5226</v>
      </c>
      <c r="G444" s="3" t="s">
        <v>5989</v>
      </c>
      <c r="H444" s="3" t="str">
        <f t="shared" ref="H444:H507" si="2">_xlfn.CONCAT("Output ",F444, ", from Structural Connector Server.")</f>
        <v>Output SC4 Hyd Blk 1 Opr PX, from Structural Connector Server.</v>
      </c>
    </row>
    <row r="445" spans="1:8" x14ac:dyDescent="0.25">
      <c r="A445" s="3" t="s">
        <v>6983</v>
      </c>
      <c r="B445" s="3" t="s">
        <v>6991</v>
      </c>
      <c r="C445" s="3" t="s">
        <v>6985</v>
      </c>
      <c r="D445" s="3" t="s">
        <v>6244</v>
      </c>
      <c r="E445" s="3">
        <v>444</v>
      </c>
      <c r="F445" s="3" t="s">
        <v>5227</v>
      </c>
      <c r="G445" s="3" t="s">
        <v>5989</v>
      </c>
      <c r="H445" s="3" t="str">
        <f t="shared" si="2"/>
        <v>Output SC4 Hyd Blk 2 Opr PX, from Structural Connector Server.</v>
      </c>
    </row>
    <row r="446" spans="1:8" x14ac:dyDescent="0.25">
      <c r="A446" s="3" t="s">
        <v>6983</v>
      </c>
      <c r="B446" s="3" t="s">
        <v>6991</v>
      </c>
      <c r="C446" s="3" t="s">
        <v>6985</v>
      </c>
      <c r="D446" s="3" t="s">
        <v>6244</v>
      </c>
      <c r="E446" s="3">
        <v>445</v>
      </c>
      <c r="F446" s="3" t="s">
        <v>5228</v>
      </c>
      <c r="G446" s="3" t="s">
        <v>5989</v>
      </c>
      <c r="H446" s="3" t="str">
        <f t="shared" si="2"/>
        <v>Output SC4 Hyd Blk 3 Opr PX, from Structural Connector Server.</v>
      </c>
    </row>
    <row r="447" spans="1:8" x14ac:dyDescent="0.25">
      <c r="A447" s="3" t="s">
        <v>6983</v>
      </c>
      <c r="B447" s="3" t="s">
        <v>6991</v>
      </c>
      <c r="C447" s="3" t="s">
        <v>6985</v>
      </c>
      <c r="D447" s="3" t="s">
        <v>6245</v>
      </c>
      <c r="E447" s="3">
        <v>446</v>
      </c>
      <c r="F447" s="3" t="s">
        <v>5229</v>
      </c>
      <c r="G447" s="3" t="s">
        <v>5989</v>
      </c>
      <c r="H447" s="3" t="str">
        <f t="shared" si="2"/>
        <v>Output SC5 Upper Main Jack PX, from Structural Connector Server.</v>
      </c>
    </row>
    <row r="448" spans="1:8" x14ac:dyDescent="0.25">
      <c r="A448" s="3" t="s">
        <v>6983</v>
      </c>
      <c r="B448" s="3" t="s">
        <v>6991</v>
      </c>
      <c r="C448" s="3" t="s">
        <v>6985</v>
      </c>
      <c r="D448" s="3" t="s">
        <v>6245</v>
      </c>
      <c r="E448" s="3">
        <v>447</v>
      </c>
      <c r="F448" s="3" t="s">
        <v>5230</v>
      </c>
      <c r="G448" s="3" t="s">
        <v>5989</v>
      </c>
      <c r="H448" s="3" t="str">
        <f t="shared" si="2"/>
        <v>Output SC5 Lower Main Jack PX, from Structural Connector Server.</v>
      </c>
    </row>
    <row r="449" spans="1:8" x14ac:dyDescent="0.25">
      <c r="A449" s="3" t="s">
        <v>6983</v>
      </c>
      <c r="B449" s="3" t="s">
        <v>6991</v>
      </c>
      <c r="C449" s="3" t="s">
        <v>6985</v>
      </c>
      <c r="D449" s="3" t="s">
        <v>6245</v>
      </c>
      <c r="E449" s="3">
        <v>448</v>
      </c>
      <c r="F449" s="3" t="s">
        <v>5231</v>
      </c>
      <c r="G449" s="3" t="s">
        <v>5989</v>
      </c>
      <c r="H449" s="3" t="str">
        <f t="shared" si="2"/>
        <v>Output SC5 Accumulator PX 1, from Structural Connector Server.</v>
      </c>
    </row>
    <row r="450" spans="1:8" x14ac:dyDescent="0.25">
      <c r="A450" s="3" t="s">
        <v>6983</v>
      </c>
      <c r="B450" s="3" t="s">
        <v>6991</v>
      </c>
      <c r="C450" s="3" t="s">
        <v>6985</v>
      </c>
      <c r="D450" s="3" t="s">
        <v>6245</v>
      </c>
      <c r="E450" s="3">
        <v>449</v>
      </c>
      <c r="F450" s="3" t="s">
        <v>5232</v>
      </c>
      <c r="G450" s="3" t="s">
        <v>5989</v>
      </c>
      <c r="H450" s="3" t="str">
        <f t="shared" si="2"/>
        <v>Output SC5 Accumulator PX 2, from Structural Connector Server.</v>
      </c>
    </row>
    <row r="451" spans="1:8" x14ac:dyDescent="0.25">
      <c r="A451" s="3" t="s">
        <v>6983</v>
      </c>
      <c r="B451" s="3" t="s">
        <v>6991</v>
      </c>
      <c r="C451" s="3" t="s">
        <v>6985</v>
      </c>
      <c r="D451" s="3" t="s">
        <v>6245</v>
      </c>
      <c r="E451" s="3">
        <v>450</v>
      </c>
      <c r="F451" s="3" t="s">
        <v>5233</v>
      </c>
      <c r="G451" s="3" t="s">
        <v>5989</v>
      </c>
      <c r="H451" s="3" t="str">
        <f t="shared" si="2"/>
        <v>Output SC5 Bck Release Accum PX, from Structural Connector Server.</v>
      </c>
    </row>
    <row r="452" spans="1:8" x14ac:dyDescent="0.25">
      <c r="A452" s="3" t="s">
        <v>6983</v>
      </c>
      <c r="B452" s="3" t="s">
        <v>6991</v>
      </c>
      <c r="C452" s="3" t="s">
        <v>6985</v>
      </c>
      <c r="D452" s="3" t="s">
        <v>6245</v>
      </c>
      <c r="E452" s="3">
        <v>451</v>
      </c>
      <c r="F452" s="3" t="s">
        <v>5234</v>
      </c>
      <c r="G452" s="3" t="s">
        <v>5989</v>
      </c>
      <c r="H452" s="3" t="str">
        <f t="shared" si="2"/>
        <v>Output SC5 Rotate Blk Dev Opr PX, from Structural Connector Server.</v>
      </c>
    </row>
    <row r="453" spans="1:8" x14ac:dyDescent="0.25">
      <c r="A453" s="3" t="s">
        <v>6983</v>
      </c>
      <c r="B453" s="3" t="s">
        <v>6991</v>
      </c>
      <c r="C453" s="3" t="s">
        <v>6985</v>
      </c>
      <c r="D453" s="3" t="s">
        <v>6245</v>
      </c>
      <c r="E453" s="3">
        <v>452</v>
      </c>
      <c r="F453" s="3" t="s">
        <v>5235</v>
      </c>
      <c r="G453" s="3" t="s">
        <v>5989</v>
      </c>
      <c r="H453" s="3" t="str">
        <f t="shared" si="2"/>
        <v>Output SC5 Discnxt Vlv Opr PX, from Structural Connector Server.</v>
      </c>
    </row>
    <row r="454" spans="1:8" x14ac:dyDescent="0.25">
      <c r="A454" s="3" t="s">
        <v>6983</v>
      </c>
      <c r="B454" s="3" t="s">
        <v>6991</v>
      </c>
      <c r="C454" s="3" t="s">
        <v>6985</v>
      </c>
      <c r="D454" s="3" t="s">
        <v>6245</v>
      </c>
      <c r="E454" s="3">
        <v>453</v>
      </c>
      <c r="F454" s="3" t="s">
        <v>5236</v>
      </c>
      <c r="G454" s="3" t="s">
        <v>5989</v>
      </c>
      <c r="H454" s="3" t="str">
        <f t="shared" si="2"/>
        <v>Output SC5 Main Accum 1 NI PX, from Structural Connector Server.</v>
      </c>
    </row>
    <row r="455" spans="1:8" x14ac:dyDescent="0.25">
      <c r="A455" s="3" t="s">
        <v>6983</v>
      </c>
      <c r="B455" s="3" t="s">
        <v>6991</v>
      </c>
      <c r="C455" s="3" t="s">
        <v>6985</v>
      </c>
      <c r="D455" s="3" t="s">
        <v>6245</v>
      </c>
      <c r="E455" s="3">
        <v>454</v>
      </c>
      <c r="F455" s="3" t="s">
        <v>5237</v>
      </c>
      <c r="G455" s="3" t="s">
        <v>5989</v>
      </c>
      <c r="H455" s="3" t="str">
        <f t="shared" si="2"/>
        <v>Output SC5 Main Accum 2 NI PX, from Structural Connector Server.</v>
      </c>
    </row>
    <row r="456" spans="1:8" x14ac:dyDescent="0.25">
      <c r="A456" s="3" t="s">
        <v>6983</v>
      </c>
      <c r="B456" s="3" t="s">
        <v>6991</v>
      </c>
      <c r="C456" s="3" t="s">
        <v>6985</v>
      </c>
      <c r="D456" s="3" t="s">
        <v>6245</v>
      </c>
      <c r="E456" s="3">
        <v>455</v>
      </c>
      <c r="F456" s="3" t="s">
        <v>5238</v>
      </c>
      <c r="G456" s="3" t="s">
        <v>5989</v>
      </c>
      <c r="H456" s="3" t="str">
        <f t="shared" si="2"/>
        <v>Output SC5 Main Accum 3 NI PX, from Structural Connector Server.</v>
      </c>
    </row>
    <row r="457" spans="1:8" x14ac:dyDescent="0.25">
      <c r="A457" s="3" t="s">
        <v>6983</v>
      </c>
      <c r="B457" s="3" t="s">
        <v>6991</v>
      </c>
      <c r="C457" s="3" t="s">
        <v>6985</v>
      </c>
      <c r="D457" s="3" t="s">
        <v>6245</v>
      </c>
      <c r="E457" s="3">
        <v>456</v>
      </c>
      <c r="F457" s="3" t="s">
        <v>5239</v>
      </c>
      <c r="G457" s="3" t="s">
        <v>5989</v>
      </c>
      <c r="H457" s="3" t="str">
        <f t="shared" si="2"/>
        <v>Output SC5 Hyd Blk 1 Opr PX, from Structural Connector Server.</v>
      </c>
    </row>
    <row r="458" spans="1:8" x14ac:dyDescent="0.25">
      <c r="A458" s="3" t="s">
        <v>6983</v>
      </c>
      <c r="B458" s="3" t="s">
        <v>6991</v>
      </c>
      <c r="C458" s="3" t="s">
        <v>6985</v>
      </c>
      <c r="D458" s="3" t="s">
        <v>6245</v>
      </c>
      <c r="E458" s="3">
        <v>457</v>
      </c>
      <c r="F458" s="3" t="s">
        <v>5240</v>
      </c>
      <c r="G458" s="3" t="s">
        <v>5989</v>
      </c>
      <c r="H458" s="3" t="str">
        <f t="shared" si="2"/>
        <v>Output SC5 Hyd Blk 2 Opr PX, from Structural Connector Server.</v>
      </c>
    </row>
    <row r="459" spans="1:8" x14ac:dyDescent="0.25">
      <c r="A459" s="3" t="s">
        <v>6983</v>
      </c>
      <c r="B459" s="3" t="s">
        <v>6991</v>
      </c>
      <c r="C459" s="3" t="s">
        <v>6985</v>
      </c>
      <c r="D459" s="3" t="s">
        <v>6245</v>
      </c>
      <c r="E459" s="3">
        <v>458</v>
      </c>
      <c r="F459" s="3" t="s">
        <v>5241</v>
      </c>
      <c r="G459" s="3" t="s">
        <v>5989</v>
      </c>
      <c r="H459" s="3" t="str">
        <f t="shared" si="2"/>
        <v>Output SC5 Hyd Blk 3 Opr PX, from Structural Connector Server.</v>
      </c>
    </row>
    <row r="460" spans="1:8" x14ac:dyDescent="0.25">
      <c r="A460" s="3" t="s">
        <v>6983</v>
      </c>
      <c r="B460" s="3" t="s">
        <v>6991</v>
      </c>
      <c r="C460" s="3" t="s">
        <v>6985</v>
      </c>
      <c r="D460" s="3" t="s">
        <v>6246</v>
      </c>
      <c r="E460" s="3">
        <v>459</v>
      </c>
      <c r="F460" s="3" t="s">
        <v>5242</v>
      </c>
      <c r="G460" s="3" t="s">
        <v>5989</v>
      </c>
      <c r="H460" s="3" t="str">
        <f t="shared" si="2"/>
        <v>Output SC6 Upper Main Jack PX, from Structural Connector Server.</v>
      </c>
    </row>
    <row r="461" spans="1:8" x14ac:dyDescent="0.25">
      <c r="A461" s="3" t="s">
        <v>6983</v>
      </c>
      <c r="B461" s="3" t="s">
        <v>6991</v>
      </c>
      <c r="C461" s="3" t="s">
        <v>6985</v>
      </c>
      <c r="D461" s="3" t="s">
        <v>6246</v>
      </c>
      <c r="E461" s="3">
        <v>460</v>
      </c>
      <c r="F461" s="3" t="s">
        <v>5243</v>
      </c>
      <c r="G461" s="3" t="s">
        <v>5989</v>
      </c>
      <c r="H461" s="3" t="str">
        <f t="shared" si="2"/>
        <v>Output SC6 Lower Main Jack PX, from Structural Connector Server.</v>
      </c>
    </row>
    <row r="462" spans="1:8" x14ac:dyDescent="0.25">
      <c r="A462" s="3" t="s">
        <v>6983</v>
      </c>
      <c r="B462" s="3" t="s">
        <v>6991</v>
      </c>
      <c r="C462" s="3" t="s">
        <v>6985</v>
      </c>
      <c r="D462" s="3" t="s">
        <v>6246</v>
      </c>
      <c r="E462" s="3">
        <v>461</v>
      </c>
      <c r="F462" s="3" t="s">
        <v>5244</v>
      </c>
      <c r="G462" s="3" t="s">
        <v>5989</v>
      </c>
      <c r="H462" s="3" t="str">
        <f t="shared" si="2"/>
        <v>Output SC6 Accumulator PX 1, from Structural Connector Server.</v>
      </c>
    </row>
    <row r="463" spans="1:8" x14ac:dyDescent="0.25">
      <c r="A463" s="3" t="s">
        <v>6983</v>
      </c>
      <c r="B463" s="3" t="s">
        <v>6991</v>
      </c>
      <c r="C463" s="3" t="s">
        <v>6985</v>
      </c>
      <c r="D463" s="3" t="s">
        <v>6246</v>
      </c>
      <c r="E463" s="3">
        <v>462</v>
      </c>
      <c r="F463" s="3" t="s">
        <v>5245</v>
      </c>
      <c r="G463" s="3" t="s">
        <v>5989</v>
      </c>
      <c r="H463" s="3" t="str">
        <f t="shared" si="2"/>
        <v>Output SC6 Accumulator PX 2, from Structural Connector Server.</v>
      </c>
    </row>
    <row r="464" spans="1:8" x14ac:dyDescent="0.25">
      <c r="A464" s="3" t="s">
        <v>6983</v>
      </c>
      <c r="B464" s="3" t="s">
        <v>6991</v>
      </c>
      <c r="C464" s="3" t="s">
        <v>6985</v>
      </c>
      <c r="D464" s="3" t="s">
        <v>6246</v>
      </c>
      <c r="E464" s="3">
        <v>463</v>
      </c>
      <c r="F464" s="3" t="s">
        <v>5246</v>
      </c>
      <c r="G464" s="3" t="s">
        <v>5989</v>
      </c>
      <c r="H464" s="3" t="str">
        <f t="shared" si="2"/>
        <v>Output SC6 Bck Release Accum PX, from Structural Connector Server.</v>
      </c>
    </row>
    <row r="465" spans="1:8" x14ac:dyDescent="0.25">
      <c r="A465" s="3" t="s">
        <v>6983</v>
      </c>
      <c r="B465" s="3" t="s">
        <v>6991</v>
      </c>
      <c r="C465" s="3" t="s">
        <v>6985</v>
      </c>
      <c r="D465" s="3" t="s">
        <v>6246</v>
      </c>
      <c r="E465" s="3">
        <v>464</v>
      </c>
      <c r="F465" s="3" t="s">
        <v>5247</v>
      </c>
      <c r="G465" s="3" t="s">
        <v>5989</v>
      </c>
      <c r="H465" s="3" t="str">
        <f t="shared" si="2"/>
        <v>Output SC6 Rotate Blk Dev Opr PX, from Structural Connector Server.</v>
      </c>
    </row>
    <row r="466" spans="1:8" x14ac:dyDescent="0.25">
      <c r="A466" s="3" t="s">
        <v>6983</v>
      </c>
      <c r="B466" s="3" t="s">
        <v>6991</v>
      </c>
      <c r="C466" s="3" t="s">
        <v>6985</v>
      </c>
      <c r="D466" s="3" t="s">
        <v>6246</v>
      </c>
      <c r="E466" s="3">
        <v>465</v>
      </c>
      <c r="F466" s="3" t="s">
        <v>5248</v>
      </c>
      <c r="G466" s="3" t="s">
        <v>5989</v>
      </c>
      <c r="H466" s="3" t="str">
        <f t="shared" si="2"/>
        <v>Output SC6 Discnxt Vlv Opr PX, from Structural Connector Server.</v>
      </c>
    </row>
    <row r="467" spans="1:8" x14ac:dyDescent="0.25">
      <c r="A467" s="3" t="s">
        <v>6983</v>
      </c>
      <c r="B467" s="3" t="s">
        <v>6991</v>
      </c>
      <c r="C467" s="3" t="s">
        <v>6985</v>
      </c>
      <c r="D467" s="3" t="s">
        <v>6246</v>
      </c>
      <c r="E467" s="3">
        <v>466</v>
      </c>
      <c r="F467" s="3" t="s">
        <v>5249</v>
      </c>
      <c r="G467" s="3" t="s">
        <v>5989</v>
      </c>
      <c r="H467" s="3" t="str">
        <f t="shared" si="2"/>
        <v>Output SC6 Main Accum 1 NI PX, from Structural Connector Server.</v>
      </c>
    </row>
    <row r="468" spans="1:8" x14ac:dyDescent="0.25">
      <c r="A468" s="3" t="s">
        <v>6983</v>
      </c>
      <c r="B468" s="3" t="s">
        <v>6991</v>
      </c>
      <c r="C468" s="3" t="s">
        <v>6985</v>
      </c>
      <c r="D468" s="3" t="s">
        <v>6246</v>
      </c>
      <c r="E468" s="3">
        <v>467</v>
      </c>
      <c r="F468" s="3" t="s">
        <v>5250</v>
      </c>
      <c r="G468" s="3" t="s">
        <v>5989</v>
      </c>
      <c r="H468" s="3" t="str">
        <f t="shared" si="2"/>
        <v>Output SC6 Main Accum 2 NI PX, from Structural Connector Server.</v>
      </c>
    </row>
    <row r="469" spans="1:8" x14ac:dyDescent="0.25">
      <c r="A469" s="3" t="s">
        <v>6983</v>
      </c>
      <c r="B469" s="3" t="s">
        <v>6991</v>
      </c>
      <c r="C469" s="3" t="s">
        <v>6985</v>
      </c>
      <c r="D469" s="3" t="s">
        <v>6246</v>
      </c>
      <c r="E469" s="3">
        <v>468</v>
      </c>
      <c r="F469" s="3" t="s">
        <v>5251</v>
      </c>
      <c r="G469" s="3" t="s">
        <v>5989</v>
      </c>
      <c r="H469" s="3" t="str">
        <f t="shared" si="2"/>
        <v>Output SC6 Main Accum 3 NI PX, from Structural Connector Server.</v>
      </c>
    </row>
    <row r="470" spans="1:8" x14ac:dyDescent="0.25">
      <c r="A470" s="3" t="s">
        <v>6983</v>
      </c>
      <c r="B470" s="3" t="s">
        <v>6991</v>
      </c>
      <c r="C470" s="3" t="s">
        <v>6985</v>
      </c>
      <c r="D470" s="3" t="s">
        <v>6246</v>
      </c>
      <c r="E470" s="3">
        <v>469</v>
      </c>
      <c r="F470" s="3" t="s">
        <v>5252</v>
      </c>
      <c r="G470" s="3" t="s">
        <v>5989</v>
      </c>
      <c r="H470" s="3" t="str">
        <f t="shared" si="2"/>
        <v>Output SC6 Hyd Blk 1 Opr PX, from Structural Connector Server.</v>
      </c>
    </row>
    <row r="471" spans="1:8" x14ac:dyDescent="0.25">
      <c r="A471" s="3" t="s">
        <v>6983</v>
      </c>
      <c r="B471" s="3" t="s">
        <v>6991</v>
      </c>
      <c r="C471" s="3" t="s">
        <v>6985</v>
      </c>
      <c r="D471" s="3" t="s">
        <v>6246</v>
      </c>
      <c r="E471" s="3">
        <v>470</v>
      </c>
      <c r="F471" s="3" t="s">
        <v>5253</v>
      </c>
      <c r="G471" s="3" t="s">
        <v>5989</v>
      </c>
      <c r="H471" s="3" t="str">
        <f t="shared" si="2"/>
        <v>Output SC6 Hyd Blk 2 Opr PX, from Structural Connector Server.</v>
      </c>
    </row>
    <row r="472" spans="1:8" x14ac:dyDescent="0.25">
      <c r="A472" s="3" t="s">
        <v>6983</v>
      </c>
      <c r="B472" s="3" t="s">
        <v>6991</v>
      </c>
      <c r="C472" s="3" t="s">
        <v>6985</v>
      </c>
      <c r="D472" s="3" t="s">
        <v>6246</v>
      </c>
      <c r="E472" s="3">
        <v>471</v>
      </c>
      <c r="F472" s="3" t="s">
        <v>5254</v>
      </c>
      <c r="G472" s="3" t="s">
        <v>5989</v>
      </c>
      <c r="H472" s="3" t="str">
        <f t="shared" si="2"/>
        <v>Output SC6 Hyd Blk 3 Opr PX, from Structural Connector Server.</v>
      </c>
    </row>
    <row r="473" spans="1:8" x14ac:dyDescent="0.25">
      <c r="A473" s="3" t="s">
        <v>6983</v>
      </c>
      <c r="B473" s="3" t="s">
        <v>6991</v>
      </c>
      <c r="C473" s="3" t="s">
        <v>6985</v>
      </c>
      <c r="D473" s="3" t="s">
        <v>6247</v>
      </c>
      <c r="E473" s="3">
        <v>472</v>
      </c>
      <c r="F473" s="3" t="s">
        <v>5255</v>
      </c>
      <c r="G473" s="3" t="s">
        <v>5989</v>
      </c>
      <c r="H473" s="3" t="str">
        <f t="shared" si="2"/>
        <v>Output SC7 Upper Main Jack PX, from Structural Connector Server.</v>
      </c>
    </row>
    <row r="474" spans="1:8" x14ac:dyDescent="0.25">
      <c r="A474" s="3" t="s">
        <v>6983</v>
      </c>
      <c r="B474" s="3" t="s">
        <v>6991</v>
      </c>
      <c r="C474" s="3" t="s">
        <v>6985</v>
      </c>
      <c r="D474" s="3" t="s">
        <v>6247</v>
      </c>
      <c r="E474" s="3">
        <v>473</v>
      </c>
      <c r="F474" s="3" t="s">
        <v>5256</v>
      </c>
      <c r="G474" s="3" t="s">
        <v>5989</v>
      </c>
      <c r="H474" s="3" t="str">
        <f t="shared" si="2"/>
        <v>Output SC7 Lower Main Jack PX, from Structural Connector Server.</v>
      </c>
    </row>
    <row r="475" spans="1:8" x14ac:dyDescent="0.25">
      <c r="A475" s="3" t="s">
        <v>6983</v>
      </c>
      <c r="B475" s="3" t="s">
        <v>6991</v>
      </c>
      <c r="C475" s="3" t="s">
        <v>6985</v>
      </c>
      <c r="D475" s="3" t="s">
        <v>6247</v>
      </c>
      <c r="E475" s="3">
        <v>474</v>
      </c>
      <c r="F475" s="3" t="s">
        <v>5257</v>
      </c>
      <c r="G475" s="3" t="s">
        <v>5989</v>
      </c>
      <c r="H475" s="3" t="str">
        <f t="shared" si="2"/>
        <v>Output SC7 Accumulator PX 1, from Structural Connector Server.</v>
      </c>
    </row>
    <row r="476" spans="1:8" x14ac:dyDescent="0.25">
      <c r="A476" s="3" t="s">
        <v>6983</v>
      </c>
      <c r="B476" s="3" t="s">
        <v>6991</v>
      </c>
      <c r="C476" s="3" t="s">
        <v>6985</v>
      </c>
      <c r="D476" s="3" t="s">
        <v>6247</v>
      </c>
      <c r="E476" s="3">
        <v>475</v>
      </c>
      <c r="F476" s="3" t="s">
        <v>5258</v>
      </c>
      <c r="G476" s="3" t="s">
        <v>5989</v>
      </c>
      <c r="H476" s="3" t="str">
        <f t="shared" si="2"/>
        <v>Output SC7 Accumulator PX 2, from Structural Connector Server.</v>
      </c>
    </row>
    <row r="477" spans="1:8" x14ac:dyDescent="0.25">
      <c r="A477" s="3" t="s">
        <v>6983</v>
      </c>
      <c r="B477" s="3" t="s">
        <v>6991</v>
      </c>
      <c r="C477" s="3" t="s">
        <v>6985</v>
      </c>
      <c r="D477" s="3" t="s">
        <v>6247</v>
      </c>
      <c r="E477" s="3">
        <v>476</v>
      </c>
      <c r="F477" s="3" t="s">
        <v>5259</v>
      </c>
      <c r="G477" s="3" t="s">
        <v>5989</v>
      </c>
      <c r="H477" s="3" t="str">
        <f t="shared" si="2"/>
        <v>Output SC7 Bck Release Accum PX, from Structural Connector Server.</v>
      </c>
    </row>
    <row r="478" spans="1:8" x14ac:dyDescent="0.25">
      <c r="A478" s="3" t="s">
        <v>6983</v>
      </c>
      <c r="B478" s="3" t="s">
        <v>6991</v>
      </c>
      <c r="C478" s="3" t="s">
        <v>6985</v>
      </c>
      <c r="D478" s="3" t="s">
        <v>6247</v>
      </c>
      <c r="E478" s="3">
        <v>477</v>
      </c>
      <c r="F478" s="3" t="s">
        <v>5260</v>
      </c>
      <c r="G478" s="3" t="s">
        <v>5989</v>
      </c>
      <c r="H478" s="3" t="str">
        <f t="shared" si="2"/>
        <v>Output SC7 Rotate Blk Dev Opr PX, from Structural Connector Server.</v>
      </c>
    </row>
    <row r="479" spans="1:8" x14ac:dyDescent="0.25">
      <c r="A479" s="3" t="s">
        <v>6983</v>
      </c>
      <c r="B479" s="3" t="s">
        <v>6991</v>
      </c>
      <c r="C479" s="3" t="s">
        <v>6985</v>
      </c>
      <c r="D479" s="3" t="s">
        <v>6247</v>
      </c>
      <c r="E479" s="3">
        <v>478</v>
      </c>
      <c r="F479" s="3" t="s">
        <v>5261</v>
      </c>
      <c r="G479" s="3" t="s">
        <v>5989</v>
      </c>
      <c r="H479" s="3" t="str">
        <f t="shared" si="2"/>
        <v>Output SC7 Discnxt Vlv Opr PX, from Structural Connector Server.</v>
      </c>
    </row>
    <row r="480" spans="1:8" x14ac:dyDescent="0.25">
      <c r="A480" s="3" t="s">
        <v>6983</v>
      </c>
      <c r="B480" s="3" t="s">
        <v>6991</v>
      </c>
      <c r="C480" s="3" t="s">
        <v>6985</v>
      </c>
      <c r="D480" s="3" t="s">
        <v>6247</v>
      </c>
      <c r="E480" s="3">
        <v>479</v>
      </c>
      <c r="F480" s="3" t="s">
        <v>5262</v>
      </c>
      <c r="G480" s="3" t="s">
        <v>5989</v>
      </c>
      <c r="H480" s="3" t="str">
        <f t="shared" si="2"/>
        <v>Output SC7 Main Accum 1 NI PX, from Structural Connector Server.</v>
      </c>
    </row>
    <row r="481" spans="1:8" x14ac:dyDescent="0.25">
      <c r="A481" s="3" t="s">
        <v>6983</v>
      </c>
      <c r="B481" s="3" t="s">
        <v>6991</v>
      </c>
      <c r="C481" s="3" t="s">
        <v>6985</v>
      </c>
      <c r="D481" s="3" t="s">
        <v>6247</v>
      </c>
      <c r="E481" s="3">
        <v>480</v>
      </c>
      <c r="F481" s="3" t="s">
        <v>5263</v>
      </c>
      <c r="G481" s="3" t="s">
        <v>5989</v>
      </c>
      <c r="H481" s="3" t="str">
        <f t="shared" si="2"/>
        <v>Output SC7 Main Accum 2 NI PX, from Structural Connector Server.</v>
      </c>
    </row>
    <row r="482" spans="1:8" x14ac:dyDescent="0.25">
      <c r="A482" s="3" t="s">
        <v>6983</v>
      </c>
      <c r="B482" s="3" t="s">
        <v>6991</v>
      </c>
      <c r="C482" s="3" t="s">
        <v>6985</v>
      </c>
      <c r="D482" s="3" t="s">
        <v>6247</v>
      </c>
      <c r="E482" s="3">
        <v>481</v>
      </c>
      <c r="F482" s="3" t="s">
        <v>5264</v>
      </c>
      <c r="G482" s="3" t="s">
        <v>5989</v>
      </c>
      <c r="H482" s="3" t="str">
        <f t="shared" si="2"/>
        <v>Output SC7 Main Accum 3 NI PX, from Structural Connector Server.</v>
      </c>
    </row>
    <row r="483" spans="1:8" x14ac:dyDescent="0.25">
      <c r="A483" s="3" t="s">
        <v>6983</v>
      </c>
      <c r="B483" s="3" t="s">
        <v>6991</v>
      </c>
      <c r="C483" s="3" t="s">
        <v>6985</v>
      </c>
      <c r="D483" s="3" t="s">
        <v>6247</v>
      </c>
      <c r="E483" s="3">
        <v>482</v>
      </c>
      <c r="F483" s="3" t="s">
        <v>5265</v>
      </c>
      <c r="G483" s="3" t="s">
        <v>5989</v>
      </c>
      <c r="H483" s="3" t="str">
        <f t="shared" si="2"/>
        <v>Output SC7 Hyd Blk 1 Opr PX, from Structural Connector Server.</v>
      </c>
    </row>
    <row r="484" spans="1:8" x14ac:dyDescent="0.25">
      <c r="A484" s="3" t="s">
        <v>6983</v>
      </c>
      <c r="B484" s="3" t="s">
        <v>6991</v>
      </c>
      <c r="C484" s="3" t="s">
        <v>6985</v>
      </c>
      <c r="D484" s="3" t="s">
        <v>6247</v>
      </c>
      <c r="E484" s="3">
        <v>483</v>
      </c>
      <c r="F484" s="3" t="s">
        <v>5266</v>
      </c>
      <c r="G484" s="3" t="s">
        <v>5989</v>
      </c>
      <c r="H484" s="3" t="str">
        <f t="shared" si="2"/>
        <v>Output SC7 Hyd Blk 2 Opr PX, from Structural Connector Server.</v>
      </c>
    </row>
    <row r="485" spans="1:8" x14ac:dyDescent="0.25">
      <c r="A485" s="3" t="s">
        <v>6983</v>
      </c>
      <c r="B485" s="3" t="s">
        <v>6991</v>
      </c>
      <c r="C485" s="3" t="s">
        <v>6985</v>
      </c>
      <c r="D485" s="3" t="s">
        <v>6247</v>
      </c>
      <c r="E485" s="3">
        <v>484</v>
      </c>
      <c r="F485" s="3" t="s">
        <v>5267</v>
      </c>
      <c r="G485" s="3" t="s">
        <v>5989</v>
      </c>
      <c r="H485" s="3" t="str">
        <f t="shared" si="2"/>
        <v>Output SC7 Hyd Blk 3 Opr PX, from Structural Connector Server.</v>
      </c>
    </row>
    <row r="486" spans="1:8" x14ac:dyDescent="0.25">
      <c r="A486" s="3" t="s">
        <v>6983</v>
      </c>
      <c r="B486" s="3" t="s">
        <v>6991</v>
      </c>
      <c r="C486" s="3" t="s">
        <v>6985</v>
      </c>
      <c r="D486" s="3" t="s">
        <v>6248</v>
      </c>
      <c r="E486" s="3">
        <v>485</v>
      </c>
      <c r="F486" s="3" t="s">
        <v>5268</v>
      </c>
      <c r="G486" s="3" t="s">
        <v>5989</v>
      </c>
      <c r="H486" s="3" t="str">
        <f t="shared" si="2"/>
        <v>Output SC8 Upper Main Jack PX, from Structural Connector Server.</v>
      </c>
    </row>
    <row r="487" spans="1:8" x14ac:dyDescent="0.25">
      <c r="A487" s="3" t="s">
        <v>6983</v>
      </c>
      <c r="B487" s="3" t="s">
        <v>6991</v>
      </c>
      <c r="C487" s="3" t="s">
        <v>6985</v>
      </c>
      <c r="D487" s="3" t="s">
        <v>6248</v>
      </c>
      <c r="E487" s="3">
        <v>486</v>
      </c>
      <c r="F487" s="3" t="s">
        <v>5269</v>
      </c>
      <c r="G487" s="3" t="s">
        <v>5989</v>
      </c>
      <c r="H487" s="3" t="str">
        <f t="shared" si="2"/>
        <v>Output SC8 Lower Main Jack PX, from Structural Connector Server.</v>
      </c>
    </row>
    <row r="488" spans="1:8" x14ac:dyDescent="0.25">
      <c r="A488" s="3" t="s">
        <v>6983</v>
      </c>
      <c r="B488" s="3" t="s">
        <v>6991</v>
      </c>
      <c r="C488" s="3" t="s">
        <v>6985</v>
      </c>
      <c r="D488" s="3" t="s">
        <v>6248</v>
      </c>
      <c r="E488" s="3">
        <v>487</v>
      </c>
      <c r="F488" s="3" t="s">
        <v>5270</v>
      </c>
      <c r="G488" s="3" t="s">
        <v>5989</v>
      </c>
      <c r="H488" s="3" t="str">
        <f t="shared" si="2"/>
        <v>Output SC8 Accumulator PX 1, from Structural Connector Server.</v>
      </c>
    </row>
    <row r="489" spans="1:8" x14ac:dyDescent="0.25">
      <c r="A489" s="3" t="s">
        <v>6983</v>
      </c>
      <c r="B489" s="3" t="s">
        <v>6991</v>
      </c>
      <c r="C489" s="3" t="s">
        <v>6985</v>
      </c>
      <c r="D489" s="3" t="s">
        <v>6248</v>
      </c>
      <c r="E489" s="3">
        <v>488</v>
      </c>
      <c r="F489" s="3" t="s">
        <v>5271</v>
      </c>
      <c r="G489" s="3" t="s">
        <v>5989</v>
      </c>
      <c r="H489" s="3" t="str">
        <f t="shared" si="2"/>
        <v>Output SC8 Accumulator PX 2, from Structural Connector Server.</v>
      </c>
    </row>
    <row r="490" spans="1:8" x14ac:dyDescent="0.25">
      <c r="A490" s="3" t="s">
        <v>6983</v>
      </c>
      <c r="B490" s="3" t="s">
        <v>6991</v>
      </c>
      <c r="C490" s="3" t="s">
        <v>6985</v>
      </c>
      <c r="D490" s="3" t="s">
        <v>6248</v>
      </c>
      <c r="E490" s="3">
        <v>489</v>
      </c>
      <c r="F490" s="3" t="s">
        <v>5272</v>
      </c>
      <c r="G490" s="3" t="s">
        <v>5989</v>
      </c>
      <c r="H490" s="3" t="str">
        <f t="shared" si="2"/>
        <v>Output SC8 Bck Release Accum PX, from Structural Connector Server.</v>
      </c>
    </row>
    <row r="491" spans="1:8" x14ac:dyDescent="0.25">
      <c r="A491" s="3" t="s">
        <v>6983</v>
      </c>
      <c r="B491" s="3" t="s">
        <v>6991</v>
      </c>
      <c r="C491" s="3" t="s">
        <v>6985</v>
      </c>
      <c r="D491" s="3" t="s">
        <v>6248</v>
      </c>
      <c r="E491" s="3">
        <v>490</v>
      </c>
      <c r="F491" s="3" t="s">
        <v>5273</v>
      </c>
      <c r="G491" s="3" t="s">
        <v>5989</v>
      </c>
      <c r="H491" s="3" t="str">
        <f t="shared" si="2"/>
        <v>Output SC8 Rotate Blk Dev Opr PX, from Structural Connector Server.</v>
      </c>
    </row>
    <row r="492" spans="1:8" x14ac:dyDescent="0.25">
      <c r="A492" s="3" t="s">
        <v>6983</v>
      </c>
      <c r="B492" s="3" t="s">
        <v>6991</v>
      </c>
      <c r="C492" s="3" t="s">
        <v>6985</v>
      </c>
      <c r="D492" s="3" t="s">
        <v>6248</v>
      </c>
      <c r="E492" s="3">
        <v>491</v>
      </c>
      <c r="F492" s="3" t="s">
        <v>5274</v>
      </c>
      <c r="G492" s="3" t="s">
        <v>5989</v>
      </c>
      <c r="H492" s="3" t="str">
        <f t="shared" si="2"/>
        <v>Output SC8 Discnxt Vlv Opr PX, from Structural Connector Server.</v>
      </c>
    </row>
    <row r="493" spans="1:8" x14ac:dyDescent="0.25">
      <c r="A493" s="3" t="s">
        <v>6983</v>
      </c>
      <c r="B493" s="3" t="s">
        <v>6991</v>
      </c>
      <c r="C493" s="3" t="s">
        <v>6985</v>
      </c>
      <c r="D493" s="3" t="s">
        <v>6248</v>
      </c>
      <c r="E493" s="3">
        <v>492</v>
      </c>
      <c r="F493" s="3" t="s">
        <v>5275</v>
      </c>
      <c r="G493" s="3" t="s">
        <v>5989</v>
      </c>
      <c r="H493" s="3" t="str">
        <f t="shared" si="2"/>
        <v>Output SC8 Main Accum 1 NI PX, from Structural Connector Server.</v>
      </c>
    </row>
    <row r="494" spans="1:8" x14ac:dyDescent="0.25">
      <c r="A494" s="3" t="s">
        <v>6983</v>
      </c>
      <c r="B494" s="3" t="s">
        <v>6991</v>
      </c>
      <c r="C494" s="3" t="s">
        <v>6985</v>
      </c>
      <c r="D494" s="3" t="s">
        <v>6248</v>
      </c>
      <c r="E494" s="3">
        <v>493</v>
      </c>
      <c r="F494" s="3" t="s">
        <v>5276</v>
      </c>
      <c r="G494" s="3" t="s">
        <v>5989</v>
      </c>
      <c r="H494" s="3" t="str">
        <f t="shared" si="2"/>
        <v>Output SC8 Main Accum 2 NI PX, from Structural Connector Server.</v>
      </c>
    </row>
    <row r="495" spans="1:8" x14ac:dyDescent="0.25">
      <c r="A495" s="3" t="s">
        <v>6983</v>
      </c>
      <c r="B495" s="3" t="s">
        <v>6991</v>
      </c>
      <c r="C495" s="3" t="s">
        <v>6985</v>
      </c>
      <c r="D495" s="3" t="s">
        <v>6248</v>
      </c>
      <c r="E495" s="3">
        <v>494</v>
      </c>
      <c r="F495" s="3" t="s">
        <v>5277</v>
      </c>
      <c r="G495" s="3" t="s">
        <v>5989</v>
      </c>
      <c r="H495" s="3" t="str">
        <f t="shared" si="2"/>
        <v>Output SC8 Main Accum 3 NI PX, from Structural Connector Server.</v>
      </c>
    </row>
    <row r="496" spans="1:8" x14ac:dyDescent="0.25">
      <c r="A496" s="3" t="s">
        <v>6983</v>
      </c>
      <c r="B496" s="3" t="s">
        <v>6991</v>
      </c>
      <c r="C496" s="3" t="s">
        <v>6985</v>
      </c>
      <c r="D496" s="3" t="s">
        <v>6248</v>
      </c>
      <c r="E496" s="3">
        <v>495</v>
      </c>
      <c r="F496" s="3" t="s">
        <v>5278</v>
      </c>
      <c r="G496" s="3" t="s">
        <v>5989</v>
      </c>
      <c r="H496" s="3" t="str">
        <f t="shared" si="2"/>
        <v>Output SC8 Hyd Blk 1 Opr PX, from Structural Connector Server.</v>
      </c>
    </row>
    <row r="497" spans="1:8" x14ac:dyDescent="0.25">
      <c r="A497" s="3" t="s">
        <v>6983</v>
      </c>
      <c r="B497" s="3" t="s">
        <v>6991</v>
      </c>
      <c r="C497" s="3" t="s">
        <v>6985</v>
      </c>
      <c r="D497" s="3" t="s">
        <v>6248</v>
      </c>
      <c r="E497" s="3">
        <v>496</v>
      </c>
      <c r="F497" s="3" t="s">
        <v>5279</v>
      </c>
      <c r="G497" s="3" t="s">
        <v>5989</v>
      </c>
      <c r="H497" s="3" t="str">
        <f t="shared" si="2"/>
        <v>Output SC8 Hyd Blk 2 Opr PX, from Structural Connector Server.</v>
      </c>
    </row>
    <row r="498" spans="1:8" x14ac:dyDescent="0.25">
      <c r="A498" s="3" t="s">
        <v>6983</v>
      </c>
      <c r="B498" s="3" t="s">
        <v>6991</v>
      </c>
      <c r="C498" s="3" t="s">
        <v>6985</v>
      </c>
      <c r="D498" s="3" t="s">
        <v>6248</v>
      </c>
      <c r="E498" s="3">
        <v>497</v>
      </c>
      <c r="F498" s="3" t="s">
        <v>5280</v>
      </c>
      <c r="G498" s="3" t="s">
        <v>5989</v>
      </c>
      <c r="H498" s="3" t="str">
        <f t="shared" si="2"/>
        <v>Output SC8 Hyd Blk 3 Opr PX, from Structural Connector Server.</v>
      </c>
    </row>
    <row r="499" spans="1:8" x14ac:dyDescent="0.25">
      <c r="A499" s="3" t="s">
        <v>6983</v>
      </c>
      <c r="B499" s="3" t="s">
        <v>6991</v>
      </c>
      <c r="C499" s="3" t="s">
        <v>6985</v>
      </c>
      <c r="D499" s="3" t="s">
        <v>6249</v>
      </c>
      <c r="E499" s="3">
        <v>498</v>
      </c>
      <c r="F499" s="3" t="s">
        <v>5281</v>
      </c>
      <c r="G499" s="3" t="s">
        <v>5989</v>
      </c>
      <c r="H499" s="3" t="str">
        <f t="shared" si="2"/>
        <v>Output SC9 Upper Main Jack PX, from Structural Connector Server.</v>
      </c>
    </row>
    <row r="500" spans="1:8" x14ac:dyDescent="0.25">
      <c r="A500" s="3" t="s">
        <v>6983</v>
      </c>
      <c r="B500" s="3" t="s">
        <v>6991</v>
      </c>
      <c r="C500" s="3" t="s">
        <v>6985</v>
      </c>
      <c r="D500" s="3" t="s">
        <v>6249</v>
      </c>
      <c r="E500" s="3">
        <v>499</v>
      </c>
      <c r="F500" s="3" t="s">
        <v>5282</v>
      </c>
      <c r="G500" s="3" t="s">
        <v>5989</v>
      </c>
      <c r="H500" s="3" t="str">
        <f t="shared" si="2"/>
        <v>Output SC9 Lower Main Jack PX, from Structural Connector Server.</v>
      </c>
    </row>
    <row r="501" spans="1:8" x14ac:dyDescent="0.25">
      <c r="A501" s="3" t="s">
        <v>6983</v>
      </c>
      <c r="B501" s="3" t="s">
        <v>6991</v>
      </c>
      <c r="C501" s="3" t="s">
        <v>6985</v>
      </c>
      <c r="D501" s="3" t="s">
        <v>6249</v>
      </c>
      <c r="E501" s="3">
        <v>500</v>
      </c>
      <c r="F501" s="3" t="s">
        <v>5283</v>
      </c>
      <c r="G501" s="3" t="s">
        <v>5989</v>
      </c>
      <c r="H501" s="3" t="str">
        <f t="shared" si="2"/>
        <v>Output SC9 Accumulator PX 1, from Structural Connector Server.</v>
      </c>
    </row>
    <row r="502" spans="1:8" x14ac:dyDescent="0.25">
      <c r="A502" s="3" t="s">
        <v>6983</v>
      </c>
      <c r="B502" s="3" t="s">
        <v>6991</v>
      </c>
      <c r="C502" s="3" t="s">
        <v>6985</v>
      </c>
      <c r="D502" s="3" t="s">
        <v>6249</v>
      </c>
      <c r="E502" s="3">
        <v>501</v>
      </c>
      <c r="F502" s="3" t="s">
        <v>5284</v>
      </c>
      <c r="G502" s="3" t="s">
        <v>5989</v>
      </c>
      <c r="H502" s="3" t="str">
        <f t="shared" si="2"/>
        <v>Output SC9 Accumulator PX 2, from Structural Connector Server.</v>
      </c>
    </row>
    <row r="503" spans="1:8" x14ac:dyDescent="0.25">
      <c r="A503" s="3" t="s">
        <v>6983</v>
      </c>
      <c r="B503" s="3" t="s">
        <v>6991</v>
      </c>
      <c r="C503" s="3" t="s">
        <v>6985</v>
      </c>
      <c r="D503" s="3" t="s">
        <v>6249</v>
      </c>
      <c r="E503" s="3">
        <v>502</v>
      </c>
      <c r="F503" s="3" t="s">
        <v>5285</v>
      </c>
      <c r="G503" s="3" t="s">
        <v>5989</v>
      </c>
      <c r="H503" s="3" t="str">
        <f t="shared" si="2"/>
        <v>Output SC9 Bck Release Accum PX, from Structural Connector Server.</v>
      </c>
    </row>
    <row r="504" spans="1:8" x14ac:dyDescent="0.25">
      <c r="A504" s="3" t="s">
        <v>6983</v>
      </c>
      <c r="B504" s="3" t="s">
        <v>6991</v>
      </c>
      <c r="C504" s="3" t="s">
        <v>6985</v>
      </c>
      <c r="D504" s="3" t="s">
        <v>6249</v>
      </c>
      <c r="E504" s="3">
        <v>503</v>
      </c>
      <c r="F504" s="3" t="s">
        <v>5286</v>
      </c>
      <c r="G504" s="3" t="s">
        <v>5989</v>
      </c>
      <c r="H504" s="3" t="str">
        <f t="shared" si="2"/>
        <v>Output SC9 Rotate Blk Dev Opr PX, from Structural Connector Server.</v>
      </c>
    </row>
    <row r="505" spans="1:8" x14ac:dyDescent="0.25">
      <c r="A505" s="3" t="s">
        <v>6983</v>
      </c>
      <c r="B505" s="3" t="s">
        <v>6991</v>
      </c>
      <c r="C505" s="3" t="s">
        <v>6985</v>
      </c>
      <c r="D505" s="3" t="s">
        <v>6249</v>
      </c>
      <c r="E505" s="3">
        <v>504</v>
      </c>
      <c r="F505" s="3" t="s">
        <v>5287</v>
      </c>
      <c r="G505" s="3" t="s">
        <v>5989</v>
      </c>
      <c r="H505" s="3" t="str">
        <f t="shared" si="2"/>
        <v>Output SC9 Discnxt Vlv Opr PX, from Structural Connector Server.</v>
      </c>
    </row>
    <row r="506" spans="1:8" x14ac:dyDescent="0.25">
      <c r="A506" s="3" t="s">
        <v>6983</v>
      </c>
      <c r="B506" s="3" t="s">
        <v>6991</v>
      </c>
      <c r="C506" s="3" t="s">
        <v>6985</v>
      </c>
      <c r="D506" s="3" t="s">
        <v>6249</v>
      </c>
      <c r="E506" s="3">
        <v>505</v>
      </c>
      <c r="F506" s="3" t="s">
        <v>5288</v>
      </c>
      <c r="G506" s="3" t="s">
        <v>5989</v>
      </c>
      <c r="H506" s="3" t="str">
        <f t="shared" si="2"/>
        <v>Output SC9 Main Accum 1 NI PX, from Structural Connector Server.</v>
      </c>
    </row>
    <row r="507" spans="1:8" x14ac:dyDescent="0.25">
      <c r="A507" s="3" t="s">
        <v>6983</v>
      </c>
      <c r="B507" s="3" t="s">
        <v>6991</v>
      </c>
      <c r="C507" s="3" t="s">
        <v>6985</v>
      </c>
      <c r="D507" s="3" t="s">
        <v>6249</v>
      </c>
      <c r="E507" s="3">
        <v>506</v>
      </c>
      <c r="F507" s="3" t="s">
        <v>5289</v>
      </c>
      <c r="G507" s="3" t="s">
        <v>5989</v>
      </c>
      <c r="H507" s="3" t="str">
        <f t="shared" si="2"/>
        <v>Output SC9 Main Accum 2 NI PX, from Structural Connector Server.</v>
      </c>
    </row>
    <row r="508" spans="1:8" x14ac:dyDescent="0.25">
      <c r="A508" s="3" t="s">
        <v>6983</v>
      </c>
      <c r="B508" s="3" t="s">
        <v>6991</v>
      </c>
      <c r="C508" s="3" t="s">
        <v>6985</v>
      </c>
      <c r="D508" s="3" t="s">
        <v>6249</v>
      </c>
      <c r="E508" s="3">
        <v>507</v>
      </c>
      <c r="F508" s="3" t="s">
        <v>5290</v>
      </c>
      <c r="G508" s="3" t="s">
        <v>5989</v>
      </c>
      <c r="H508" s="3" t="str">
        <f t="shared" ref="H508:H571" si="3">_xlfn.CONCAT("Output ",F508, ", from Structural Connector Server.")</f>
        <v>Output SC9 Main Accum 3 NI PX, from Structural Connector Server.</v>
      </c>
    </row>
    <row r="509" spans="1:8" x14ac:dyDescent="0.25">
      <c r="A509" s="3" t="s">
        <v>6983</v>
      </c>
      <c r="B509" s="3" t="s">
        <v>6991</v>
      </c>
      <c r="C509" s="3" t="s">
        <v>6985</v>
      </c>
      <c r="D509" s="3" t="s">
        <v>6249</v>
      </c>
      <c r="E509" s="3">
        <v>508</v>
      </c>
      <c r="F509" s="3" t="s">
        <v>5291</v>
      </c>
      <c r="G509" s="3" t="s">
        <v>5989</v>
      </c>
      <c r="H509" s="3" t="str">
        <f t="shared" si="3"/>
        <v>Output SC9 Hyd Blk 1 Opr PX, from Structural Connector Server.</v>
      </c>
    </row>
    <row r="510" spans="1:8" x14ac:dyDescent="0.25">
      <c r="A510" s="3" t="s">
        <v>6983</v>
      </c>
      <c r="B510" s="3" t="s">
        <v>6991</v>
      </c>
      <c r="C510" s="3" t="s">
        <v>6985</v>
      </c>
      <c r="D510" s="3" t="s">
        <v>6249</v>
      </c>
      <c r="E510" s="3">
        <v>509</v>
      </c>
      <c r="F510" s="3" t="s">
        <v>5292</v>
      </c>
      <c r="G510" s="3" t="s">
        <v>5989</v>
      </c>
      <c r="H510" s="3" t="str">
        <f t="shared" si="3"/>
        <v>Output SC9 Hyd Blk 2 Opr PX, from Structural Connector Server.</v>
      </c>
    </row>
    <row r="511" spans="1:8" x14ac:dyDescent="0.25">
      <c r="A511" s="3" t="s">
        <v>6983</v>
      </c>
      <c r="B511" s="3" t="s">
        <v>6991</v>
      </c>
      <c r="C511" s="3" t="s">
        <v>6985</v>
      </c>
      <c r="D511" s="3" t="s">
        <v>6249</v>
      </c>
      <c r="E511" s="3">
        <v>510</v>
      </c>
      <c r="F511" s="3" t="s">
        <v>5293</v>
      </c>
      <c r="G511" s="3" t="s">
        <v>5989</v>
      </c>
      <c r="H511" s="3" t="str">
        <f t="shared" si="3"/>
        <v>Output SC9 Hyd Blk 3 Opr PX, from Structural Connector Server.</v>
      </c>
    </row>
    <row r="512" spans="1:8" x14ac:dyDescent="0.25">
      <c r="A512" s="3" t="s">
        <v>6983</v>
      </c>
      <c r="B512" s="3" t="s">
        <v>6991</v>
      </c>
      <c r="C512" s="3" t="s">
        <v>6985</v>
      </c>
      <c r="D512" s="3" t="s">
        <v>6250</v>
      </c>
      <c r="E512" s="3">
        <v>511</v>
      </c>
      <c r="F512" s="3" t="s">
        <v>5294</v>
      </c>
      <c r="G512" s="3" t="s">
        <v>5992</v>
      </c>
      <c r="H512" s="3" t="str">
        <f t="shared" si="3"/>
        <v>Output SC1 Lock Wedge Counter, from Structural Connector Server.</v>
      </c>
    </row>
    <row r="513" spans="1:8" x14ac:dyDescent="0.25">
      <c r="A513" s="3" t="s">
        <v>6983</v>
      </c>
      <c r="B513" s="3" t="s">
        <v>6991</v>
      </c>
      <c r="C513" s="3" t="s">
        <v>6985</v>
      </c>
      <c r="D513" s="3" t="s">
        <v>6250</v>
      </c>
      <c r="E513" s="3">
        <v>512</v>
      </c>
      <c r="F513" s="3" t="s">
        <v>5295</v>
      </c>
      <c r="G513" s="3" t="s">
        <v>5992</v>
      </c>
      <c r="H513" s="3" t="str">
        <f t="shared" si="3"/>
        <v>Output SC2 Lock Wedge Counter, from Structural Connector Server.</v>
      </c>
    </row>
    <row r="514" spans="1:8" x14ac:dyDescent="0.25">
      <c r="A514" s="3" t="s">
        <v>6983</v>
      </c>
      <c r="B514" s="3" t="s">
        <v>6991</v>
      </c>
      <c r="C514" s="3" t="s">
        <v>6985</v>
      </c>
      <c r="D514" s="3" t="s">
        <v>6250</v>
      </c>
      <c r="E514" s="3">
        <v>513</v>
      </c>
      <c r="F514" s="3" t="s">
        <v>5296</v>
      </c>
      <c r="G514" s="3" t="s">
        <v>5992</v>
      </c>
      <c r="H514" s="3" t="str">
        <f t="shared" si="3"/>
        <v>Output SC3 Lock Wedge Counter, from Structural Connector Server.</v>
      </c>
    </row>
    <row r="515" spans="1:8" x14ac:dyDescent="0.25">
      <c r="A515" s="3" t="s">
        <v>6983</v>
      </c>
      <c r="B515" s="3" t="s">
        <v>6991</v>
      </c>
      <c r="C515" s="3" t="s">
        <v>6985</v>
      </c>
      <c r="D515" s="3" t="s">
        <v>6250</v>
      </c>
      <c r="E515" s="3">
        <v>514</v>
      </c>
      <c r="F515" s="3" t="s">
        <v>5297</v>
      </c>
      <c r="G515" s="3" t="s">
        <v>5992</v>
      </c>
      <c r="H515" s="3" t="str">
        <f t="shared" si="3"/>
        <v>Output SC4 Lock Wedge Counter, from Structural Connector Server.</v>
      </c>
    </row>
    <row r="516" spans="1:8" x14ac:dyDescent="0.25">
      <c r="A516" s="3" t="s">
        <v>6983</v>
      </c>
      <c r="B516" s="3" t="s">
        <v>6991</v>
      </c>
      <c r="C516" s="3" t="s">
        <v>6985</v>
      </c>
      <c r="D516" s="3" t="s">
        <v>6250</v>
      </c>
      <c r="E516" s="3">
        <v>515</v>
      </c>
      <c r="F516" s="3" t="s">
        <v>5298</v>
      </c>
      <c r="G516" s="3" t="s">
        <v>5992</v>
      </c>
      <c r="H516" s="3" t="str">
        <f t="shared" si="3"/>
        <v>Output SC5 Lock Wedge Counter, from Structural Connector Server.</v>
      </c>
    </row>
    <row r="517" spans="1:8" x14ac:dyDescent="0.25">
      <c r="A517" s="3" t="s">
        <v>6983</v>
      </c>
      <c r="B517" s="3" t="s">
        <v>6991</v>
      </c>
      <c r="C517" s="3" t="s">
        <v>6985</v>
      </c>
      <c r="D517" s="3" t="s">
        <v>6250</v>
      </c>
      <c r="E517" s="3">
        <v>516</v>
      </c>
      <c r="F517" s="3" t="s">
        <v>5299</v>
      </c>
      <c r="G517" s="3" t="s">
        <v>5992</v>
      </c>
      <c r="H517" s="3" t="str">
        <f t="shared" si="3"/>
        <v>Output SC6 Lock Wedge Counter, from Structural Connector Server.</v>
      </c>
    </row>
    <row r="518" spans="1:8" x14ac:dyDescent="0.25">
      <c r="A518" s="3" t="s">
        <v>6983</v>
      </c>
      <c r="B518" s="3" t="s">
        <v>6991</v>
      </c>
      <c r="C518" s="3" t="s">
        <v>6985</v>
      </c>
      <c r="D518" s="3" t="s">
        <v>6250</v>
      </c>
      <c r="E518" s="3">
        <v>517</v>
      </c>
      <c r="F518" s="3" t="s">
        <v>5300</v>
      </c>
      <c r="G518" s="3" t="s">
        <v>5992</v>
      </c>
      <c r="H518" s="3" t="str">
        <f t="shared" si="3"/>
        <v>Output SC7 Lock Wedge Counter, from Structural Connector Server.</v>
      </c>
    </row>
    <row r="519" spans="1:8" x14ac:dyDescent="0.25">
      <c r="A519" s="3" t="s">
        <v>6983</v>
      </c>
      <c r="B519" s="3" t="s">
        <v>6991</v>
      </c>
      <c r="C519" s="3" t="s">
        <v>6985</v>
      </c>
      <c r="D519" s="3" t="s">
        <v>6250</v>
      </c>
      <c r="E519" s="3">
        <v>518</v>
      </c>
      <c r="F519" s="3" t="s">
        <v>5301</v>
      </c>
      <c r="G519" s="3" t="s">
        <v>5992</v>
      </c>
      <c r="H519" s="3" t="str">
        <f t="shared" si="3"/>
        <v>Output SC8 Lock Wedge Counter, from Structural Connector Server.</v>
      </c>
    </row>
    <row r="520" spans="1:8" x14ac:dyDescent="0.25">
      <c r="A520" s="3" t="s">
        <v>6983</v>
      </c>
      <c r="B520" s="3" t="s">
        <v>6991</v>
      </c>
      <c r="C520" s="3" t="s">
        <v>6985</v>
      </c>
      <c r="D520" s="3" t="s">
        <v>6250</v>
      </c>
      <c r="E520" s="3">
        <v>519</v>
      </c>
      <c r="F520" s="3" t="s">
        <v>5302</v>
      </c>
      <c r="G520" s="3" t="s">
        <v>5992</v>
      </c>
      <c r="H520" s="3" t="str">
        <f t="shared" si="3"/>
        <v>Output SC9 Lock Wedge Counter, from Structural Connector Server.</v>
      </c>
    </row>
    <row r="521" spans="1:8" x14ac:dyDescent="0.25">
      <c r="A521" s="3" t="s">
        <v>6983</v>
      </c>
      <c r="B521" s="3" t="s">
        <v>6991</v>
      </c>
      <c r="C521" s="3" t="s">
        <v>6985</v>
      </c>
      <c r="D521" s="3" t="s">
        <v>6250</v>
      </c>
      <c r="E521" s="3">
        <v>520</v>
      </c>
      <c r="F521" s="3" t="s">
        <v>5303</v>
      </c>
      <c r="G521" s="3" t="s">
        <v>20</v>
      </c>
      <c r="H521" s="3" t="str">
        <f t="shared" si="3"/>
        <v>Output SC10 Shutdwn Conf Sgl, from Structural Connector Server.</v>
      </c>
    </row>
    <row r="522" spans="1:8" x14ac:dyDescent="0.25">
      <c r="A522" s="3" t="s">
        <v>6983</v>
      </c>
      <c r="B522" s="3" t="s">
        <v>6991</v>
      </c>
      <c r="C522" s="3" t="s">
        <v>6985</v>
      </c>
      <c r="D522" s="3" t="s">
        <v>6251</v>
      </c>
      <c r="E522" s="3">
        <v>521</v>
      </c>
      <c r="F522" s="3" t="s">
        <v>5304</v>
      </c>
      <c r="G522" s="3" t="s">
        <v>20</v>
      </c>
      <c r="H522" s="3" t="str">
        <f t="shared" si="3"/>
        <v>Output SC1 Unlock Q4, from Structural Connector Server.</v>
      </c>
    </row>
    <row r="523" spans="1:8" x14ac:dyDescent="0.25">
      <c r="A523" s="3" t="s">
        <v>6983</v>
      </c>
      <c r="B523" s="3" t="s">
        <v>6991</v>
      </c>
      <c r="C523" s="3" t="s">
        <v>6985</v>
      </c>
      <c r="D523" s="3" t="s">
        <v>6251</v>
      </c>
      <c r="E523" s="3">
        <v>522</v>
      </c>
      <c r="F523" s="3" t="s">
        <v>5305</v>
      </c>
      <c r="G523" s="3" t="s">
        <v>20</v>
      </c>
      <c r="H523" s="3" t="str">
        <f t="shared" si="3"/>
        <v>Output SC1 Unlock Q6, from Structural Connector Server.</v>
      </c>
    </row>
    <row r="524" spans="1:8" x14ac:dyDescent="0.25">
      <c r="A524" s="3" t="s">
        <v>6983</v>
      </c>
      <c r="B524" s="3" t="s">
        <v>6991</v>
      </c>
      <c r="C524" s="3" t="s">
        <v>6985</v>
      </c>
      <c r="D524" s="3" t="s">
        <v>6251</v>
      </c>
      <c r="E524" s="3">
        <v>523</v>
      </c>
      <c r="F524" s="3" t="s">
        <v>5306</v>
      </c>
      <c r="G524" s="3" t="s">
        <v>20</v>
      </c>
      <c r="H524" s="3" t="str">
        <f t="shared" si="3"/>
        <v>Output SC1 Depress Main Jack, from Structural Connector Server.</v>
      </c>
    </row>
    <row r="525" spans="1:8" x14ac:dyDescent="0.25">
      <c r="A525" s="3" t="s">
        <v>6983</v>
      </c>
      <c r="B525" s="3" t="s">
        <v>6991</v>
      </c>
      <c r="C525" s="3" t="s">
        <v>6985</v>
      </c>
      <c r="D525" s="3" t="s">
        <v>6251</v>
      </c>
      <c r="E525" s="3">
        <v>524</v>
      </c>
      <c r="F525" s="3" t="s">
        <v>5307</v>
      </c>
      <c r="G525" s="3" t="s">
        <v>20</v>
      </c>
      <c r="H525" s="3" t="str">
        <f t="shared" si="3"/>
        <v>Output SC1 Cnxt Main Accum, from Structural Connector Server.</v>
      </c>
    </row>
    <row r="526" spans="1:8" x14ac:dyDescent="0.25">
      <c r="A526" s="3" t="s">
        <v>6983</v>
      </c>
      <c r="B526" s="3" t="s">
        <v>6991</v>
      </c>
      <c r="C526" s="3" t="s">
        <v>6985</v>
      </c>
      <c r="D526" s="3" t="s">
        <v>6251</v>
      </c>
      <c r="E526" s="3">
        <v>525</v>
      </c>
      <c r="F526" s="3" t="s">
        <v>5308</v>
      </c>
      <c r="G526" s="3" t="s">
        <v>20</v>
      </c>
      <c r="H526" s="3" t="str">
        <f t="shared" si="3"/>
        <v>Output SC1 Unlock Cart Q12, from Structural Connector Server.</v>
      </c>
    </row>
    <row r="527" spans="1:8" x14ac:dyDescent="0.25">
      <c r="A527" s="3" t="s">
        <v>6983</v>
      </c>
      <c r="B527" s="3" t="s">
        <v>6991</v>
      </c>
      <c r="C527" s="3" t="s">
        <v>6985</v>
      </c>
      <c r="D527" s="3" t="s">
        <v>6251</v>
      </c>
      <c r="E527" s="3">
        <v>526</v>
      </c>
      <c r="F527" s="3" t="s">
        <v>5309</v>
      </c>
      <c r="G527" s="3" t="s">
        <v>20</v>
      </c>
      <c r="H527" s="3" t="str">
        <f t="shared" si="3"/>
        <v>Output SC1 Unlock Cart Q13, from Structural Connector Server.</v>
      </c>
    </row>
    <row r="528" spans="1:8" x14ac:dyDescent="0.25">
      <c r="A528" s="3" t="s">
        <v>6983</v>
      </c>
      <c r="B528" s="3" t="s">
        <v>6991</v>
      </c>
      <c r="C528" s="3" t="s">
        <v>6985</v>
      </c>
      <c r="D528" s="3" t="s">
        <v>6251</v>
      </c>
      <c r="E528" s="3">
        <v>527</v>
      </c>
      <c r="F528" s="3" t="s">
        <v>5310</v>
      </c>
      <c r="G528" s="3" t="s">
        <v>20</v>
      </c>
      <c r="H528" s="3" t="str">
        <f t="shared" si="3"/>
        <v>Output SC1 Cnxt Accum 1 C3, from Structural Connector Server.</v>
      </c>
    </row>
    <row r="529" spans="1:8" x14ac:dyDescent="0.25">
      <c r="A529" s="3" t="s">
        <v>6983</v>
      </c>
      <c r="B529" s="3" t="s">
        <v>6991</v>
      </c>
      <c r="C529" s="3" t="s">
        <v>6985</v>
      </c>
      <c r="D529" s="3" t="s">
        <v>6251</v>
      </c>
      <c r="E529" s="3">
        <v>528</v>
      </c>
      <c r="F529" s="3" t="s">
        <v>5311</v>
      </c>
      <c r="G529" s="3" t="s">
        <v>20</v>
      </c>
      <c r="H529" s="3" t="str">
        <f t="shared" si="3"/>
        <v>Output SC1 Cnxt Accum 2 C3, from Structural Connector Server.</v>
      </c>
    </row>
    <row r="530" spans="1:8" x14ac:dyDescent="0.25">
      <c r="A530" s="3" t="s">
        <v>6983</v>
      </c>
      <c r="B530" s="3" t="s">
        <v>6991</v>
      </c>
      <c r="C530" s="3" t="s">
        <v>6985</v>
      </c>
      <c r="D530" s="3" t="s">
        <v>6251</v>
      </c>
      <c r="E530" s="3">
        <v>529</v>
      </c>
      <c r="F530" s="3" t="s">
        <v>5312</v>
      </c>
      <c r="G530" s="3" t="s">
        <v>20</v>
      </c>
      <c r="H530" s="3" t="str">
        <f t="shared" si="3"/>
        <v>Output SC1 Motor Rotate CW, from Structural Connector Server.</v>
      </c>
    </row>
    <row r="531" spans="1:8" x14ac:dyDescent="0.25">
      <c r="A531" s="3" t="s">
        <v>6983</v>
      </c>
      <c r="B531" s="3" t="s">
        <v>6991</v>
      </c>
      <c r="C531" s="3" t="s">
        <v>6985</v>
      </c>
      <c r="D531" s="3" t="s">
        <v>6251</v>
      </c>
      <c r="E531" s="3">
        <v>530</v>
      </c>
      <c r="F531" s="3" t="s">
        <v>5313</v>
      </c>
      <c r="G531" s="3" t="s">
        <v>20</v>
      </c>
      <c r="H531" s="3" t="str">
        <f t="shared" si="3"/>
        <v>Output SC1 Motor Rotate CCW, from Structural Connector Server.</v>
      </c>
    </row>
    <row r="532" spans="1:8" x14ac:dyDescent="0.25">
      <c r="A532" s="3" t="s">
        <v>6983</v>
      </c>
      <c r="B532" s="3" t="s">
        <v>6991</v>
      </c>
      <c r="C532" s="3" t="s">
        <v>6985</v>
      </c>
      <c r="D532" s="3" t="s">
        <v>6251</v>
      </c>
      <c r="E532" s="3">
        <v>531</v>
      </c>
      <c r="F532" s="3" t="s">
        <v>5314</v>
      </c>
      <c r="G532" s="3" t="s">
        <v>20</v>
      </c>
      <c r="H532" s="3" t="str">
        <f t="shared" si="3"/>
        <v>Output SC1 Ext Shear Pin Jack 1, from Structural Connector Server.</v>
      </c>
    </row>
    <row r="533" spans="1:8" x14ac:dyDescent="0.25">
      <c r="A533" s="3" t="s">
        <v>6983</v>
      </c>
      <c r="B533" s="3" t="s">
        <v>6991</v>
      </c>
      <c r="C533" s="3" t="s">
        <v>6985</v>
      </c>
      <c r="D533" s="3" t="s">
        <v>6251</v>
      </c>
      <c r="E533" s="3">
        <v>532</v>
      </c>
      <c r="F533" s="3" t="s">
        <v>5315</v>
      </c>
      <c r="G533" s="3" t="s">
        <v>20</v>
      </c>
      <c r="H533" s="3" t="str">
        <f t="shared" si="3"/>
        <v>Output SC1 Ret Shear Pin Jack 1, from Structural Connector Server.</v>
      </c>
    </row>
    <row r="534" spans="1:8" x14ac:dyDescent="0.25">
      <c r="A534" s="3" t="s">
        <v>6983</v>
      </c>
      <c r="B534" s="3" t="s">
        <v>6991</v>
      </c>
      <c r="C534" s="3" t="s">
        <v>6985</v>
      </c>
      <c r="D534" s="3" t="s">
        <v>6251</v>
      </c>
      <c r="E534" s="3">
        <v>533</v>
      </c>
      <c r="F534" s="3" t="s">
        <v>5316</v>
      </c>
      <c r="G534" s="3" t="s">
        <v>20</v>
      </c>
      <c r="H534" s="3" t="str">
        <f t="shared" si="3"/>
        <v>Output SC1 Ext Shear Pin Jack 2, from Structural Connector Server.</v>
      </c>
    </row>
    <row r="535" spans="1:8" x14ac:dyDescent="0.25">
      <c r="A535" s="3" t="s">
        <v>6983</v>
      </c>
      <c r="B535" s="3" t="s">
        <v>6991</v>
      </c>
      <c r="C535" s="3" t="s">
        <v>6985</v>
      </c>
      <c r="D535" s="3" t="s">
        <v>6251</v>
      </c>
      <c r="E535" s="3">
        <v>534</v>
      </c>
      <c r="F535" s="3" t="s">
        <v>5317</v>
      </c>
      <c r="G535" s="3" t="s">
        <v>20</v>
      </c>
      <c r="H535" s="3" t="str">
        <f t="shared" si="3"/>
        <v>Output SC1 Ret Shear Pin Jack 2, from Structural Connector Server.</v>
      </c>
    </row>
    <row r="536" spans="1:8" x14ac:dyDescent="0.25">
      <c r="A536" s="3" t="s">
        <v>6983</v>
      </c>
      <c r="B536" s="3" t="s">
        <v>6991</v>
      </c>
      <c r="C536" s="3" t="s">
        <v>6985</v>
      </c>
      <c r="D536" s="3" t="s">
        <v>6251</v>
      </c>
      <c r="E536" s="3">
        <v>535</v>
      </c>
      <c r="F536" s="3" t="s">
        <v>5318</v>
      </c>
      <c r="G536" s="3" t="s">
        <v>20</v>
      </c>
      <c r="H536" s="3" t="str">
        <f t="shared" si="3"/>
        <v>Output SC1 Ext Lateral Jack 1, from Structural Connector Server.</v>
      </c>
    </row>
    <row r="537" spans="1:8" x14ac:dyDescent="0.25">
      <c r="A537" s="3" t="s">
        <v>6983</v>
      </c>
      <c r="B537" s="3" t="s">
        <v>6991</v>
      </c>
      <c r="C537" s="3" t="s">
        <v>6985</v>
      </c>
      <c r="D537" s="3" t="s">
        <v>6251</v>
      </c>
      <c r="E537" s="3">
        <v>536</v>
      </c>
      <c r="F537" s="3" t="s">
        <v>5319</v>
      </c>
      <c r="G537" s="3" t="s">
        <v>20</v>
      </c>
      <c r="H537" s="3" t="str">
        <f t="shared" si="3"/>
        <v>Output SC1 Ret Lateral Jack 1, from Structural Connector Server.</v>
      </c>
    </row>
    <row r="538" spans="1:8" x14ac:dyDescent="0.25">
      <c r="A538" s="3" t="s">
        <v>6983</v>
      </c>
      <c r="B538" s="3" t="s">
        <v>6991</v>
      </c>
      <c r="C538" s="3" t="s">
        <v>6985</v>
      </c>
      <c r="D538" s="3" t="s">
        <v>6251</v>
      </c>
      <c r="E538" s="3">
        <v>537</v>
      </c>
      <c r="F538" s="3" t="s">
        <v>5320</v>
      </c>
      <c r="G538" s="3" t="s">
        <v>20</v>
      </c>
      <c r="H538" s="3" t="str">
        <f t="shared" si="3"/>
        <v>Output SC1 Ext Lateral Jack 2, from Structural Connector Server.</v>
      </c>
    </row>
    <row r="539" spans="1:8" x14ac:dyDescent="0.25">
      <c r="A539" s="3" t="s">
        <v>6983</v>
      </c>
      <c r="B539" s="3" t="s">
        <v>6991</v>
      </c>
      <c r="C539" s="3" t="s">
        <v>6985</v>
      </c>
      <c r="D539" s="3" t="s">
        <v>6251</v>
      </c>
      <c r="E539" s="3">
        <v>538</v>
      </c>
      <c r="F539" s="3" t="s">
        <v>5321</v>
      </c>
      <c r="G539" s="3" t="s">
        <v>20</v>
      </c>
      <c r="H539" s="3" t="str">
        <f t="shared" si="3"/>
        <v>Output SC1 Ret Lateral Jack 2, from Structural Connector Server.</v>
      </c>
    </row>
    <row r="540" spans="1:8" x14ac:dyDescent="0.25">
      <c r="A540" s="3" t="s">
        <v>6983</v>
      </c>
      <c r="B540" s="3" t="s">
        <v>6991</v>
      </c>
      <c r="C540" s="3" t="s">
        <v>6985</v>
      </c>
      <c r="D540" s="3" t="s">
        <v>6251</v>
      </c>
      <c r="E540" s="3">
        <v>539</v>
      </c>
      <c r="F540" s="3" t="s">
        <v>5322</v>
      </c>
      <c r="G540" s="3" t="s">
        <v>20</v>
      </c>
      <c r="H540" s="3" t="str">
        <f t="shared" si="3"/>
        <v>Output SC1 Hyd Motor-M7 Ctrl, from Structural Connector Server.</v>
      </c>
    </row>
    <row r="541" spans="1:8" x14ac:dyDescent="0.25">
      <c r="A541" s="3" t="s">
        <v>6983</v>
      </c>
      <c r="B541" s="3" t="s">
        <v>6991</v>
      </c>
      <c r="C541" s="3" t="s">
        <v>6985</v>
      </c>
      <c r="D541" s="3" t="s">
        <v>6251</v>
      </c>
      <c r="E541" s="3">
        <v>540</v>
      </c>
      <c r="F541" s="3" t="s">
        <v>5323</v>
      </c>
      <c r="G541" s="3" t="s">
        <v>20</v>
      </c>
      <c r="H541" s="3" t="str">
        <f t="shared" si="3"/>
        <v>Output SC1 Hyd Pump Running, from Structural Connector Server.</v>
      </c>
    </row>
    <row r="542" spans="1:8" x14ac:dyDescent="0.25">
      <c r="A542" s="3" t="s">
        <v>6983</v>
      </c>
      <c r="B542" s="3" t="s">
        <v>6991</v>
      </c>
      <c r="C542" s="3" t="s">
        <v>6985</v>
      </c>
      <c r="D542" s="3" t="s">
        <v>6251</v>
      </c>
      <c r="E542" s="3">
        <v>541</v>
      </c>
      <c r="F542" s="3" t="s">
        <v>5324</v>
      </c>
      <c r="G542" s="3" t="s">
        <v>20</v>
      </c>
      <c r="H542" s="3" t="str">
        <f t="shared" si="3"/>
        <v>Output SC1 Load Redund Accum, from Structural Connector Server.</v>
      </c>
    </row>
    <row r="543" spans="1:8" x14ac:dyDescent="0.25">
      <c r="A543" s="3" t="s">
        <v>6983</v>
      </c>
      <c r="B543" s="3" t="s">
        <v>6991</v>
      </c>
      <c r="C543" s="3" t="s">
        <v>6985</v>
      </c>
      <c r="D543" s="3" t="s">
        <v>6251</v>
      </c>
      <c r="E543" s="3">
        <v>542</v>
      </c>
      <c r="F543" s="3" t="s">
        <v>5325</v>
      </c>
      <c r="G543" s="3" t="s">
        <v>20</v>
      </c>
      <c r="H543" s="3" t="str">
        <f t="shared" si="3"/>
        <v>Output SC1 Load Accum, from Structural Connector Server.</v>
      </c>
    </row>
    <row r="544" spans="1:8" x14ac:dyDescent="0.25">
      <c r="A544" s="3" t="s">
        <v>6983</v>
      </c>
      <c r="B544" s="3" t="s">
        <v>6991</v>
      </c>
      <c r="C544" s="3" t="s">
        <v>6985</v>
      </c>
      <c r="D544" s="3" t="s">
        <v>6251</v>
      </c>
      <c r="E544" s="3">
        <v>543</v>
      </c>
      <c r="F544" s="3" t="s">
        <v>5326</v>
      </c>
      <c r="G544" s="3" t="s">
        <v>20</v>
      </c>
      <c r="H544" s="3" t="str">
        <f t="shared" si="3"/>
        <v>Output SC1 PX Switch, from Structural Connector Server.</v>
      </c>
    </row>
    <row r="545" spans="1:8" x14ac:dyDescent="0.25">
      <c r="A545" s="3" t="s">
        <v>6983</v>
      </c>
      <c r="B545" s="3" t="s">
        <v>6991</v>
      </c>
      <c r="C545" s="3" t="s">
        <v>6985</v>
      </c>
      <c r="D545" s="3" t="s">
        <v>6251</v>
      </c>
      <c r="E545" s="3">
        <v>544</v>
      </c>
      <c r="F545" s="3" t="s">
        <v>5327</v>
      </c>
      <c r="G545" s="3" t="s">
        <v>20</v>
      </c>
      <c r="H545" s="3" t="str">
        <f t="shared" si="3"/>
        <v>Output SC1 Ret Pressure Main Jack, from Structural Connector Server.</v>
      </c>
    </row>
    <row r="546" spans="1:8" x14ac:dyDescent="0.25">
      <c r="A546" s="3" t="s">
        <v>6983</v>
      </c>
      <c r="B546" s="3" t="s">
        <v>6991</v>
      </c>
      <c r="C546" s="3" t="s">
        <v>6985</v>
      </c>
      <c r="D546" s="3" t="s">
        <v>6251</v>
      </c>
      <c r="E546" s="3">
        <v>545</v>
      </c>
      <c r="F546" s="3" t="s">
        <v>5328</v>
      </c>
      <c r="G546" s="3" t="s">
        <v>20</v>
      </c>
      <c r="H546" s="3" t="str">
        <f t="shared" si="3"/>
        <v>Output SC1 Ext Pressure Main Jack, from Structural Connector Server.</v>
      </c>
    </row>
    <row r="547" spans="1:8" x14ac:dyDescent="0.25">
      <c r="A547" s="3" t="s">
        <v>6983</v>
      </c>
      <c r="B547" s="3" t="s">
        <v>6991</v>
      </c>
      <c r="C547" s="3" t="s">
        <v>6985</v>
      </c>
      <c r="D547" s="3" t="s">
        <v>6252</v>
      </c>
      <c r="E547" s="3">
        <v>546</v>
      </c>
      <c r="F547" s="3" t="s">
        <v>5329</v>
      </c>
      <c r="G547" s="3" t="s">
        <v>20</v>
      </c>
      <c r="H547" s="3" t="str">
        <f t="shared" si="3"/>
        <v>Output SC2 Unlock Q4, from Structural Connector Server.</v>
      </c>
    </row>
    <row r="548" spans="1:8" x14ac:dyDescent="0.25">
      <c r="A548" s="3" t="s">
        <v>6983</v>
      </c>
      <c r="B548" s="3" t="s">
        <v>6991</v>
      </c>
      <c r="C548" s="3" t="s">
        <v>6985</v>
      </c>
      <c r="D548" s="3" t="s">
        <v>6252</v>
      </c>
      <c r="E548" s="3">
        <v>547</v>
      </c>
      <c r="F548" s="3" t="s">
        <v>5330</v>
      </c>
      <c r="G548" s="3" t="s">
        <v>20</v>
      </c>
      <c r="H548" s="3" t="str">
        <f t="shared" si="3"/>
        <v>Output SC2 Unlock Q6, from Structural Connector Server.</v>
      </c>
    </row>
    <row r="549" spans="1:8" x14ac:dyDescent="0.25">
      <c r="A549" s="3" t="s">
        <v>6983</v>
      </c>
      <c r="B549" s="3" t="s">
        <v>6991</v>
      </c>
      <c r="C549" s="3" t="s">
        <v>6985</v>
      </c>
      <c r="D549" s="3" t="s">
        <v>6252</v>
      </c>
      <c r="E549" s="3">
        <v>548</v>
      </c>
      <c r="F549" s="3" t="s">
        <v>5331</v>
      </c>
      <c r="G549" s="3" t="s">
        <v>20</v>
      </c>
      <c r="H549" s="3" t="str">
        <f t="shared" si="3"/>
        <v>Output SC2 Depress Main Jack, from Structural Connector Server.</v>
      </c>
    </row>
    <row r="550" spans="1:8" x14ac:dyDescent="0.25">
      <c r="A550" s="3" t="s">
        <v>6983</v>
      </c>
      <c r="B550" s="3" t="s">
        <v>6991</v>
      </c>
      <c r="C550" s="3" t="s">
        <v>6985</v>
      </c>
      <c r="D550" s="3" t="s">
        <v>6252</v>
      </c>
      <c r="E550" s="3">
        <v>549</v>
      </c>
      <c r="F550" s="3" t="s">
        <v>5332</v>
      </c>
      <c r="G550" s="3" t="s">
        <v>20</v>
      </c>
      <c r="H550" s="3" t="str">
        <f t="shared" si="3"/>
        <v>Output SC2 Cnxt Main Accum, from Structural Connector Server.</v>
      </c>
    </row>
    <row r="551" spans="1:8" x14ac:dyDescent="0.25">
      <c r="A551" s="3" t="s">
        <v>6983</v>
      </c>
      <c r="B551" s="3" t="s">
        <v>6991</v>
      </c>
      <c r="C551" s="3" t="s">
        <v>6985</v>
      </c>
      <c r="D551" s="3" t="s">
        <v>6252</v>
      </c>
      <c r="E551" s="3">
        <v>550</v>
      </c>
      <c r="F551" s="3" t="s">
        <v>5333</v>
      </c>
      <c r="G551" s="3" t="s">
        <v>20</v>
      </c>
      <c r="H551" s="3" t="str">
        <f t="shared" si="3"/>
        <v>Output SC2 Unlock Cart Q12, from Structural Connector Server.</v>
      </c>
    </row>
    <row r="552" spans="1:8" x14ac:dyDescent="0.25">
      <c r="A552" s="3" t="s">
        <v>6983</v>
      </c>
      <c r="B552" s="3" t="s">
        <v>6991</v>
      </c>
      <c r="C552" s="3" t="s">
        <v>6985</v>
      </c>
      <c r="D552" s="3" t="s">
        <v>6252</v>
      </c>
      <c r="E552" s="3">
        <v>551</v>
      </c>
      <c r="F552" s="3" t="s">
        <v>5334</v>
      </c>
      <c r="G552" s="3" t="s">
        <v>20</v>
      </c>
      <c r="H552" s="3" t="str">
        <f t="shared" si="3"/>
        <v>Output SC2 Unlock Cart Q13, from Structural Connector Server.</v>
      </c>
    </row>
    <row r="553" spans="1:8" x14ac:dyDescent="0.25">
      <c r="A553" s="3" t="s">
        <v>6983</v>
      </c>
      <c r="B553" s="3" t="s">
        <v>6991</v>
      </c>
      <c r="C553" s="3" t="s">
        <v>6985</v>
      </c>
      <c r="D553" s="3" t="s">
        <v>6252</v>
      </c>
      <c r="E553" s="3">
        <v>552</v>
      </c>
      <c r="F553" s="3" t="s">
        <v>5335</v>
      </c>
      <c r="G553" s="3" t="s">
        <v>20</v>
      </c>
      <c r="H553" s="3" t="str">
        <f t="shared" si="3"/>
        <v>Output SC2 Cnxt Accum 1 C3, from Structural Connector Server.</v>
      </c>
    </row>
    <row r="554" spans="1:8" x14ac:dyDescent="0.25">
      <c r="A554" s="3" t="s">
        <v>6983</v>
      </c>
      <c r="B554" s="3" t="s">
        <v>6991</v>
      </c>
      <c r="C554" s="3" t="s">
        <v>6985</v>
      </c>
      <c r="D554" s="3" t="s">
        <v>6252</v>
      </c>
      <c r="E554" s="3">
        <v>553</v>
      </c>
      <c r="F554" s="3" t="s">
        <v>5336</v>
      </c>
      <c r="G554" s="3" t="s">
        <v>20</v>
      </c>
      <c r="H554" s="3" t="str">
        <f t="shared" si="3"/>
        <v>Output SC2 Cnxt Accum 2 C3, from Structural Connector Server.</v>
      </c>
    </row>
    <row r="555" spans="1:8" x14ac:dyDescent="0.25">
      <c r="A555" s="3" t="s">
        <v>6983</v>
      </c>
      <c r="B555" s="3" t="s">
        <v>6991</v>
      </c>
      <c r="C555" s="3" t="s">
        <v>6985</v>
      </c>
      <c r="D555" s="3" t="s">
        <v>6252</v>
      </c>
      <c r="E555" s="3">
        <v>554</v>
      </c>
      <c r="F555" s="3" t="s">
        <v>5337</v>
      </c>
      <c r="G555" s="3" t="s">
        <v>20</v>
      </c>
      <c r="H555" s="3" t="str">
        <f t="shared" si="3"/>
        <v>Output SC2 Motor Rotate CW, from Structural Connector Server.</v>
      </c>
    </row>
    <row r="556" spans="1:8" x14ac:dyDescent="0.25">
      <c r="A556" s="3" t="s">
        <v>6983</v>
      </c>
      <c r="B556" s="3" t="s">
        <v>6991</v>
      </c>
      <c r="C556" s="3" t="s">
        <v>6985</v>
      </c>
      <c r="D556" s="3" t="s">
        <v>6252</v>
      </c>
      <c r="E556" s="3">
        <v>555</v>
      </c>
      <c r="F556" s="3" t="s">
        <v>5338</v>
      </c>
      <c r="G556" s="3" t="s">
        <v>20</v>
      </c>
      <c r="H556" s="3" t="str">
        <f t="shared" si="3"/>
        <v>Output SC2 Motor Rotate CCW, from Structural Connector Server.</v>
      </c>
    </row>
    <row r="557" spans="1:8" x14ac:dyDescent="0.25">
      <c r="A557" s="3" t="s">
        <v>6983</v>
      </c>
      <c r="B557" s="3" t="s">
        <v>6991</v>
      </c>
      <c r="C557" s="3" t="s">
        <v>6985</v>
      </c>
      <c r="D557" s="3" t="s">
        <v>6252</v>
      </c>
      <c r="E557" s="3">
        <v>556</v>
      </c>
      <c r="F557" s="3" t="s">
        <v>5339</v>
      </c>
      <c r="G557" s="3" t="s">
        <v>20</v>
      </c>
      <c r="H557" s="3" t="str">
        <f t="shared" si="3"/>
        <v>Output SC2 Ext Shear Pin Jack 1, from Structural Connector Server.</v>
      </c>
    </row>
    <row r="558" spans="1:8" x14ac:dyDescent="0.25">
      <c r="A558" s="3" t="s">
        <v>6983</v>
      </c>
      <c r="B558" s="3" t="s">
        <v>6991</v>
      </c>
      <c r="C558" s="3" t="s">
        <v>6985</v>
      </c>
      <c r="D558" s="3" t="s">
        <v>6252</v>
      </c>
      <c r="E558" s="3">
        <v>557</v>
      </c>
      <c r="F558" s="3" t="s">
        <v>5340</v>
      </c>
      <c r="G558" s="3" t="s">
        <v>20</v>
      </c>
      <c r="H558" s="3" t="str">
        <f t="shared" si="3"/>
        <v>Output SC2 Ret Shear Pin Jack 1, from Structural Connector Server.</v>
      </c>
    </row>
    <row r="559" spans="1:8" x14ac:dyDescent="0.25">
      <c r="A559" s="3" t="s">
        <v>6983</v>
      </c>
      <c r="B559" s="3" t="s">
        <v>6991</v>
      </c>
      <c r="C559" s="3" t="s">
        <v>6985</v>
      </c>
      <c r="D559" s="3" t="s">
        <v>6252</v>
      </c>
      <c r="E559" s="3">
        <v>558</v>
      </c>
      <c r="F559" s="3" t="s">
        <v>5341</v>
      </c>
      <c r="G559" s="3" t="s">
        <v>20</v>
      </c>
      <c r="H559" s="3" t="str">
        <f t="shared" si="3"/>
        <v>Output SC2 Ext Shear Pin Jack 2, from Structural Connector Server.</v>
      </c>
    </row>
    <row r="560" spans="1:8" x14ac:dyDescent="0.25">
      <c r="A560" s="3" t="s">
        <v>6983</v>
      </c>
      <c r="B560" s="3" t="s">
        <v>6991</v>
      </c>
      <c r="C560" s="3" t="s">
        <v>6985</v>
      </c>
      <c r="D560" s="3" t="s">
        <v>6252</v>
      </c>
      <c r="E560" s="3">
        <v>559</v>
      </c>
      <c r="F560" s="3" t="s">
        <v>5342</v>
      </c>
      <c r="G560" s="3" t="s">
        <v>20</v>
      </c>
      <c r="H560" s="3" t="str">
        <f t="shared" si="3"/>
        <v>Output SC2 Ret Shear Pin Jack 2, from Structural Connector Server.</v>
      </c>
    </row>
    <row r="561" spans="1:8" x14ac:dyDescent="0.25">
      <c r="A561" s="3" t="s">
        <v>6983</v>
      </c>
      <c r="B561" s="3" t="s">
        <v>6991</v>
      </c>
      <c r="C561" s="3" t="s">
        <v>6985</v>
      </c>
      <c r="D561" s="3" t="s">
        <v>6252</v>
      </c>
      <c r="E561" s="3">
        <v>560</v>
      </c>
      <c r="F561" s="3" t="s">
        <v>5343</v>
      </c>
      <c r="G561" s="3" t="s">
        <v>20</v>
      </c>
      <c r="H561" s="3" t="str">
        <f t="shared" si="3"/>
        <v>Output SC2 Ret Lateral Pin Jack 1, from Structural Connector Server.</v>
      </c>
    </row>
    <row r="562" spans="1:8" x14ac:dyDescent="0.25">
      <c r="A562" s="3" t="s">
        <v>6983</v>
      </c>
      <c r="B562" s="3" t="s">
        <v>6991</v>
      </c>
      <c r="C562" s="3" t="s">
        <v>6985</v>
      </c>
      <c r="D562" s="3" t="s">
        <v>6252</v>
      </c>
      <c r="E562" s="3">
        <v>561</v>
      </c>
      <c r="F562" s="3" t="s">
        <v>5344</v>
      </c>
      <c r="G562" s="3" t="s">
        <v>20</v>
      </c>
      <c r="H562" s="3" t="str">
        <f t="shared" si="3"/>
        <v>Output SC2 Ext Lateral Pin Jack 1, from Structural Connector Server.</v>
      </c>
    </row>
    <row r="563" spans="1:8" x14ac:dyDescent="0.25">
      <c r="A563" s="3" t="s">
        <v>6983</v>
      </c>
      <c r="B563" s="3" t="s">
        <v>6991</v>
      </c>
      <c r="C563" s="3" t="s">
        <v>6985</v>
      </c>
      <c r="D563" s="3" t="s">
        <v>6252</v>
      </c>
      <c r="E563" s="3">
        <v>562</v>
      </c>
      <c r="F563" s="3" t="s">
        <v>5345</v>
      </c>
      <c r="G563" s="3" t="s">
        <v>20</v>
      </c>
      <c r="H563" s="3" t="str">
        <f t="shared" si="3"/>
        <v>Output SC2 Ret Lateral Pin Jack 2, from Structural Connector Server.</v>
      </c>
    </row>
    <row r="564" spans="1:8" x14ac:dyDescent="0.25">
      <c r="A564" s="3" t="s">
        <v>6983</v>
      </c>
      <c r="B564" s="3" t="s">
        <v>6991</v>
      </c>
      <c r="C564" s="3" t="s">
        <v>6985</v>
      </c>
      <c r="D564" s="3" t="s">
        <v>6252</v>
      </c>
      <c r="E564" s="3">
        <v>563</v>
      </c>
      <c r="F564" s="3" t="s">
        <v>5346</v>
      </c>
      <c r="G564" s="3" t="s">
        <v>20</v>
      </c>
      <c r="H564" s="3" t="str">
        <f t="shared" si="3"/>
        <v>Output SC2 Ext Lateral Pin Jack 2, from Structural Connector Server.</v>
      </c>
    </row>
    <row r="565" spans="1:8" x14ac:dyDescent="0.25">
      <c r="A565" s="3" t="s">
        <v>6983</v>
      </c>
      <c r="B565" s="3" t="s">
        <v>6991</v>
      </c>
      <c r="C565" s="3" t="s">
        <v>6985</v>
      </c>
      <c r="D565" s="3" t="s">
        <v>6252</v>
      </c>
      <c r="E565" s="3">
        <v>564</v>
      </c>
      <c r="F565" s="3" t="s">
        <v>5347</v>
      </c>
      <c r="G565" s="3" t="s">
        <v>20</v>
      </c>
      <c r="H565" s="3" t="str">
        <f t="shared" si="3"/>
        <v>Output SC2 Hyd Motor-M7 Ctrl, from Structural Connector Server.</v>
      </c>
    </row>
    <row r="566" spans="1:8" x14ac:dyDescent="0.25">
      <c r="A566" s="3" t="s">
        <v>6983</v>
      </c>
      <c r="B566" s="3" t="s">
        <v>6991</v>
      </c>
      <c r="C566" s="3" t="s">
        <v>6985</v>
      </c>
      <c r="D566" s="3" t="s">
        <v>6252</v>
      </c>
      <c r="E566" s="3">
        <v>565</v>
      </c>
      <c r="F566" s="3" t="s">
        <v>5348</v>
      </c>
      <c r="G566" s="3" t="s">
        <v>20</v>
      </c>
      <c r="H566" s="3" t="str">
        <f t="shared" si="3"/>
        <v>Output SC2 Hyd Pump Running, from Structural Connector Server.</v>
      </c>
    </row>
    <row r="567" spans="1:8" x14ac:dyDescent="0.25">
      <c r="A567" s="3" t="s">
        <v>6983</v>
      </c>
      <c r="B567" s="3" t="s">
        <v>6991</v>
      </c>
      <c r="C567" s="3" t="s">
        <v>6985</v>
      </c>
      <c r="D567" s="3" t="s">
        <v>6252</v>
      </c>
      <c r="E567" s="3">
        <v>566</v>
      </c>
      <c r="F567" s="3" t="s">
        <v>5349</v>
      </c>
      <c r="G567" s="3" t="s">
        <v>20</v>
      </c>
      <c r="H567" s="3" t="str">
        <f t="shared" si="3"/>
        <v>Output SC2 Load Redund Accum, from Structural Connector Server.</v>
      </c>
    </row>
    <row r="568" spans="1:8" x14ac:dyDescent="0.25">
      <c r="A568" s="3" t="s">
        <v>6983</v>
      </c>
      <c r="B568" s="3" t="s">
        <v>6991</v>
      </c>
      <c r="C568" s="3" t="s">
        <v>6985</v>
      </c>
      <c r="D568" s="3" t="s">
        <v>6252</v>
      </c>
      <c r="E568" s="3">
        <v>567</v>
      </c>
      <c r="F568" s="3" t="s">
        <v>5350</v>
      </c>
      <c r="G568" s="3" t="s">
        <v>20</v>
      </c>
      <c r="H568" s="3" t="str">
        <f t="shared" si="3"/>
        <v>Output SC2 Load Accum, from Structural Connector Server.</v>
      </c>
    </row>
    <row r="569" spans="1:8" x14ac:dyDescent="0.25">
      <c r="A569" s="3" t="s">
        <v>6983</v>
      </c>
      <c r="B569" s="3" t="s">
        <v>6991</v>
      </c>
      <c r="C569" s="3" t="s">
        <v>6985</v>
      </c>
      <c r="D569" s="3" t="s">
        <v>6252</v>
      </c>
      <c r="E569" s="3">
        <v>568</v>
      </c>
      <c r="F569" s="3" t="s">
        <v>5351</v>
      </c>
      <c r="G569" s="3" t="s">
        <v>20</v>
      </c>
      <c r="H569" s="3" t="str">
        <f t="shared" si="3"/>
        <v>Output SC2 PX Switch, from Structural Connector Server.</v>
      </c>
    </row>
    <row r="570" spans="1:8" x14ac:dyDescent="0.25">
      <c r="A570" s="3" t="s">
        <v>6983</v>
      </c>
      <c r="B570" s="3" t="s">
        <v>6991</v>
      </c>
      <c r="C570" s="3" t="s">
        <v>6985</v>
      </c>
      <c r="D570" s="3" t="s">
        <v>6252</v>
      </c>
      <c r="E570" s="3">
        <v>569</v>
      </c>
      <c r="F570" s="3" t="s">
        <v>5352</v>
      </c>
      <c r="G570" s="3" t="s">
        <v>20</v>
      </c>
      <c r="H570" s="3" t="str">
        <f t="shared" si="3"/>
        <v>Output SC2 Ret Pressure Main Jack, from Structural Connector Server.</v>
      </c>
    </row>
    <row r="571" spans="1:8" x14ac:dyDescent="0.25">
      <c r="A571" s="3" t="s">
        <v>6983</v>
      </c>
      <c r="B571" s="3" t="s">
        <v>6991</v>
      </c>
      <c r="C571" s="3" t="s">
        <v>6985</v>
      </c>
      <c r="D571" s="3" t="s">
        <v>6252</v>
      </c>
      <c r="E571" s="3">
        <v>570</v>
      </c>
      <c r="F571" s="3" t="s">
        <v>5353</v>
      </c>
      <c r="G571" s="3" t="s">
        <v>20</v>
      </c>
      <c r="H571" s="3" t="str">
        <f t="shared" si="3"/>
        <v>Output SC2 Ext Pressure Main Jack, from Structural Connector Server.</v>
      </c>
    </row>
    <row r="572" spans="1:8" x14ac:dyDescent="0.25">
      <c r="A572" s="3" t="s">
        <v>6983</v>
      </c>
      <c r="B572" s="3" t="s">
        <v>6991</v>
      </c>
      <c r="C572" s="3" t="s">
        <v>6985</v>
      </c>
      <c r="D572" s="3" t="s">
        <v>6253</v>
      </c>
      <c r="E572" s="3">
        <v>571</v>
      </c>
      <c r="F572" s="3" t="s">
        <v>5354</v>
      </c>
      <c r="G572" s="3" t="s">
        <v>20</v>
      </c>
      <c r="H572" s="3" t="str">
        <f t="shared" ref="H572:H635" si="4">_xlfn.CONCAT("Output ",F572, ", from Structural Connector Server.")</f>
        <v>Output SC3 Unlock Q4, from Structural Connector Server.</v>
      </c>
    </row>
    <row r="573" spans="1:8" x14ac:dyDescent="0.25">
      <c r="A573" s="3" t="s">
        <v>6983</v>
      </c>
      <c r="B573" s="3" t="s">
        <v>6991</v>
      </c>
      <c r="C573" s="3" t="s">
        <v>6985</v>
      </c>
      <c r="D573" s="3" t="s">
        <v>6253</v>
      </c>
      <c r="E573" s="3">
        <v>572</v>
      </c>
      <c r="F573" s="3" t="s">
        <v>5355</v>
      </c>
      <c r="G573" s="3" t="s">
        <v>20</v>
      </c>
      <c r="H573" s="3" t="str">
        <f t="shared" si="4"/>
        <v>Output SC3 Unlock Q6, from Structural Connector Server.</v>
      </c>
    </row>
    <row r="574" spans="1:8" x14ac:dyDescent="0.25">
      <c r="A574" s="3" t="s">
        <v>6983</v>
      </c>
      <c r="B574" s="3" t="s">
        <v>6991</v>
      </c>
      <c r="C574" s="3" t="s">
        <v>6985</v>
      </c>
      <c r="D574" s="3" t="s">
        <v>6253</v>
      </c>
      <c r="E574" s="3">
        <v>573</v>
      </c>
      <c r="F574" s="3" t="s">
        <v>5356</v>
      </c>
      <c r="G574" s="3" t="s">
        <v>20</v>
      </c>
      <c r="H574" s="3" t="str">
        <f t="shared" si="4"/>
        <v>Output SC3 Depress Main Jack, from Structural Connector Server.</v>
      </c>
    </row>
    <row r="575" spans="1:8" x14ac:dyDescent="0.25">
      <c r="A575" s="3" t="s">
        <v>6983</v>
      </c>
      <c r="B575" s="3" t="s">
        <v>6991</v>
      </c>
      <c r="C575" s="3" t="s">
        <v>6985</v>
      </c>
      <c r="D575" s="3" t="s">
        <v>6253</v>
      </c>
      <c r="E575" s="3">
        <v>574</v>
      </c>
      <c r="F575" s="3" t="s">
        <v>5357</v>
      </c>
      <c r="G575" s="3" t="s">
        <v>20</v>
      </c>
      <c r="H575" s="3" t="str">
        <f t="shared" si="4"/>
        <v>Output SC3 Cnxt Main Accum, from Structural Connector Server.</v>
      </c>
    </row>
    <row r="576" spans="1:8" x14ac:dyDescent="0.25">
      <c r="A576" s="3" t="s">
        <v>6983</v>
      </c>
      <c r="B576" s="3" t="s">
        <v>6991</v>
      </c>
      <c r="C576" s="3" t="s">
        <v>6985</v>
      </c>
      <c r="D576" s="3" t="s">
        <v>6253</v>
      </c>
      <c r="E576" s="3">
        <v>575</v>
      </c>
      <c r="F576" s="3" t="s">
        <v>5358</v>
      </c>
      <c r="G576" s="3" t="s">
        <v>20</v>
      </c>
      <c r="H576" s="3" t="str">
        <f t="shared" si="4"/>
        <v>Output SC3 Unlock Cart Q12, from Structural Connector Server.</v>
      </c>
    </row>
    <row r="577" spans="1:8" x14ac:dyDescent="0.25">
      <c r="A577" s="3" t="s">
        <v>6983</v>
      </c>
      <c r="B577" s="3" t="s">
        <v>6991</v>
      </c>
      <c r="C577" s="3" t="s">
        <v>6985</v>
      </c>
      <c r="D577" s="3" t="s">
        <v>6253</v>
      </c>
      <c r="E577" s="3">
        <v>576</v>
      </c>
      <c r="F577" s="3" t="s">
        <v>5359</v>
      </c>
      <c r="G577" s="3" t="s">
        <v>20</v>
      </c>
      <c r="H577" s="3" t="str">
        <f t="shared" si="4"/>
        <v>Output SC3 Unlock Cart Q13, from Structural Connector Server.</v>
      </c>
    </row>
    <row r="578" spans="1:8" x14ac:dyDescent="0.25">
      <c r="A578" s="3" t="s">
        <v>6983</v>
      </c>
      <c r="B578" s="3" t="s">
        <v>6991</v>
      </c>
      <c r="C578" s="3" t="s">
        <v>6985</v>
      </c>
      <c r="D578" s="3" t="s">
        <v>6253</v>
      </c>
      <c r="E578" s="3">
        <v>577</v>
      </c>
      <c r="F578" s="3" t="s">
        <v>5360</v>
      </c>
      <c r="G578" s="3" t="s">
        <v>20</v>
      </c>
      <c r="H578" s="3" t="str">
        <f t="shared" si="4"/>
        <v>Output SC3 Cnxt Accum 1 C3, from Structural Connector Server.</v>
      </c>
    </row>
    <row r="579" spans="1:8" x14ac:dyDescent="0.25">
      <c r="A579" s="3" t="s">
        <v>6983</v>
      </c>
      <c r="B579" s="3" t="s">
        <v>6991</v>
      </c>
      <c r="C579" s="3" t="s">
        <v>6985</v>
      </c>
      <c r="D579" s="3" t="s">
        <v>6253</v>
      </c>
      <c r="E579" s="3">
        <v>578</v>
      </c>
      <c r="F579" s="3" t="s">
        <v>5361</v>
      </c>
      <c r="G579" s="3" t="s">
        <v>20</v>
      </c>
      <c r="H579" s="3" t="str">
        <f t="shared" si="4"/>
        <v>Output SC3 Cnxt Accum 2 C3, from Structural Connector Server.</v>
      </c>
    </row>
    <row r="580" spans="1:8" x14ac:dyDescent="0.25">
      <c r="A580" s="3" t="s">
        <v>6983</v>
      </c>
      <c r="B580" s="3" t="s">
        <v>6991</v>
      </c>
      <c r="C580" s="3" t="s">
        <v>6985</v>
      </c>
      <c r="D580" s="3" t="s">
        <v>6253</v>
      </c>
      <c r="E580" s="3">
        <v>579</v>
      </c>
      <c r="F580" s="3" t="s">
        <v>5362</v>
      </c>
      <c r="G580" s="3" t="s">
        <v>20</v>
      </c>
      <c r="H580" s="3" t="str">
        <f t="shared" si="4"/>
        <v>Output SC3 Motor Rotate CW, from Structural Connector Server.</v>
      </c>
    </row>
    <row r="581" spans="1:8" x14ac:dyDescent="0.25">
      <c r="A581" s="3" t="s">
        <v>6983</v>
      </c>
      <c r="B581" s="3" t="s">
        <v>6991</v>
      </c>
      <c r="C581" s="3" t="s">
        <v>6985</v>
      </c>
      <c r="D581" s="3" t="s">
        <v>6253</v>
      </c>
      <c r="E581" s="3">
        <v>580</v>
      </c>
      <c r="F581" s="3" t="s">
        <v>5363</v>
      </c>
      <c r="G581" s="3" t="s">
        <v>20</v>
      </c>
      <c r="H581" s="3" t="str">
        <f t="shared" si="4"/>
        <v>Output SC3 Motor Rotate CCW, from Structural Connector Server.</v>
      </c>
    </row>
    <row r="582" spans="1:8" x14ac:dyDescent="0.25">
      <c r="A582" s="3" t="s">
        <v>6983</v>
      </c>
      <c r="B582" s="3" t="s">
        <v>6991</v>
      </c>
      <c r="C582" s="3" t="s">
        <v>6985</v>
      </c>
      <c r="D582" s="3" t="s">
        <v>6253</v>
      </c>
      <c r="E582" s="3">
        <v>581</v>
      </c>
      <c r="F582" s="3" t="s">
        <v>5364</v>
      </c>
      <c r="G582" s="3" t="s">
        <v>20</v>
      </c>
      <c r="H582" s="3" t="str">
        <f t="shared" si="4"/>
        <v>Output SC3 Ext Shear Pin Jack 1, from Structural Connector Server.</v>
      </c>
    </row>
    <row r="583" spans="1:8" x14ac:dyDescent="0.25">
      <c r="A583" s="3" t="s">
        <v>6983</v>
      </c>
      <c r="B583" s="3" t="s">
        <v>6991</v>
      </c>
      <c r="C583" s="3" t="s">
        <v>6985</v>
      </c>
      <c r="D583" s="3" t="s">
        <v>6253</v>
      </c>
      <c r="E583" s="3">
        <v>582</v>
      </c>
      <c r="F583" s="3" t="s">
        <v>5365</v>
      </c>
      <c r="G583" s="3" t="s">
        <v>20</v>
      </c>
      <c r="H583" s="3" t="str">
        <f t="shared" si="4"/>
        <v>Output SC3 Ret Shear Pin Jack 1, from Structural Connector Server.</v>
      </c>
    </row>
    <row r="584" spans="1:8" x14ac:dyDescent="0.25">
      <c r="A584" s="3" t="s">
        <v>6983</v>
      </c>
      <c r="B584" s="3" t="s">
        <v>6991</v>
      </c>
      <c r="C584" s="3" t="s">
        <v>6985</v>
      </c>
      <c r="D584" s="3" t="s">
        <v>6253</v>
      </c>
      <c r="E584" s="3">
        <v>583</v>
      </c>
      <c r="F584" s="3" t="s">
        <v>5366</v>
      </c>
      <c r="G584" s="3" t="s">
        <v>20</v>
      </c>
      <c r="H584" s="3" t="str">
        <f t="shared" si="4"/>
        <v>Output SC3 Ext Shear Pin Jack 2, from Structural Connector Server.</v>
      </c>
    </row>
    <row r="585" spans="1:8" x14ac:dyDescent="0.25">
      <c r="A585" s="3" t="s">
        <v>6983</v>
      </c>
      <c r="B585" s="3" t="s">
        <v>6991</v>
      </c>
      <c r="C585" s="3" t="s">
        <v>6985</v>
      </c>
      <c r="D585" s="3" t="s">
        <v>6253</v>
      </c>
      <c r="E585" s="3">
        <v>584</v>
      </c>
      <c r="F585" s="3" t="s">
        <v>5367</v>
      </c>
      <c r="G585" s="3" t="s">
        <v>20</v>
      </c>
      <c r="H585" s="3" t="str">
        <f t="shared" si="4"/>
        <v>Output SC3 Ret Shear Pin Jack 2, from Structural Connector Server.</v>
      </c>
    </row>
    <row r="586" spans="1:8" x14ac:dyDescent="0.25">
      <c r="A586" s="3" t="s">
        <v>6983</v>
      </c>
      <c r="B586" s="3" t="s">
        <v>6991</v>
      </c>
      <c r="C586" s="3" t="s">
        <v>6985</v>
      </c>
      <c r="D586" s="3" t="s">
        <v>6253</v>
      </c>
      <c r="E586" s="3">
        <v>585</v>
      </c>
      <c r="F586" s="3" t="s">
        <v>5368</v>
      </c>
      <c r="G586" s="3" t="s">
        <v>20</v>
      </c>
      <c r="H586" s="3" t="str">
        <f t="shared" si="4"/>
        <v>Output SC3 Ext Lateral Jack 1, from Structural Connector Server.</v>
      </c>
    </row>
    <row r="587" spans="1:8" x14ac:dyDescent="0.25">
      <c r="A587" s="3" t="s">
        <v>6983</v>
      </c>
      <c r="B587" s="3" t="s">
        <v>6991</v>
      </c>
      <c r="C587" s="3" t="s">
        <v>6985</v>
      </c>
      <c r="D587" s="3" t="s">
        <v>6253</v>
      </c>
      <c r="E587" s="3">
        <v>586</v>
      </c>
      <c r="F587" s="3" t="s">
        <v>5369</v>
      </c>
      <c r="G587" s="3" t="s">
        <v>20</v>
      </c>
      <c r="H587" s="3" t="str">
        <f t="shared" si="4"/>
        <v>Output SC3 Ret Lateral Jack 1, from Structural Connector Server.</v>
      </c>
    </row>
    <row r="588" spans="1:8" x14ac:dyDescent="0.25">
      <c r="A588" s="3" t="s">
        <v>6983</v>
      </c>
      <c r="B588" s="3" t="s">
        <v>6991</v>
      </c>
      <c r="C588" s="3" t="s">
        <v>6985</v>
      </c>
      <c r="D588" s="3" t="s">
        <v>6253</v>
      </c>
      <c r="E588" s="3">
        <v>587</v>
      </c>
      <c r="F588" s="3" t="s">
        <v>5370</v>
      </c>
      <c r="G588" s="3" t="s">
        <v>20</v>
      </c>
      <c r="H588" s="3" t="str">
        <f t="shared" si="4"/>
        <v>Output SC3 Ext Lateral Jack 2, from Structural Connector Server.</v>
      </c>
    </row>
    <row r="589" spans="1:8" x14ac:dyDescent="0.25">
      <c r="A589" s="3" t="s">
        <v>6983</v>
      </c>
      <c r="B589" s="3" t="s">
        <v>6991</v>
      </c>
      <c r="C589" s="3" t="s">
        <v>6985</v>
      </c>
      <c r="D589" s="3" t="s">
        <v>6253</v>
      </c>
      <c r="E589" s="3">
        <v>588</v>
      </c>
      <c r="F589" s="3" t="s">
        <v>5371</v>
      </c>
      <c r="G589" s="3" t="s">
        <v>20</v>
      </c>
      <c r="H589" s="3" t="str">
        <f t="shared" si="4"/>
        <v>Output SC3 Ret Lateral Jack 2, from Structural Connector Server.</v>
      </c>
    </row>
    <row r="590" spans="1:8" x14ac:dyDescent="0.25">
      <c r="A590" s="3" t="s">
        <v>6983</v>
      </c>
      <c r="B590" s="3" t="s">
        <v>6991</v>
      </c>
      <c r="C590" s="3" t="s">
        <v>6985</v>
      </c>
      <c r="D590" s="3" t="s">
        <v>6253</v>
      </c>
      <c r="E590" s="3">
        <v>589</v>
      </c>
      <c r="F590" s="3" t="s">
        <v>5372</v>
      </c>
      <c r="G590" s="3" t="s">
        <v>20</v>
      </c>
      <c r="H590" s="3" t="str">
        <f t="shared" si="4"/>
        <v>Output SC3 Hyd Motor-M7 Ctrl, from Structural Connector Server.</v>
      </c>
    </row>
    <row r="591" spans="1:8" x14ac:dyDescent="0.25">
      <c r="A591" s="3" t="s">
        <v>6983</v>
      </c>
      <c r="B591" s="3" t="s">
        <v>6991</v>
      </c>
      <c r="C591" s="3" t="s">
        <v>6985</v>
      </c>
      <c r="D591" s="3" t="s">
        <v>6253</v>
      </c>
      <c r="E591" s="3">
        <v>590</v>
      </c>
      <c r="F591" s="3" t="s">
        <v>5373</v>
      </c>
      <c r="G591" s="3" t="s">
        <v>20</v>
      </c>
      <c r="H591" s="3" t="str">
        <f t="shared" si="4"/>
        <v>Output SC3 Hyd Pump Running, from Structural Connector Server.</v>
      </c>
    </row>
    <row r="592" spans="1:8" x14ac:dyDescent="0.25">
      <c r="A592" s="3" t="s">
        <v>6983</v>
      </c>
      <c r="B592" s="3" t="s">
        <v>6991</v>
      </c>
      <c r="C592" s="3" t="s">
        <v>6985</v>
      </c>
      <c r="D592" s="3" t="s">
        <v>6253</v>
      </c>
      <c r="E592" s="3">
        <v>591</v>
      </c>
      <c r="F592" s="3" t="s">
        <v>5374</v>
      </c>
      <c r="G592" s="3" t="s">
        <v>20</v>
      </c>
      <c r="H592" s="3" t="str">
        <f t="shared" si="4"/>
        <v>Output SC3 Load Redund Accum, from Structural Connector Server.</v>
      </c>
    </row>
    <row r="593" spans="1:8" x14ac:dyDescent="0.25">
      <c r="A593" s="3" t="s">
        <v>6983</v>
      </c>
      <c r="B593" s="3" t="s">
        <v>6991</v>
      </c>
      <c r="C593" s="3" t="s">
        <v>6985</v>
      </c>
      <c r="D593" s="3" t="s">
        <v>6253</v>
      </c>
      <c r="E593" s="3">
        <v>592</v>
      </c>
      <c r="F593" s="3" t="s">
        <v>5375</v>
      </c>
      <c r="G593" s="3" t="s">
        <v>20</v>
      </c>
      <c r="H593" s="3" t="str">
        <f t="shared" si="4"/>
        <v>Output SC3 Load Accum, from Structural Connector Server.</v>
      </c>
    </row>
    <row r="594" spans="1:8" x14ac:dyDescent="0.25">
      <c r="A594" s="3" t="s">
        <v>6983</v>
      </c>
      <c r="B594" s="3" t="s">
        <v>6991</v>
      </c>
      <c r="C594" s="3" t="s">
        <v>6985</v>
      </c>
      <c r="D594" s="3" t="s">
        <v>6253</v>
      </c>
      <c r="E594" s="3">
        <v>593</v>
      </c>
      <c r="F594" s="3" t="s">
        <v>5376</v>
      </c>
      <c r="G594" s="3" t="s">
        <v>20</v>
      </c>
      <c r="H594" s="3" t="str">
        <f t="shared" si="4"/>
        <v>Output SC3 PX Switch, from Structural Connector Server.</v>
      </c>
    </row>
    <row r="595" spans="1:8" x14ac:dyDescent="0.25">
      <c r="A595" s="3" t="s">
        <v>6983</v>
      </c>
      <c r="B595" s="3" t="s">
        <v>6991</v>
      </c>
      <c r="C595" s="3" t="s">
        <v>6985</v>
      </c>
      <c r="D595" s="3" t="s">
        <v>6253</v>
      </c>
      <c r="E595" s="3">
        <v>594</v>
      </c>
      <c r="F595" s="3" t="s">
        <v>5377</v>
      </c>
      <c r="G595" s="3" t="s">
        <v>20</v>
      </c>
      <c r="H595" s="3" t="str">
        <f t="shared" si="4"/>
        <v>Output SC3 Ret Pressure Main Jack, from Structural Connector Server.</v>
      </c>
    </row>
    <row r="596" spans="1:8" x14ac:dyDescent="0.25">
      <c r="A596" s="3" t="s">
        <v>6983</v>
      </c>
      <c r="B596" s="3" t="s">
        <v>6991</v>
      </c>
      <c r="C596" s="3" t="s">
        <v>6985</v>
      </c>
      <c r="D596" s="3" t="s">
        <v>6253</v>
      </c>
      <c r="E596" s="3">
        <v>595</v>
      </c>
      <c r="F596" s="3" t="s">
        <v>5378</v>
      </c>
      <c r="G596" s="3" t="s">
        <v>20</v>
      </c>
      <c r="H596" s="3" t="str">
        <f t="shared" si="4"/>
        <v>Output SC3 Ext Pressure Main Jack, from Structural Connector Server.</v>
      </c>
    </row>
    <row r="597" spans="1:8" x14ac:dyDescent="0.25">
      <c r="A597" s="3" t="s">
        <v>6983</v>
      </c>
      <c r="B597" s="3" t="s">
        <v>6991</v>
      </c>
      <c r="C597" s="3" t="s">
        <v>6985</v>
      </c>
      <c r="D597" s="3" t="s">
        <v>6254</v>
      </c>
      <c r="E597" s="3">
        <v>596</v>
      </c>
      <c r="F597" s="3" t="s">
        <v>5379</v>
      </c>
      <c r="G597" s="3" t="s">
        <v>20</v>
      </c>
      <c r="H597" s="3" t="str">
        <f t="shared" si="4"/>
        <v>Output SC4 Unlock Q4, from Structural Connector Server.</v>
      </c>
    </row>
    <row r="598" spans="1:8" x14ac:dyDescent="0.25">
      <c r="A598" s="3" t="s">
        <v>6983</v>
      </c>
      <c r="B598" s="3" t="s">
        <v>6991</v>
      </c>
      <c r="C598" s="3" t="s">
        <v>6985</v>
      </c>
      <c r="D598" s="3" t="s">
        <v>6254</v>
      </c>
      <c r="E598" s="3">
        <v>597</v>
      </c>
      <c r="F598" s="3" t="s">
        <v>5380</v>
      </c>
      <c r="G598" s="3" t="s">
        <v>20</v>
      </c>
      <c r="H598" s="3" t="str">
        <f t="shared" si="4"/>
        <v>Output SC4 Unlock Q6, from Structural Connector Server.</v>
      </c>
    </row>
    <row r="599" spans="1:8" x14ac:dyDescent="0.25">
      <c r="A599" s="3" t="s">
        <v>6983</v>
      </c>
      <c r="B599" s="3" t="s">
        <v>6991</v>
      </c>
      <c r="C599" s="3" t="s">
        <v>6985</v>
      </c>
      <c r="D599" s="3" t="s">
        <v>6254</v>
      </c>
      <c r="E599" s="3">
        <v>598</v>
      </c>
      <c r="F599" s="3" t="s">
        <v>5381</v>
      </c>
      <c r="G599" s="3" t="s">
        <v>20</v>
      </c>
      <c r="H599" s="3" t="str">
        <f t="shared" si="4"/>
        <v>Output SC4 Depress Main Jack, from Structural Connector Server.</v>
      </c>
    </row>
    <row r="600" spans="1:8" x14ac:dyDescent="0.25">
      <c r="A600" s="3" t="s">
        <v>6983</v>
      </c>
      <c r="B600" s="3" t="s">
        <v>6991</v>
      </c>
      <c r="C600" s="3" t="s">
        <v>6985</v>
      </c>
      <c r="D600" s="3" t="s">
        <v>6254</v>
      </c>
      <c r="E600" s="3">
        <v>599</v>
      </c>
      <c r="F600" s="3" t="s">
        <v>5382</v>
      </c>
      <c r="G600" s="3" t="s">
        <v>20</v>
      </c>
      <c r="H600" s="3" t="str">
        <f t="shared" si="4"/>
        <v>Output SC4 Cnxt Main Accum, from Structural Connector Server.</v>
      </c>
    </row>
    <row r="601" spans="1:8" x14ac:dyDescent="0.25">
      <c r="A601" s="3" t="s">
        <v>6983</v>
      </c>
      <c r="B601" s="3" t="s">
        <v>6991</v>
      </c>
      <c r="C601" s="3" t="s">
        <v>6985</v>
      </c>
      <c r="D601" s="3" t="s">
        <v>6254</v>
      </c>
      <c r="E601" s="3">
        <v>600</v>
      </c>
      <c r="F601" s="3" t="s">
        <v>5383</v>
      </c>
      <c r="G601" s="3" t="s">
        <v>20</v>
      </c>
      <c r="H601" s="3" t="str">
        <f t="shared" si="4"/>
        <v>Output SC4 Unlock Cart Q12, from Structural Connector Server.</v>
      </c>
    </row>
    <row r="602" spans="1:8" x14ac:dyDescent="0.25">
      <c r="A602" s="3" t="s">
        <v>6983</v>
      </c>
      <c r="B602" s="3" t="s">
        <v>6991</v>
      </c>
      <c r="C602" s="3" t="s">
        <v>6985</v>
      </c>
      <c r="D602" s="3" t="s">
        <v>6254</v>
      </c>
      <c r="E602" s="3">
        <v>601</v>
      </c>
      <c r="F602" s="3" t="s">
        <v>5384</v>
      </c>
      <c r="G602" s="3" t="s">
        <v>20</v>
      </c>
      <c r="H602" s="3" t="str">
        <f t="shared" si="4"/>
        <v>Output SC4 Unlock Cart Q13, from Structural Connector Server.</v>
      </c>
    </row>
    <row r="603" spans="1:8" x14ac:dyDescent="0.25">
      <c r="A603" s="3" t="s">
        <v>6983</v>
      </c>
      <c r="B603" s="3" t="s">
        <v>6991</v>
      </c>
      <c r="C603" s="3" t="s">
        <v>6985</v>
      </c>
      <c r="D603" s="3" t="s">
        <v>6254</v>
      </c>
      <c r="E603" s="3">
        <v>602</v>
      </c>
      <c r="F603" s="3" t="s">
        <v>5385</v>
      </c>
      <c r="G603" s="3" t="s">
        <v>20</v>
      </c>
      <c r="H603" s="3" t="str">
        <f t="shared" si="4"/>
        <v>Output SC4 Cnxt Accum 1 C3, from Structural Connector Server.</v>
      </c>
    </row>
    <row r="604" spans="1:8" x14ac:dyDescent="0.25">
      <c r="A604" s="3" t="s">
        <v>6983</v>
      </c>
      <c r="B604" s="3" t="s">
        <v>6991</v>
      </c>
      <c r="C604" s="3" t="s">
        <v>6985</v>
      </c>
      <c r="D604" s="3" t="s">
        <v>6254</v>
      </c>
      <c r="E604" s="3">
        <v>603</v>
      </c>
      <c r="F604" s="3" t="s">
        <v>5386</v>
      </c>
      <c r="G604" s="3" t="s">
        <v>20</v>
      </c>
      <c r="H604" s="3" t="str">
        <f t="shared" si="4"/>
        <v>Output SC4 Cnxt Accum 2 C3, from Structural Connector Server.</v>
      </c>
    </row>
    <row r="605" spans="1:8" x14ac:dyDescent="0.25">
      <c r="A605" s="3" t="s">
        <v>6983</v>
      </c>
      <c r="B605" s="3" t="s">
        <v>6991</v>
      </c>
      <c r="C605" s="3" t="s">
        <v>6985</v>
      </c>
      <c r="D605" s="3" t="s">
        <v>6254</v>
      </c>
      <c r="E605" s="3">
        <v>604</v>
      </c>
      <c r="F605" s="3" t="s">
        <v>5387</v>
      </c>
      <c r="G605" s="3" t="s">
        <v>20</v>
      </c>
      <c r="H605" s="3" t="str">
        <f t="shared" si="4"/>
        <v>Output SC4 Motor Rotate CW, from Structural Connector Server.</v>
      </c>
    </row>
    <row r="606" spans="1:8" x14ac:dyDescent="0.25">
      <c r="A606" s="3" t="s">
        <v>6983</v>
      </c>
      <c r="B606" s="3" t="s">
        <v>6991</v>
      </c>
      <c r="C606" s="3" t="s">
        <v>6985</v>
      </c>
      <c r="D606" s="3" t="s">
        <v>6254</v>
      </c>
      <c r="E606" s="3">
        <v>605</v>
      </c>
      <c r="F606" s="3" t="s">
        <v>5388</v>
      </c>
      <c r="G606" s="3" t="s">
        <v>20</v>
      </c>
      <c r="H606" s="3" t="str">
        <f t="shared" si="4"/>
        <v>Output SC4 Motor Rotate CCW, from Structural Connector Server.</v>
      </c>
    </row>
    <row r="607" spans="1:8" x14ac:dyDescent="0.25">
      <c r="A607" s="3" t="s">
        <v>6983</v>
      </c>
      <c r="B607" s="3" t="s">
        <v>6991</v>
      </c>
      <c r="C607" s="3" t="s">
        <v>6985</v>
      </c>
      <c r="D607" s="3" t="s">
        <v>6254</v>
      </c>
      <c r="E607" s="3">
        <v>606</v>
      </c>
      <c r="F607" s="3" t="s">
        <v>5389</v>
      </c>
      <c r="G607" s="3" t="s">
        <v>20</v>
      </c>
      <c r="H607" s="3" t="str">
        <f t="shared" si="4"/>
        <v>Output SC4 Ext Shear Pin Jack 1, from Structural Connector Server.</v>
      </c>
    </row>
    <row r="608" spans="1:8" x14ac:dyDescent="0.25">
      <c r="A608" s="3" t="s">
        <v>6983</v>
      </c>
      <c r="B608" s="3" t="s">
        <v>6991</v>
      </c>
      <c r="C608" s="3" t="s">
        <v>6985</v>
      </c>
      <c r="D608" s="3" t="s">
        <v>6254</v>
      </c>
      <c r="E608" s="3">
        <v>607</v>
      </c>
      <c r="F608" s="3" t="s">
        <v>5390</v>
      </c>
      <c r="G608" s="3" t="s">
        <v>20</v>
      </c>
      <c r="H608" s="3" t="str">
        <f t="shared" si="4"/>
        <v>Output SC4 Ret Shear Pin Jack 1, from Structural Connector Server.</v>
      </c>
    </row>
    <row r="609" spans="1:8" x14ac:dyDescent="0.25">
      <c r="A609" s="3" t="s">
        <v>6983</v>
      </c>
      <c r="B609" s="3" t="s">
        <v>6991</v>
      </c>
      <c r="C609" s="3" t="s">
        <v>6985</v>
      </c>
      <c r="D609" s="3" t="s">
        <v>6254</v>
      </c>
      <c r="E609" s="3">
        <v>608</v>
      </c>
      <c r="F609" s="3" t="s">
        <v>5391</v>
      </c>
      <c r="G609" s="3" t="s">
        <v>20</v>
      </c>
      <c r="H609" s="3" t="str">
        <f t="shared" si="4"/>
        <v>Output SC4 Ext Shear Pin Jack 2, from Structural Connector Server.</v>
      </c>
    </row>
    <row r="610" spans="1:8" x14ac:dyDescent="0.25">
      <c r="A610" s="3" t="s">
        <v>6983</v>
      </c>
      <c r="B610" s="3" t="s">
        <v>6991</v>
      </c>
      <c r="C610" s="3" t="s">
        <v>6985</v>
      </c>
      <c r="D610" s="3" t="s">
        <v>6254</v>
      </c>
      <c r="E610" s="3">
        <v>609</v>
      </c>
      <c r="F610" s="3" t="s">
        <v>5392</v>
      </c>
      <c r="G610" s="3" t="s">
        <v>20</v>
      </c>
      <c r="H610" s="3" t="str">
        <f t="shared" si="4"/>
        <v>Output SC4 Ret Shear Pin Jack 2, from Structural Connector Server.</v>
      </c>
    </row>
    <row r="611" spans="1:8" x14ac:dyDescent="0.25">
      <c r="A611" s="3" t="s">
        <v>6983</v>
      </c>
      <c r="B611" s="3" t="s">
        <v>6991</v>
      </c>
      <c r="C611" s="3" t="s">
        <v>6985</v>
      </c>
      <c r="D611" s="3" t="s">
        <v>6254</v>
      </c>
      <c r="E611" s="3">
        <v>610</v>
      </c>
      <c r="F611" s="3" t="s">
        <v>5393</v>
      </c>
      <c r="G611" s="3" t="s">
        <v>20</v>
      </c>
      <c r="H611" s="3" t="str">
        <f t="shared" si="4"/>
        <v>Output SC4 Ext Lateral Jack 1, from Structural Connector Server.</v>
      </c>
    </row>
    <row r="612" spans="1:8" x14ac:dyDescent="0.25">
      <c r="A612" s="3" t="s">
        <v>6983</v>
      </c>
      <c r="B612" s="3" t="s">
        <v>6991</v>
      </c>
      <c r="C612" s="3" t="s">
        <v>6985</v>
      </c>
      <c r="D612" s="3" t="s">
        <v>6254</v>
      </c>
      <c r="E612" s="3">
        <v>611</v>
      </c>
      <c r="F612" s="3" t="s">
        <v>5394</v>
      </c>
      <c r="G612" s="3" t="s">
        <v>20</v>
      </c>
      <c r="H612" s="3" t="str">
        <f t="shared" si="4"/>
        <v>Output SC4 Ret Lateral Jack 1, from Structural Connector Server.</v>
      </c>
    </row>
    <row r="613" spans="1:8" x14ac:dyDescent="0.25">
      <c r="A613" s="3" t="s">
        <v>6983</v>
      </c>
      <c r="B613" s="3" t="s">
        <v>6991</v>
      </c>
      <c r="C613" s="3" t="s">
        <v>6985</v>
      </c>
      <c r="D613" s="3" t="s">
        <v>6254</v>
      </c>
      <c r="E613" s="3">
        <v>612</v>
      </c>
      <c r="F613" s="3" t="s">
        <v>5395</v>
      </c>
      <c r="G613" s="3" t="s">
        <v>20</v>
      </c>
      <c r="H613" s="3" t="str">
        <f t="shared" si="4"/>
        <v>Output SC4 Ext Lateral Jack 2, from Structural Connector Server.</v>
      </c>
    </row>
    <row r="614" spans="1:8" x14ac:dyDescent="0.25">
      <c r="A614" s="3" t="s">
        <v>6983</v>
      </c>
      <c r="B614" s="3" t="s">
        <v>6991</v>
      </c>
      <c r="C614" s="3" t="s">
        <v>6985</v>
      </c>
      <c r="D614" s="3" t="s">
        <v>6254</v>
      </c>
      <c r="E614" s="3">
        <v>613</v>
      </c>
      <c r="F614" s="3" t="s">
        <v>5396</v>
      </c>
      <c r="G614" s="3" t="s">
        <v>20</v>
      </c>
      <c r="H614" s="3" t="str">
        <f t="shared" si="4"/>
        <v>Output SC4 Ret Lateral Jack 2, from Structural Connector Server.</v>
      </c>
    </row>
    <row r="615" spans="1:8" x14ac:dyDescent="0.25">
      <c r="A615" s="3" t="s">
        <v>6983</v>
      </c>
      <c r="B615" s="3" t="s">
        <v>6991</v>
      </c>
      <c r="C615" s="3" t="s">
        <v>6985</v>
      </c>
      <c r="D615" s="3" t="s">
        <v>6254</v>
      </c>
      <c r="E615" s="3">
        <v>614</v>
      </c>
      <c r="F615" s="3" t="s">
        <v>5397</v>
      </c>
      <c r="G615" s="3" t="s">
        <v>20</v>
      </c>
      <c r="H615" s="3" t="str">
        <f t="shared" si="4"/>
        <v>Output SC4 Hyd Motor-M7 Ctrl, from Structural Connector Server.</v>
      </c>
    </row>
    <row r="616" spans="1:8" x14ac:dyDescent="0.25">
      <c r="A616" s="3" t="s">
        <v>6983</v>
      </c>
      <c r="B616" s="3" t="s">
        <v>6991</v>
      </c>
      <c r="C616" s="3" t="s">
        <v>6985</v>
      </c>
      <c r="D616" s="3" t="s">
        <v>6254</v>
      </c>
      <c r="E616" s="3">
        <v>615</v>
      </c>
      <c r="F616" s="3" t="s">
        <v>5398</v>
      </c>
      <c r="G616" s="3" t="s">
        <v>20</v>
      </c>
      <c r="H616" s="3" t="str">
        <f t="shared" si="4"/>
        <v>Output SC4 Hyd Pump Running, from Structural Connector Server.</v>
      </c>
    </row>
    <row r="617" spans="1:8" x14ac:dyDescent="0.25">
      <c r="A617" s="3" t="s">
        <v>6983</v>
      </c>
      <c r="B617" s="3" t="s">
        <v>6991</v>
      </c>
      <c r="C617" s="3" t="s">
        <v>6985</v>
      </c>
      <c r="D617" s="3" t="s">
        <v>6254</v>
      </c>
      <c r="E617" s="3">
        <v>616</v>
      </c>
      <c r="F617" s="3" t="s">
        <v>5399</v>
      </c>
      <c r="G617" s="3" t="s">
        <v>20</v>
      </c>
      <c r="H617" s="3" t="str">
        <f t="shared" si="4"/>
        <v>Output SC4 Load Redund Accum, from Structural Connector Server.</v>
      </c>
    </row>
    <row r="618" spans="1:8" x14ac:dyDescent="0.25">
      <c r="A618" s="3" t="s">
        <v>6983</v>
      </c>
      <c r="B618" s="3" t="s">
        <v>6991</v>
      </c>
      <c r="C618" s="3" t="s">
        <v>6985</v>
      </c>
      <c r="D618" s="3" t="s">
        <v>6254</v>
      </c>
      <c r="E618" s="3">
        <v>617</v>
      </c>
      <c r="F618" s="3" t="s">
        <v>5400</v>
      </c>
      <c r="G618" s="3" t="s">
        <v>20</v>
      </c>
      <c r="H618" s="3" t="str">
        <f t="shared" si="4"/>
        <v>Output SC4 Load Accum, from Structural Connector Server.</v>
      </c>
    </row>
    <row r="619" spans="1:8" x14ac:dyDescent="0.25">
      <c r="A619" s="3" t="s">
        <v>6983</v>
      </c>
      <c r="B619" s="3" t="s">
        <v>6991</v>
      </c>
      <c r="C619" s="3" t="s">
        <v>6985</v>
      </c>
      <c r="D619" s="3" t="s">
        <v>6254</v>
      </c>
      <c r="E619" s="3">
        <v>618</v>
      </c>
      <c r="F619" s="3" t="s">
        <v>5401</v>
      </c>
      <c r="G619" s="3" t="s">
        <v>20</v>
      </c>
      <c r="H619" s="3" t="str">
        <f t="shared" si="4"/>
        <v>Output SC4 PX Switch, from Structural Connector Server.</v>
      </c>
    </row>
    <row r="620" spans="1:8" x14ac:dyDescent="0.25">
      <c r="A620" s="3" t="s">
        <v>6983</v>
      </c>
      <c r="B620" s="3" t="s">
        <v>6991</v>
      </c>
      <c r="C620" s="3" t="s">
        <v>6985</v>
      </c>
      <c r="D620" s="3" t="s">
        <v>6254</v>
      </c>
      <c r="E620" s="3">
        <v>619</v>
      </c>
      <c r="F620" s="3" t="s">
        <v>5402</v>
      </c>
      <c r="G620" s="3" t="s">
        <v>20</v>
      </c>
      <c r="H620" s="3" t="str">
        <f t="shared" si="4"/>
        <v>Output SC4 Ret Pressure Main Jack, from Structural Connector Server.</v>
      </c>
    </row>
    <row r="621" spans="1:8" x14ac:dyDescent="0.25">
      <c r="A621" s="3" t="s">
        <v>6983</v>
      </c>
      <c r="B621" s="3" t="s">
        <v>6991</v>
      </c>
      <c r="C621" s="3" t="s">
        <v>6985</v>
      </c>
      <c r="D621" s="3" t="s">
        <v>6254</v>
      </c>
      <c r="E621" s="3">
        <v>620</v>
      </c>
      <c r="F621" s="3" t="s">
        <v>5403</v>
      </c>
      <c r="G621" s="3" t="s">
        <v>20</v>
      </c>
      <c r="H621" s="3" t="str">
        <f t="shared" si="4"/>
        <v>Output SC4 Ext Pressure Main Jack, from Structural Connector Server.</v>
      </c>
    </row>
    <row r="622" spans="1:8" x14ac:dyDescent="0.25">
      <c r="A622" s="3" t="s">
        <v>6983</v>
      </c>
      <c r="B622" s="3" t="s">
        <v>6991</v>
      </c>
      <c r="C622" s="3" t="s">
        <v>6985</v>
      </c>
      <c r="D622" s="3" t="s">
        <v>6255</v>
      </c>
      <c r="E622" s="3">
        <v>621</v>
      </c>
      <c r="F622" s="3" t="s">
        <v>5404</v>
      </c>
      <c r="G622" s="3" t="s">
        <v>20</v>
      </c>
      <c r="H622" s="3" t="str">
        <f t="shared" si="4"/>
        <v>Output SC5 Unlock Q4, from Structural Connector Server.</v>
      </c>
    </row>
    <row r="623" spans="1:8" x14ac:dyDescent="0.25">
      <c r="A623" s="3" t="s">
        <v>6983</v>
      </c>
      <c r="B623" s="3" t="s">
        <v>6991</v>
      </c>
      <c r="C623" s="3" t="s">
        <v>6985</v>
      </c>
      <c r="D623" s="3" t="s">
        <v>6255</v>
      </c>
      <c r="E623" s="3">
        <v>622</v>
      </c>
      <c r="F623" s="3" t="s">
        <v>5405</v>
      </c>
      <c r="G623" s="3" t="s">
        <v>20</v>
      </c>
      <c r="H623" s="3" t="str">
        <f t="shared" si="4"/>
        <v>Output SC5 Unlock Q6, from Structural Connector Server.</v>
      </c>
    </row>
    <row r="624" spans="1:8" x14ac:dyDescent="0.25">
      <c r="A624" s="3" t="s">
        <v>6983</v>
      </c>
      <c r="B624" s="3" t="s">
        <v>6991</v>
      </c>
      <c r="C624" s="3" t="s">
        <v>6985</v>
      </c>
      <c r="D624" s="3" t="s">
        <v>6255</v>
      </c>
      <c r="E624" s="3">
        <v>623</v>
      </c>
      <c r="F624" s="3" t="s">
        <v>5406</v>
      </c>
      <c r="G624" s="3" t="s">
        <v>20</v>
      </c>
      <c r="H624" s="3" t="str">
        <f t="shared" si="4"/>
        <v>Output SC5 Depress Main Jack, from Structural Connector Server.</v>
      </c>
    </row>
    <row r="625" spans="1:8" x14ac:dyDescent="0.25">
      <c r="A625" s="3" t="s">
        <v>6983</v>
      </c>
      <c r="B625" s="3" t="s">
        <v>6991</v>
      </c>
      <c r="C625" s="3" t="s">
        <v>6985</v>
      </c>
      <c r="D625" s="3" t="s">
        <v>6255</v>
      </c>
      <c r="E625" s="3">
        <v>624</v>
      </c>
      <c r="F625" s="3" t="s">
        <v>5407</v>
      </c>
      <c r="G625" s="3" t="s">
        <v>20</v>
      </c>
      <c r="H625" s="3" t="str">
        <f t="shared" si="4"/>
        <v>Output SC5 Cnxt Main Accum, from Structural Connector Server.</v>
      </c>
    </row>
    <row r="626" spans="1:8" x14ac:dyDescent="0.25">
      <c r="A626" s="3" t="s">
        <v>6983</v>
      </c>
      <c r="B626" s="3" t="s">
        <v>6991</v>
      </c>
      <c r="C626" s="3" t="s">
        <v>6985</v>
      </c>
      <c r="D626" s="3" t="s">
        <v>6255</v>
      </c>
      <c r="E626" s="3">
        <v>625</v>
      </c>
      <c r="F626" s="3" t="s">
        <v>5408</v>
      </c>
      <c r="G626" s="3" t="s">
        <v>20</v>
      </c>
      <c r="H626" s="3" t="str">
        <f t="shared" si="4"/>
        <v>Output SC5 Unlock Cart Q12, from Structural Connector Server.</v>
      </c>
    </row>
    <row r="627" spans="1:8" x14ac:dyDescent="0.25">
      <c r="A627" s="3" t="s">
        <v>6983</v>
      </c>
      <c r="B627" s="3" t="s">
        <v>6991</v>
      </c>
      <c r="C627" s="3" t="s">
        <v>6985</v>
      </c>
      <c r="D627" s="3" t="s">
        <v>6255</v>
      </c>
      <c r="E627" s="3">
        <v>626</v>
      </c>
      <c r="F627" s="3" t="s">
        <v>5409</v>
      </c>
      <c r="G627" s="3" t="s">
        <v>20</v>
      </c>
      <c r="H627" s="3" t="str">
        <f t="shared" si="4"/>
        <v>Output SC5 Unlock Cart Q13, from Structural Connector Server.</v>
      </c>
    </row>
    <row r="628" spans="1:8" x14ac:dyDescent="0.25">
      <c r="A628" s="3" t="s">
        <v>6983</v>
      </c>
      <c r="B628" s="3" t="s">
        <v>6991</v>
      </c>
      <c r="C628" s="3" t="s">
        <v>6985</v>
      </c>
      <c r="D628" s="3" t="s">
        <v>6255</v>
      </c>
      <c r="E628" s="3">
        <v>627</v>
      </c>
      <c r="F628" s="3" t="s">
        <v>5410</v>
      </c>
      <c r="G628" s="3" t="s">
        <v>20</v>
      </c>
      <c r="H628" s="3" t="str">
        <f t="shared" si="4"/>
        <v>Output SC5 Cnxt Accum 1 C3, from Structural Connector Server.</v>
      </c>
    </row>
    <row r="629" spans="1:8" x14ac:dyDescent="0.25">
      <c r="A629" s="3" t="s">
        <v>6983</v>
      </c>
      <c r="B629" s="3" t="s">
        <v>6991</v>
      </c>
      <c r="C629" s="3" t="s">
        <v>6985</v>
      </c>
      <c r="D629" s="3" t="s">
        <v>6255</v>
      </c>
      <c r="E629" s="3">
        <v>628</v>
      </c>
      <c r="F629" s="3" t="s">
        <v>5411</v>
      </c>
      <c r="G629" s="3" t="s">
        <v>20</v>
      </c>
      <c r="H629" s="3" t="str">
        <f t="shared" si="4"/>
        <v>Output SC5 Cnxt Accum 2 C3, from Structural Connector Server.</v>
      </c>
    </row>
    <row r="630" spans="1:8" x14ac:dyDescent="0.25">
      <c r="A630" s="3" t="s">
        <v>6983</v>
      </c>
      <c r="B630" s="3" t="s">
        <v>6991</v>
      </c>
      <c r="C630" s="3" t="s">
        <v>6985</v>
      </c>
      <c r="D630" s="3" t="s">
        <v>6255</v>
      </c>
      <c r="E630" s="3">
        <v>629</v>
      </c>
      <c r="F630" s="3" t="s">
        <v>5412</v>
      </c>
      <c r="G630" s="3" t="s">
        <v>20</v>
      </c>
      <c r="H630" s="3" t="str">
        <f t="shared" si="4"/>
        <v>Output SC5 Motor Rotate CW, from Structural Connector Server.</v>
      </c>
    </row>
    <row r="631" spans="1:8" x14ac:dyDescent="0.25">
      <c r="A631" s="3" t="s">
        <v>6983</v>
      </c>
      <c r="B631" s="3" t="s">
        <v>6991</v>
      </c>
      <c r="C631" s="3" t="s">
        <v>6985</v>
      </c>
      <c r="D631" s="3" t="s">
        <v>6255</v>
      </c>
      <c r="E631" s="3">
        <v>630</v>
      </c>
      <c r="F631" s="3" t="s">
        <v>5413</v>
      </c>
      <c r="G631" s="3" t="s">
        <v>20</v>
      </c>
      <c r="H631" s="3" t="str">
        <f t="shared" si="4"/>
        <v>Output SC5 Motor Rotate CCW, from Structural Connector Server.</v>
      </c>
    </row>
    <row r="632" spans="1:8" x14ac:dyDescent="0.25">
      <c r="A632" s="3" t="s">
        <v>6983</v>
      </c>
      <c r="B632" s="3" t="s">
        <v>6991</v>
      </c>
      <c r="C632" s="3" t="s">
        <v>6985</v>
      </c>
      <c r="D632" s="3" t="s">
        <v>6255</v>
      </c>
      <c r="E632" s="3">
        <v>631</v>
      </c>
      <c r="F632" s="3" t="s">
        <v>5414</v>
      </c>
      <c r="G632" s="3" t="s">
        <v>20</v>
      </c>
      <c r="H632" s="3" t="str">
        <f t="shared" si="4"/>
        <v>Output SC5 Ext Shear Pin Jack 1, from Structural Connector Server.</v>
      </c>
    </row>
    <row r="633" spans="1:8" x14ac:dyDescent="0.25">
      <c r="A633" s="3" t="s">
        <v>6983</v>
      </c>
      <c r="B633" s="3" t="s">
        <v>6991</v>
      </c>
      <c r="C633" s="3" t="s">
        <v>6985</v>
      </c>
      <c r="D633" s="3" t="s">
        <v>6255</v>
      </c>
      <c r="E633" s="3">
        <v>632</v>
      </c>
      <c r="F633" s="3" t="s">
        <v>5415</v>
      </c>
      <c r="G633" s="3" t="s">
        <v>20</v>
      </c>
      <c r="H633" s="3" t="str">
        <f t="shared" si="4"/>
        <v>Output SC5 Ret Shear Pin Jack 1, from Structural Connector Server.</v>
      </c>
    </row>
    <row r="634" spans="1:8" x14ac:dyDescent="0.25">
      <c r="A634" s="3" t="s">
        <v>6983</v>
      </c>
      <c r="B634" s="3" t="s">
        <v>6991</v>
      </c>
      <c r="C634" s="3" t="s">
        <v>6985</v>
      </c>
      <c r="D634" s="3" t="s">
        <v>6255</v>
      </c>
      <c r="E634" s="3">
        <v>633</v>
      </c>
      <c r="F634" s="3" t="s">
        <v>5416</v>
      </c>
      <c r="G634" s="3" t="s">
        <v>20</v>
      </c>
      <c r="H634" s="3" t="str">
        <f t="shared" si="4"/>
        <v>Output SC5 Ext Shear Pin Jack 2, from Structural Connector Server.</v>
      </c>
    </row>
    <row r="635" spans="1:8" x14ac:dyDescent="0.25">
      <c r="A635" s="3" t="s">
        <v>6983</v>
      </c>
      <c r="B635" s="3" t="s">
        <v>6991</v>
      </c>
      <c r="C635" s="3" t="s">
        <v>6985</v>
      </c>
      <c r="D635" s="3" t="s">
        <v>6255</v>
      </c>
      <c r="E635" s="3">
        <v>634</v>
      </c>
      <c r="F635" s="3" t="s">
        <v>5417</v>
      </c>
      <c r="G635" s="3" t="s">
        <v>20</v>
      </c>
      <c r="H635" s="3" t="str">
        <f t="shared" si="4"/>
        <v>Output SC5 Ret Shear Pin Jack 2, from Structural Connector Server.</v>
      </c>
    </row>
    <row r="636" spans="1:8" x14ac:dyDescent="0.25">
      <c r="A636" s="3" t="s">
        <v>6983</v>
      </c>
      <c r="B636" s="3" t="s">
        <v>6991</v>
      </c>
      <c r="C636" s="3" t="s">
        <v>6985</v>
      </c>
      <c r="D636" s="3" t="s">
        <v>6255</v>
      </c>
      <c r="E636" s="3">
        <v>635</v>
      </c>
      <c r="F636" s="3" t="s">
        <v>5418</v>
      </c>
      <c r="G636" s="3" t="s">
        <v>20</v>
      </c>
      <c r="H636" s="3" t="str">
        <f t="shared" ref="H636:H699" si="5">_xlfn.CONCAT("Output ",F636, ", from Structural Connector Server.")</f>
        <v>Output SC5 Ext Lateral Jack 1, from Structural Connector Server.</v>
      </c>
    </row>
    <row r="637" spans="1:8" x14ac:dyDescent="0.25">
      <c r="A637" s="3" t="s">
        <v>6983</v>
      </c>
      <c r="B637" s="3" t="s">
        <v>6991</v>
      </c>
      <c r="C637" s="3" t="s">
        <v>6985</v>
      </c>
      <c r="D637" s="3" t="s">
        <v>6255</v>
      </c>
      <c r="E637" s="3">
        <v>636</v>
      </c>
      <c r="F637" s="3" t="s">
        <v>5419</v>
      </c>
      <c r="G637" s="3" t="s">
        <v>20</v>
      </c>
      <c r="H637" s="3" t="str">
        <f t="shared" si="5"/>
        <v>Output SC5 Ret Lateral Jack 1, from Structural Connector Server.</v>
      </c>
    </row>
    <row r="638" spans="1:8" x14ac:dyDescent="0.25">
      <c r="A638" s="3" t="s">
        <v>6983</v>
      </c>
      <c r="B638" s="3" t="s">
        <v>6991</v>
      </c>
      <c r="C638" s="3" t="s">
        <v>6985</v>
      </c>
      <c r="D638" s="3" t="s">
        <v>6255</v>
      </c>
      <c r="E638" s="3">
        <v>637</v>
      </c>
      <c r="F638" s="3" t="s">
        <v>5420</v>
      </c>
      <c r="G638" s="3" t="s">
        <v>20</v>
      </c>
      <c r="H638" s="3" t="str">
        <f t="shared" si="5"/>
        <v>Output SC5 Ext Lateral Jack 2, from Structural Connector Server.</v>
      </c>
    </row>
    <row r="639" spans="1:8" x14ac:dyDescent="0.25">
      <c r="A639" s="3" t="s">
        <v>6983</v>
      </c>
      <c r="B639" s="3" t="s">
        <v>6991</v>
      </c>
      <c r="C639" s="3" t="s">
        <v>6985</v>
      </c>
      <c r="D639" s="3" t="s">
        <v>6255</v>
      </c>
      <c r="E639" s="3">
        <v>638</v>
      </c>
      <c r="F639" s="3" t="s">
        <v>5421</v>
      </c>
      <c r="G639" s="3" t="s">
        <v>20</v>
      </c>
      <c r="H639" s="3" t="str">
        <f t="shared" si="5"/>
        <v>Output SC5 Ret Lateral Jack 2, from Structural Connector Server.</v>
      </c>
    </row>
    <row r="640" spans="1:8" x14ac:dyDescent="0.25">
      <c r="A640" s="3" t="s">
        <v>6983</v>
      </c>
      <c r="B640" s="3" t="s">
        <v>6991</v>
      </c>
      <c r="C640" s="3" t="s">
        <v>6985</v>
      </c>
      <c r="D640" s="3" t="s">
        <v>6255</v>
      </c>
      <c r="E640" s="3">
        <v>639</v>
      </c>
      <c r="F640" s="3" t="s">
        <v>5422</v>
      </c>
      <c r="G640" s="3" t="s">
        <v>20</v>
      </c>
      <c r="H640" s="3" t="str">
        <f t="shared" si="5"/>
        <v>Output SC5 Hyd Motor-M7 Ctrl, from Structural Connector Server.</v>
      </c>
    </row>
    <row r="641" spans="1:8" x14ac:dyDescent="0.25">
      <c r="A641" s="3" t="s">
        <v>6983</v>
      </c>
      <c r="B641" s="3" t="s">
        <v>6991</v>
      </c>
      <c r="C641" s="3" t="s">
        <v>6985</v>
      </c>
      <c r="D641" s="3" t="s">
        <v>6255</v>
      </c>
      <c r="E641" s="3">
        <v>640</v>
      </c>
      <c r="F641" s="3" t="s">
        <v>5423</v>
      </c>
      <c r="G641" s="3" t="s">
        <v>20</v>
      </c>
      <c r="H641" s="3" t="str">
        <f t="shared" si="5"/>
        <v>Output SC5 Hyd Pump Running, from Structural Connector Server.</v>
      </c>
    </row>
    <row r="642" spans="1:8" x14ac:dyDescent="0.25">
      <c r="A642" s="3" t="s">
        <v>6983</v>
      </c>
      <c r="B642" s="3" t="s">
        <v>6991</v>
      </c>
      <c r="C642" s="3" t="s">
        <v>6985</v>
      </c>
      <c r="D642" s="3" t="s">
        <v>6255</v>
      </c>
      <c r="E642" s="3">
        <v>641</v>
      </c>
      <c r="F642" s="3" t="s">
        <v>5424</v>
      </c>
      <c r="G642" s="3" t="s">
        <v>20</v>
      </c>
      <c r="H642" s="3" t="str">
        <f t="shared" si="5"/>
        <v>Output SC5 Load Redund Accum, from Structural Connector Server.</v>
      </c>
    </row>
    <row r="643" spans="1:8" x14ac:dyDescent="0.25">
      <c r="A643" s="3" t="s">
        <v>6983</v>
      </c>
      <c r="B643" s="3" t="s">
        <v>6991</v>
      </c>
      <c r="C643" s="3" t="s">
        <v>6985</v>
      </c>
      <c r="D643" s="3" t="s">
        <v>6255</v>
      </c>
      <c r="E643" s="3">
        <v>642</v>
      </c>
      <c r="F643" s="3" t="s">
        <v>5425</v>
      </c>
      <c r="G643" s="3" t="s">
        <v>20</v>
      </c>
      <c r="H643" s="3" t="str">
        <f t="shared" si="5"/>
        <v>Output SC5 Load Accum, from Structural Connector Server.</v>
      </c>
    </row>
    <row r="644" spans="1:8" x14ac:dyDescent="0.25">
      <c r="A644" s="3" t="s">
        <v>6983</v>
      </c>
      <c r="B644" s="3" t="s">
        <v>6991</v>
      </c>
      <c r="C644" s="3" t="s">
        <v>6985</v>
      </c>
      <c r="D644" s="3" t="s">
        <v>6255</v>
      </c>
      <c r="E644" s="3">
        <v>643</v>
      </c>
      <c r="F644" s="3" t="s">
        <v>5426</v>
      </c>
      <c r="G644" s="3" t="s">
        <v>20</v>
      </c>
      <c r="H644" s="3" t="str">
        <f t="shared" si="5"/>
        <v>Output SC5 PX Switch, from Structural Connector Server.</v>
      </c>
    </row>
    <row r="645" spans="1:8" x14ac:dyDescent="0.25">
      <c r="A645" s="3" t="s">
        <v>6983</v>
      </c>
      <c r="B645" s="3" t="s">
        <v>6991</v>
      </c>
      <c r="C645" s="3" t="s">
        <v>6985</v>
      </c>
      <c r="D645" s="3" t="s">
        <v>6255</v>
      </c>
      <c r="E645" s="3">
        <v>644</v>
      </c>
      <c r="F645" s="3" t="s">
        <v>5427</v>
      </c>
      <c r="G645" s="3" t="s">
        <v>20</v>
      </c>
      <c r="H645" s="3" t="str">
        <f t="shared" si="5"/>
        <v>Output SC5 Ret Pressure Main Jack, from Structural Connector Server.</v>
      </c>
    </row>
    <row r="646" spans="1:8" x14ac:dyDescent="0.25">
      <c r="A646" s="3" t="s">
        <v>6983</v>
      </c>
      <c r="B646" s="3" t="s">
        <v>6991</v>
      </c>
      <c r="C646" s="3" t="s">
        <v>6985</v>
      </c>
      <c r="D646" s="3" t="s">
        <v>6255</v>
      </c>
      <c r="E646" s="3">
        <v>645</v>
      </c>
      <c r="F646" s="3" t="s">
        <v>5428</v>
      </c>
      <c r="G646" s="3" t="s">
        <v>20</v>
      </c>
      <c r="H646" s="3" t="str">
        <f t="shared" si="5"/>
        <v>Output SC5 Ext Pressure Main Jack, from Structural Connector Server.</v>
      </c>
    </row>
    <row r="647" spans="1:8" x14ac:dyDescent="0.25">
      <c r="A647" s="3" t="s">
        <v>6983</v>
      </c>
      <c r="B647" s="3" t="s">
        <v>6991</v>
      </c>
      <c r="C647" s="3" t="s">
        <v>6985</v>
      </c>
      <c r="D647" s="3" t="s">
        <v>6256</v>
      </c>
      <c r="E647" s="3">
        <v>646</v>
      </c>
      <c r="F647" s="3" t="s">
        <v>5429</v>
      </c>
      <c r="G647" s="3" t="s">
        <v>20</v>
      </c>
      <c r="H647" s="3" t="str">
        <f t="shared" si="5"/>
        <v>Output SC6 Unlock Q4, from Structural Connector Server.</v>
      </c>
    </row>
    <row r="648" spans="1:8" x14ac:dyDescent="0.25">
      <c r="A648" s="3" t="s">
        <v>6983</v>
      </c>
      <c r="B648" s="3" t="s">
        <v>6991</v>
      </c>
      <c r="C648" s="3" t="s">
        <v>6985</v>
      </c>
      <c r="D648" s="3" t="s">
        <v>6256</v>
      </c>
      <c r="E648" s="3">
        <v>647</v>
      </c>
      <c r="F648" s="3" t="s">
        <v>5430</v>
      </c>
      <c r="G648" s="3" t="s">
        <v>20</v>
      </c>
      <c r="H648" s="3" t="str">
        <f t="shared" si="5"/>
        <v>Output SC6 Unlock Q6, from Structural Connector Server.</v>
      </c>
    </row>
    <row r="649" spans="1:8" x14ac:dyDescent="0.25">
      <c r="A649" s="3" t="s">
        <v>6983</v>
      </c>
      <c r="B649" s="3" t="s">
        <v>6991</v>
      </c>
      <c r="C649" s="3" t="s">
        <v>6985</v>
      </c>
      <c r="D649" s="3" t="s">
        <v>6256</v>
      </c>
      <c r="E649" s="3">
        <v>648</v>
      </c>
      <c r="F649" s="3" t="s">
        <v>5431</v>
      </c>
      <c r="G649" s="3" t="s">
        <v>20</v>
      </c>
      <c r="H649" s="3" t="str">
        <f t="shared" si="5"/>
        <v>Output SC6 Depress Main Jack, from Structural Connector Server.</v>
      </c>
    </row>
    <row r="650" spans="1:8" x14ac:dyDescent="0.25">
      <c r="A650" s="3" t="s">
        <v>6983</v>
      </c>
      <c r="B650" s="3" t="s">
        <v>6991</v>
      </c>
      <c r="C650" s="3" t="s">
        <v>6985</v>
      </c>
      <c r="D650" s="3" t="s">
        <v>6256</v>
      </c>
      <c r="E650" s="3">
        <v>649</v>
      </c>
      <c r="F650" s="3" t="s">
        <v>5432</v>
      </c>
      <c r="G650" s="3" t="s">
        <v>20</v>
      </c>
      <c r="H650" s="3" t="str">
        <f t="shared" si="5"/>
        <v>Output SC6 Cnxt Main Accum, from Structural Connector Server.</v>
      </c>
    </row>
    <row r="651" spans="1:8" x14ac:dyDescent="0.25">
      <c r="A651" s="3" t="s">
        <v>6983</v>
      </c>
      <c r="B651" s="3" t="s">
        <v>6991</v>
      </c>
      <c r="C651" s="3" t="s">
        <v>6985</v>
      </c>
      <c r="D651" s="3" t="s">
        <v>6256</v>
      </c>
      <c r="E651" s="3">
        <v>650</v>
      </c>
      <c r="F651" s="3" t="s">
        <v>5433</v>
      </c>
      <c r="G651" s="3" t="s">
        <v>20</v>
      </c>
      <c r="H651" s="3" t="str">
        <f t="shared" si="5"/>
        <v>Output SC6 Unlock Cart Q12, from Structural Connector Server.</v>
      </c>
    </row>
    <row r="652" spans="1:8" x14ac:dyDescent="0.25">
      <c r="A652" s="3" t="s">
        <v>6983</v>
      </c>
      <c r="B652" s="3" t="s">
        <v>6991</v>
      </c>
      <c r="C652" s="3" t="s">
        <v>6985</v>
      </c>
      <c r="D652" s="3" t="s">
        <v>6256</v>
      </c>
      <c r="E652" s="3">
        <v>651</v>
      </c>
      <c r="F652" s="3" t="s">
        <v>5434</v>
      </c>
      <c r="G652" s="3" t="s">
        <v>20</v>
      </c>
      <c r="H652" s="3" t="str">
        <f t="shared" si="5"/>
        <v>Output SC6 Unlock Cart Q13, from Structural Connector Server.</v>
      </c>
    </row>
    <row r="653" spans="1:8" x14ac:dyDescent="0.25">
      <c r="A653" s="3" t="s">
        <v>6983</v>
      </c>
      <c r="B653" s="3" t="s">
        <v>6991</v>
      </c>
      <c r="C653" s="3" t="s">
        <v>6985</v>
      </c>
      <c r="D653" s="3" t="s">
        <v>6256</v>
      </c>
      <c r="E653" s="3">
        <v>652</v>
      </c>
      <c r="F653" s="3" t="s">
        <v>5435</v>
      </c>
      <c r="G653" s="3" t="s">
        <v>20</v>
      </c>
      <c r="H653" s="3" t="str">
        <f t="shared" si="5"/>
        <v>Output SC6 Cnxt Accum 1 C3, from Structural Connector Server.</v>
      </c>
    </row>
    <row r="654" spans="1:8" x14ac:dyDescent="0.25">
      <c r="A654" s="3" t="s">
        <v>6983</v>
      </c>
      <c r="B654" s="3" t="s">
        <v>6991</v>
      </c>
      <c r="C654" s="3" t="s">
        <v>6985</v>
      </c>
      <c r="D654" s="3" t="s">
        <v>6256</v>
      </c>
      <c r="E654" s="3">
        <v>653</v>
      </c>
      <c r="F654" s="3" t="s">
        <v>5436</v>
      </c>
      <c r="G654" s="3" t="s">
        <v>20</v>
      </c>
      <c r="H654" s="3" t="str">
        <f t="shared" si="5"/>
        <v>Output SC6 Cnxt Accum 2 C3, from Structural Connector Server.</v>
      </c>
    </row>
    <row r="655" spans="1:8" x14ac:dyDescent="0.25">
      <c r="A655" s="3" t="s">
        <v>6983</v>
      </c>
      <c r="B655" s="3" t="s">
        <v>6991</v>
      </c>
      <c r="C655" s="3" t="s">
        <v>6985</v>
      </c>
      <c r="D655" s="3" t="s">
        <v>6256</v>
      </c>
      <c r="E655" s="3">
        <v>654</v>
      </c>
      <c r="F655" s="3" t="s">
        <v>5437</v>
      </c>
      <c r="G655" s="3" t="s">
        <v>20</v>
      </c>
      <c r="H655" s="3" t="str">
        <f t="shared" si="5"/>
        <v>Output SC6 Motor Rotate CW, from Structural Connector Server.</v>
      </c>
    </row>
    <row r="656" spans="1:8" x14ac:dyDescent="0.25">
      <c r="A656" s="3" t="s">
        <v>6983</v>
      </c>
      <c r="B656" s="3" t="s">
        <v>6991</v>
      </c>
      <c r="C656" s="3" t="s">
        <v>6985</v>
      </c>
      <c r="D656" s="3" t="s">
        <v>6256</v>
      </c>
      <c r="E656" s="3">
        <v>655</v>
      </c>
      <c r="F656" s="3" t="s">
        <v>5438</v>
      </c>
      <c r="G656" s="3" t="s">
        <v>20</v>
      </c>
      <c r="H656" s="3" t="str">
        <f t="shared" si="5"/>
        <v>Output SC6 Motor Rotate CCW, from Structural Connector Server.</v>
      </c>
    </row>
    <row r="657" spans="1:8" x14ac:dyDescent="0.25">
      <c r="A657" s="3" t="s">
        <v>6983</v>
      </c>
      <c r="B657" s="3" t="s">
        <v>6991</v>
      </c>
      <c r="C657" s="3" t="s">
        <v>6985</v>
      </c>
      <c r="D657" s="3" t="s">
        <v>6256</v>
      </c>
      <c r="E657" s="3">
        <v>656</v>
      </c>
      <c r="F657" s="3" t="s">
        <v>5439</v>
      </c>
      <c r="G657" s="3" t="s">
        <v>20</v>
      </c>
      <c r="H657" s="3" t="str">
        <f t="shared" si="5"/>
        <v>Output SC6 Ext Shear Pin Jack 1, from Structural Connector Server.</v>
      </c>
    </row>
    <row r="658" spans="1:8" x14ac:dyDescent="0.25">
      <c r="A658" s="3" t="s">
        <v>6983</v>
      </c>
      <c r="B658" s="3" t="s">
        <v>6991</v>
      </c>
      <c r="C658" s="3" t="s">
        <v>6985</v>
      </c>
      <c r="D658" s="3" t="s">
        <v>6256</v>
      </c>
      <c r="E658" s="3">
        <v>657</v>
      </c>
      <c r="F658" s="3" t="s">
        <v>5440</v>
      </c>
      <c r="G658" s="3" t="s">
        <v>20</v>
      </c>
      <c r="H658" s="3" t="str">
        <f t="shared" si="5"/>
        <v>Output SC6 Ret Shear Pin Jack 1, from Structural Connector Server.</v>
      </c>
    </row>
    <row r="659" spans="1:8" x14ac:dyDescent="0.25">
      <c r="A659" s="3" t="s">
        <v>6983</v>
      </c>
      <c r="B659" s="3" t="s">
        <v>6991</v>
      </c>
      <c r="C659" s="3" t="s">
        <v>6985</v>
      </c>
      <c r="D659" s="3" t="s">
        <v>6256</v>
      </c>
      <c r="E659" s="3">
        <v>658</v>
      </c>
      <c r="F659" s="3" t="s">
        <v>5441</v>
      </c>
      <c r="G659" s="3" t="s">
        <v>20</v>
      </c>
      <c r="H659" s="3" t="str">
        <f t="shared" si="5"/>
        <v>Output SC6 Ext Shear Pin Jack 2, from Structural Connector Server.</v>
      </c>
    </row>
    <row r="660" spans="1:8" x14ac:dyDescent="0.25">
      <c r="A660" s="3" t="s">
        <v>6983</v>
      </c>
      <c r="B660" s="3" t="s">
        <v>6991</v>
      </c>
      <c r="C660" s="3" t="s">
        <v>6985</v>
      </c>
      <c r="D660" s="3" t="s">
        <v>6256</v>
      </c>
      <c r="E660" s="3">
        <v>659</v>
      </c>
      <c r="F660" s="3" t="s">
        <v>5442</v>
      </c>
      <c r="G660" s="3" t="s">
        <v>20</v>
      </c>
      <c r="H660" s="3" t="str">
        <f t="shared" si="5"/>
        <v>Output SC6 Ret Shear Pin Jack 2, from Structural Connector Server.</v>
      </c>
    </row>
    <row r="661" spans="1:8" x14ac:dyDescent="0.25">
      <c r="A661" s="3" t="s">
        <v>6983</v>
      </c>
      <c r="B661" s="3" t="s">
        <v>6991</v>
      </c>
      <c r="C661" s="3" t="s">
        <v>6985</v>
      </c>
      <c r="D661" s="3" t="s">
        <v>6256</v>
      </c>
      <c r="E661" s="3">
        <v>660</v>
      </c>
      <c r="F661" s="3" t="s">
        <v>5443</v>
      </c>
      <c r="G661" s="3" t="s">
        <v>20</v>
      </c>
      <c r="H661" s="3" t="str">
        <f t="shared" si="5"/>
        <v>Output SC6 Ext Lateral Jack 1, from Structural Connector Server.</v>
      </c>
    </row>
    <row r="662" spans="1:8" x14ac:dyDescent="0.25">
      <c r="A662" s="3" t="s">
        <v>6983</v>
      </c>
      <c r="B662" s="3" t="s">
        <v>6991</v>
      </c>
      <c r="C662" s="3" t="s">
        <v>6985</v>
      </c>
      <c r="D662" s="3" t="s">
        <v>6256</v>
      </c>
      <c r="E662" s="3">
        <v>661</v>
      </c>
      <c r="F662" s="3" t="s">
        <v>5444</v>
      </c>
      <c r="G662" s="3" t="s">
        <v>20</v>
      </c>
      <c r="H662" s="3" t="str">
        <f t="shared" si="5"/>
        <v>Output SC6 Ret Lateral Jack 1, from Structural Connector Server.</v>
      </c>
    </row>
    <row r="663" spans="1:8" x14ac:dyDescent="0.25">
      <c r="A663" s="3" t="s">
        <v>6983</v>
      </c>
      <c r="B663" s="3" t="s">
        <v>6991</v>
      </c>
      <c r="C663" s="3" t="s">
        <v>6985</v>
      </c>
      <c r="D663" s="3" t="s">
        <v>6256</v>
      </c>
      <c r="E663" s="3">
        <v>662</v>
      </c>
      <c r="F663" s="3" t="s">
        <v>5445</v>
      </c>
      <c r="G663" s="3" t="s">
        <v>20</v>
      </c>
      <c r="H663" s="3" t="str">
        <f t="shared" si="5"/>
        <v>Output SC6 Ext Lateral Jack 2, from Structural Connector Server.</v>
      </c>
    </row>
    <row r="664" spans="1:8" x14ac:dyDescent="0.25">
      <c r="A664" s="3" t="s">
        <v>6983</v>
      </c>
      <c r="B664" s="3" t="s">
        <v>6991</v>
      </c>
      <c r="C664" s="3" t="s">
        <v>6985</v>
      </c>
      <c r="D664" s="3" t="s">
        <v>6256</v>
      </c>
      <c r="E664" s="3">
        <v>663</v>
      </c>
      <c r="F664" s="3" t="s">
        <v>5446</v>
      </c>
      <c r="G664" s="3" t="s">
        <v>20</v>
      </c>
      <c r="H664" s="3" t="str">
        <f t="shared" si="5"/>
        <v>Output SC6 Ret Lateral Jack 2, from Structural Connector Server.</v>
      </c>
    </row>
    <row r="665" spans="1:8" x14ac:dyDescent="0.25">
      <c r="A665" s="3" t="s">
        <v>6983</v>
      </c>
      <c r="B665" s="3" t="s">
        <v>6991</v>
      </c>
      <c r="C665" s="3" t="s">
        <v>6985</v>
      </c>
      <c r="D665" s="3" t="s">
        <v>6256</v>
      </c>
      <c r="E665" s="3">
        <v>664</v>
      </c>
      <c r="F665" s="3" t="s">
        <v>5447</v>
      </c>
      <c r="G665" s="3" t="s">
        <v>20</v>
      </c>
      <c r="H665" s="3" t="str">
        <f t="shared" si="5"/>
        <v>Output SC6 Hyd Motor-M7 Ctrl, from Structural Connector Server.</v>
      </c>
    </row>
    <row r="666" spans="1:8" x14ac:dyDescent="0.25">
      <c r="A666" s="3" t="s">
        <v>6983</v>
      </c>
      <c r="B666" s="3" t="s">
        <v>6991</v>
      </c>
      <c r="C666" s="3" t="s">
        <v>6985</v>
      </c>
      <c r="D666" s="3" t="s">
        <v>6256</v>
      </c>
      <c r="E666" s="3">
        <v>665</v>
      </c>
      <c r="F666" s="3" t="s">
        <v>5448</v>
      </c>
      <c r="G666" s="3" t="s">
        <v>20</v>
      </c>
      <c r="H666" s="3" t="str">
        <f t="shared" si="5"/>
        <v>Output SC6 Hyd Pump Running, from Structural Connector Server.</v>
      </c>
    </row>
    <row r="667" spans="1:8" x14ac:dyDescent="0.25">
      <c r="A667" s="3" t="s">
        <v>6983</v>
      </c>
      <c r="B667" s="3" t="s">
        <v>6991</v>
      </c>
      <c r="C667" s="3" t="s">
        <v>6985</v>
      </c>
      <c r="D667" s="3" t="s">
        <v>6256</v>
      </c>
      <c r="E667" s="3">
        <v>666</v>
      </c>
      <c r="F667" s="3" t="s">
        <v>5449</v>
      </c>
      <c r="G667" s="3" t="s">
        <v>20</v>
      </c>
      <c r="H667" s="3" t="str">
        <f t="shared" si="5"/>
        <v>Output SC6 Load Redund Accum, from Structural Connector Server.</v>
      </c>
    </row>
    <row r="668" spans="1:8" x14ac:dyDescent="0.25">
      <c r="A668" s="3" t="s">
        <v>6983</v>
      </c>
      <c r="B668" s="3" t="s">
        <v>6991</v>
      </c>
      <c r="C668" s="3" t="s">
        <v>6985</v>
      </c>
      <c r="D668" s="3" t="s">
        <v>6256</v>
      </c>
      <c r="E668" s="3">
        <v>667</v>
      </c>
      <c r="F668" s="3" t="s">
        <v>5450</v>
      </c>
      <c r="G668" s="3" t="s">
        <v>20</v>
      </c>
      <c r="H668" s="3" t="str">
        <f t="shared" si="5"/>
        <v>Output SC6 Load Accum, from Structural Connector Server.</v>
      </c>
    </row>
    <row r="669" spans="1:8" x14ac:dyDescent="0.25">
      <c r="A669" s="3" t="s">
        <v>6983</v>
      </c>
      <c r="B669" s="3" t="s">
        <v>6991</v>
      </c>
      <c r="C669" s="3" t="s">
        <v>6985</v>
      </c>
      <c r="D669" s="3" t="s">
        <v>6256</v>
      </c>
      <c r="E669" s="3">
        <v>668</v>
      </c>
      <c r="F669" s="3" t="s">
        <v>5451</v>
      </c>
      <c r="G669" s="3" t="s">
        <v>20</v>
      </c>
      <c r="H669" s="3" t="str">
        <f t="shared" si="5"/>
        <v>Output SC6 PX Switch, from Structural Connector Server.</v>
      </c>
    </row>
    <row r="670" spans="1:8" x14ac:dyDescent="0.25">
      <c r="A670" s="3" t="s">
        <v>6983</v>
      </c>
      <c r="B670" s="3" t="s">
        <v>6991</v>
      </c>
      <c r="C670" s="3" t="s">
        <v>6985</v>
      </c>
      <c r="D670" s="3" t="s">
        <v>6256</v>
      </c>
      <c r="E670" s="3">
        <v>669</v>
      </c>
      <c r="F670" s="3" t="s">
        <v>5452</v>
      </c>
      <c r="G670" s="3" t="s">
        <v>20</v>
      </c>
      <c r="H670" s="3" t="str">
        <f t="shared" si="5"/>
        <v>Output SC6 Ret Pressure Main Jack, from Structural Connector Server.</v>
      </c>
    </row>
    <row r="671" spans="1:8" x14ac:dyDescent="0.25">
      <c r="A671" s="3" t="s">
        <v>6983</v>
      </c>
      <c r="B671" s="3" t="s">
        <v>6991</v>
      </c>
      <c r="C671" s="3" t="s">
        <v>6985</v>
      </c>
      <c r="D671" s="3" t="s">
        <v>6256</v>
      </c>
      <c r="E671" s="3">
        <v>670</v>
      </c>
      <c r="F671" s="3" t="s">
        <v>5453</v>
      </c>
      <c r="G671" s="3" t="s">
        <v>20</v>
      </c>
      <c r="H671" s="3" t="str">
        <f t="shared" si="5"/>
        <v>Output SC6 Ext Pressure Main Jack, from Structural Connector Server.</v>
      </c>
    </row>
    <row r="672" spans="1:8" x14ac:dyDescent="0.25">
      <c r="A672" s="3" t="s">
        <v>6983</v>
      </c>
      <c r="B672" s="3" t="s">
        <v>6991</v>
      </c>
      <c r="C672" s="3" t="s">
        <v>6985</v>
      </c>
      <c r="D672" s="3" t="s">
        <v>6257</v>
      </c>
      <c r="E672" s="3">
        <v>671</v>
      </c>
      <c r="F672" s="3" t="s">
        <v>5454</v>
      </c>
      <c r="G672" s="3" t="s">
        <v>20</v>
      </c>
      <c r="H672" s="3" t="str">
        <f t="shared" si="5"/>
        <v>Output SC7 Unlock Q4, from Structural Connector Server.</v>
      </c>
    </row>
    <row r="673" spans="1:8" x14ac:dyDescent="0.25">
      <c r="A673" s="3" t="s">
        <v>6983</v>
      </c>
      <c r="B673" s="3" t="s">
        <v>6991</v>
      </c>
      <c r="C673" s="3" t="s">
        <v>6985</v>
      </c>
      <c r="D673" s="3" t="s">
        <v>6257</v>
      </c>
      <c r="E673" s="3">
        <v>672</v>
      </c>
      <c r="F673" s="3" t="s">
        <v>5455</v>
      </c>
      <c r="G673" s="3" t="s">
        <v>20</v>
      </c>
      <c r="H673" s="3" t="str">
        <f t="shared" si="5"/>
        <v>Output SC7 Unlock Q6, from Structural Connector Server.</v>
      </c>
    </row>
    <row r="674" spans="1:8" x14ac:dyDescent="0.25">
      <c r="A674" s="3" t="s">
        <v>6983</v>
      </c>
      <c r="B674" s="3" t="s">
        <v>6991</v>
      </c>
      <c r="C674" s="3" t="s">
        <v>6985</v>
      </c>
      <c r="D674" s="3" t="s">
        <v>6257</v>
      </c>
      <c r="E674" s="3">
        <v>673</v>
      </c>
      <c r="F674" s="3" t="s">
        <v>5456</v>
      </c>
      <c r="G674" s="3" t="s">
        <v>20</v>
      </c>
      <c r="H674" s="3" t="str">
        <f t="shared" si="5"/>
        <v>Output SC7 Depress Main Jack, from Structural Connector Server.</v>
      </c>
    </row>
    <row r="675" spans="1:8" x14ac:dyDescent="0.25">
      <c r="A675" s="3" t="s">
        <v>6983</v>
      </c>
      <c r="B675" s="3" t="s">
        <v>6991</v>
      </c>
      <c r="C675" s="3" t="s">
        <v>6985</v>
      </c>
      <c r="D675" s="3" t="s">
        <v>6257</v>
      </c>
      <c r="E675" s="3">
        <v>674</v>
      </c>
      <c r="F675" s="3" t="s">
        <v>5457</v>
      </c>
      <c r="G675" s="3" t="s">
        <v>20</v>
      </c>
      <c r="H675" s="3" t="str">
        <f t="shared" si="5"/>
        <v>Output SC7 Cnxt Main Accum, from Structural Connector Server.</v>
      </c>
    </row>
    <row r="676" spans="1:8" x14ac:dyDescent="0.25">
      <c r="A676" s="3" t="s">
        <v>6983</v>
      </c>
      <c r="B676" s="3" t="s">
        <v>6991</v>
      </c>
      <c r="C676" s="3" t="s">
        <v>6985</v>
      </c>
      <c r="D676" s="3" t="s">
        <v>6257</v>
      </c>
      <c r="E676" s="3">
        <v>675</v>
      </c>
      <c r="F676" s="3" t="s">
        <v>5458</v>
      </c>
      <c r="G676" s="3" t="s">
        <v>20</v>
      </c>
      <c r="H676" s="3" t="str">
        <f t="shared" si="5"/>
        <v>Output SC7 Unlock Cart Q12, from Structural Connector Server.</v>
      </c>
    </row>
    <row r="677" spans="1:8" x14ac:dyDescent="0.25">
      <c r="A677" s="3" t="s">
        <v>6983</v>
      </c>
      <c r="B677" s="3" t="s">
        <v>6991</v>
      </c>
      <c r="C677" s="3" t="s">
        <v>6985</v>
      </c>
      <c r="D677" s="3" t="s">
        <v>6257</v>
      </c>
      <c r="E677" s="3">
        <v>676</v>
      </c>
      <c r="F677" s="3" t="s">
        <v>5459</v>
      </c>
      <c r="G677" s="3" t="s">
        <v>20</v>
      </c>
      <c r="H677" s="3" t="str">
        <f t="shared" si="5"/>
        <v>Output SC7 Unlock Cart Q13, from Structural Connector Server.</v>
      </c>
    </row>
    <row r="678" spans="1:8" x14ac:dyDescent="0.25">
      <c r="A678" s="3" t="s">
        <v>6983</v>
      </c>
      <c r="B678" s="3" t="s">
        <v>6991</v>
      </c>
      <c r="C678" s="3" t="s">
        <v>6985</v>
      </c>
      <c r="D678" s="3" t="s">
        <v>6257</v>
      </c>
      <c r="E678" s="3">
        <v>677</v>
      </c>
      <c r="F678" s="3" t="s">
        <v>5460</v>
      </c>
      <c r="G678" s="3" t="s">
        <v>20</v>
      </c>
      <c r="H678" s="3" t="str">
        <f t="shared" si="5"/>
        <v>Output SC7 Cnxt Accum 1 C3, from Structural Connector Server.</v>
      </c>
    </row>
    <row r="679" spans="1:8" x14ac:dyDescent="0.25">
      <c r="A679" s="3" t="s">
        <v>6983</v>
      </c>
      <c r="B679" s="3" t="s">
        <v>6991</v>
      </c>
      <c r="C679" s="3" t="s">
        <v>6985</v>
      </c>
      <c r="D679" s="3" t="s">
        <v>6257</v>
      </c>
      <c r="E679" s="3">
        <v>678</v>
      </c>
      <c r="F679" s="3" t="s">
        <v>5461</v>
      </c>
      <c r="G679" s="3" t="s">
        <v>20</v>
      </c>
      <c r="H679" s="3" t="str">
        <f t="shared" si="5"/>
        <v>Output SC7 Cnxt Accum 2 C3, from Structural Connector Server.</v>
      </c>
    </row>
    <row r="680" spans="1:8" x14ac:dyDescent="0.25">
      <c r="A680" s="3" t="s">
        <v>6983</v>
      </c>
      <c r="B680" s="3" t="s">
        <v>6991</v>
      </c>
      <c r="C680" s="3" t="s">
        <v>6985</v>
      </c>
      <c r="D680" s="3" t="s">
        <v>6257</v>
      </c>
      <c r="E680" s="3">
        <v>679</v>
      </c>
      <c r="F680" s="3" t="s">
        <v>5462</v>
      </c>
      <c r="G680" s="3" t="s">
        <v>20</v>
      </c>
      <c r="H680" s="3" t="str">
        <f t="shared" si="5"/>
        <v>Output SC7 Motor Rotate CW, from Structural Connector Server.</v>
      </c>
    </row>
    <row r="681" spans="1:8" x14ac:dyDescent="0.25">
      <c r="A681" s="3" t="s">
        <v>6983</v>
      </c>
      <c r="B681" s="3" t="s">
        <v>6991</v>
      </c>
      <c r="C681" s="3" t="s">
        <v>6985</v>
      </c>
      <c r="D681" s="3" t="s">
        <v>6257</v>
      </c>
      <c r="E681" s="3">
        <v>680</v>
      </c>
      <c r="F681" s="3" t="s">
        <v>5463</v>
      </c>
      <c r="G681" s="3" t="s">
        <v>20</v>
      </c>
      <c r="H681" s="3" t="str">
        <f t="shared" si="5"/>
        <v>Output SC7 Motor Rotate CCW, from Structural Connector Server.</v>
      </c>
    </row>
    <row r="682" spans="1:8" x14ac:dyDescent="0.25">
      <c r="A682" s="3" t="s">
        <v>6983</v>
      </c>
      <c r="B682" s="3" t="s">
        <v>6991</v>
      </c>
      <c r="C682" s="3" t="s">
        <v>6985</v>
      </c>
      <c r="D682" s="3" t="s">
        <v>6257</v>
      </c>
      <c r="E682" s="3">
        <v>681</v>
      </c>
      <c r="F682" s="3" t="s">
        <v>5464</v>
      </c>
      <c r="G682" s="3" t="s">
        <v>20</v>
      </c>
      <c r="H682" s="3" t="str">
        <f t="shared" si="5"/>
        <v>Output SC7 Ext Shear Pin Jack 1, from Structural Connector Server.</v>
      </c>
    </row>
    <row r="683" spans="1:8" x14ac:dyDescent="0.25">
      <c r="A683" s="3" t="s">
        <v>6983</v>
      </c>
      <c r="B683" s="3" t="s">
        <v>6991</v>
      </c>
      <c r="C683" s="3" t="s">
        <v>6985</v>
      </c>
      <c r="D683" s="3" t="s">
        <v>6257</v>
      </c>
      <c r="E683" s="3">
        <v>682</v>
      </c>
      <c r="F683" s="3" t="s">
        <v>5465</v>
      </c>
      <c r="G683" s="3" t="s">
        <v>20</v>
      </c>
      <c r="H683" s="3" t="str">
        <f t="shared" si="5"/>
        <v>Output SC7 Ret Shear Pin Jack 1, from Structural Connector Server.</v>
      </c>
    </row>
    <row r="684" spans="1:8" x14ac:dyDescent="0.25">
      <c r="A684" s="3" t="s">
        <v>6983</v>
      </c>
      <c r="B684" s="3" t="s">
        <v>6991</v>
      </c>
      <c r="C684" s="3" t="s">
        <v>6985</v>
      </c>
      <c r="D684" s="3" t="s">
        <v>6257</v>
      </c>
      <c r="E684" s="3">
        <v>683</v>
      </c>
      <c r="F684" s="3" t="s">
        <v>5466</v>
      </c>
      <c r="G684" s="3" t="s">
        <v>20</v>
      </c>
      <c r="H684" s="3" t="str">
        <f t="shared" si="5"/>
        <v>Output SC7 Ext Shear Pin Jack 2, from Structural Connector Server.</v>
      </c>
    </row>
    <row r="685" spans="1:8" x14ac:dyDescent="0.25">
      <c r="A685" s="3" t="s">
        <v>6983</v>
      </c>
      <c r="B685" s="3" t="s">
        <v>6991</v>
      </c>
      <c r="C685" s="3" t="s">
        <v>6985</v>
      </c>
      <c r="D685" s="3" t="s">
        <v>6257</v>
      </c>
      <c r="E685" s="3">
        <v>684</v>
      </c>
      <c r="F685" s="3" t="s">
        <v>5467</v>
      </c>
      <c r="G685" s="3" t="s">
        <v>20</v>
      </c>
      <c r="H685" s="3" t="str">
        <f t="shared" si="5"/>
        <v>Output SC7 Ret Shear Pin Jack 2, from Structural Connector Server.</v>
      </c>
    </row>
    <row r="686" spans="1:8" x14ac:dyDescent="0.25">
      <c r="A686" s="3" t="s">
        <v>6983</v>
      </c>
      <c r="B686" s="3" t="s">
        <v>6991</v>
      </c>
      <c r="C686" s="3" t="s">
        <v>6985</v>
      </c>
      <c r="D686" s="3" t="s">
        <v>6257</v>
      </c>
      <c r="E686" s="3">
        <v>685</v>
      </c>
      <c r="F686" s="3" t="s">
        <v>5468</v>
      </c>
      <c r="G686" s="3" t="s">
        <v>20</v>
      </c>
      <c r="H686" s="3" t="str">
        <f t="shared" si="5"/>
        <v>Output SC7 Ext Lateral Jack 1, from Structural Connector Server.</v>
      </c>
    </row>
    <row r="687" spans="1:8" x14ac:dyDescent="0.25">
      <c r="A687" s="3" t="s">
        <v>6983</v>
      </c>
      <c r="B687" s="3" t="s">
        <v>6991</v>
      </c>
      <c r="C687" s="3" t="s">
        <v>6985</v>
      </c>
      <c r="D687" s="3" t="s">
        <v>6257</v>
      </c>
      <c r="E687" s="3">
        <v>686</v>
      </c>
      <c r="F687" s="3" t="s">
        <v>5469</v>
      </c>
      <c r="G687" s="3" t="s">
        <v>20</v>
      </c>
      <c r="H687" s="3" t="str">
        <f t="shared" si="5"/>
        <v>Output SC7 Ret Lateral Jack 1, from Structural Connector Server.</v>
      </c>
    </row>
    <row r="688" spans="1:8" x14ac:dyDescent="0.25">
      <c r="A688" s="3" t="s">
        <v>6983</v>
      </c>
      <c r="B688" s="3" t="s">
        <v>6991</v>
      </c>
      <c r="C688" s="3" t="s">
        <v>6985</v>
      </c>
      <c r="D688" s="3" t="s">
        <v>6257</v>
      </c>
      <c r="E688" s="3">
        <v>687</v>
      </c>
      <c r="F688" s="3" t="s">
        <v>5470</v>
      </c>
      <c r="G688" s="3" t="s">
        <v>20</v>
      </c>
      <c r="H688" s="3" t="str">
        <f t="shared" si="5"/>
        <v>Output SC7 Ext Lateral Jack 2, from Structural Connector Server.</v>
      </c>
    </row>
    <row r="689" spans="1:8" x14ac:dyDescent="0.25">
      <c r="A689" s="3" t="s">
        <v>6983</v>
      </c>
      <c r="B689" s="3" t="s">
        <v>6991</v>
      </c>
      <c r="C689" s="3" t="s">
        <v>6985</v>
      </c>
      <c r="D689" s="3" t="s">
        <v>6257</v>
      </c>
      <c r="E689" s="3">
        <v>688</v>
      </c>
      <c r="F689" s="3" t="s">
        <v>5471</v>
      </c>
      <c r="G689" s="3" t="s">
        <v>20</v>
      </c>
      <c r="H689" s="3" t="str">
        <f t="shared" si="5"/>
        <v>Output SC7 Ret Lateral Jack 2, from Structural Connector Server.</v>
      </c>
    </row>
    <row r="690" spans="1:8" x14ac:dyDescent="0.25">
      <c r="A690" s="3" t="s">
        <v>6983</v>
      </c>
      <c r="B690" s="3" t="s">
        <v>6991</v>
      </c>
      <c r="C690" s="3" t="s">
        <v>6985</v>
      </c>
      <c r="D690" s="3" t="s">
        <v>6257</v>
      </c>
      <c r="E690" s="3">
        <v>689</v>
      </c>
      <c r="F690" s="3" t="s">
        <v>5472</v>
      </c>
      <c r="G690" s="3" t="s">
        <v>20</v>
      </c>
      <c r="H690" s="3" t="str">
        <f t="shared" si="5"/>
        <v>Output SC7 Hyd Motor-M7 Ctrl, from Structural Connector Server.</v>
      </c>
    </row>
    <row r="691" spans="1:8" x14ac:dyDescent="0.25">
      <c r="A691" s="3" t="s">
        <v>6983</v>
      </c>
      <c r="B691" s="3" t="s">
        <v>6991</v>
      </c>
      <c r="C691" s="3" t="s">
        <v>6985</v>
      </c>
      <c r="D691" s="3" t="s">
        <v>6257</v>
      </c>
      <c r="E691" s="3">
        <v>690</v>
      </c>
      <c r="F691" s="3" t="s">
        <v>5473</v>
      </c>
      <c r="G691" s="3" t="s">
        <v>20</v>
      </c>
      <c r="H691" s="3" t="str">
        <f t="shared" si="5"/>
        <v>Output SC7 Hyd Pump Running, from Structural Connector Server.</v>
      </c>
    </row>
    <row r="692" spans="1:8" x14ac:dyDescent="0.25">
      <c r="A692" s="3" t="s">
        <v>6983</v>
      </c>
      <c r="B692" s="3" t="s">
        <v>6991</v>
      </c>
      <c r="C692" s="3" t="s">
        <v>6985</v>
      </c>
      <c r="D692" s="3" t="s">
        <v>6257</v>
      </c>
      <c r="E692" s="3">
        <v>691</v>
      </c>
      <c r="F692" s="3" t="s">
        <v>5474</v>
      </c>
      <c r="G692" s="3" t="s">
        <v>20</v>
      </c>
      <c r="H692" s="3" t="str">
        <f t="shared" si="5"/>
        <v>Output SC7 Load Redund Accum, from Structural Connector Server.</v>
      </c>
    </row>
    <row r="693" spans="1:8" x14ac:dyDescent="0.25">
      <c r="A693" s="3" t="s">
        <v>6983</v>
      </c>
      <c r="B693" s="3" t="s">
        <v>6991</v>
      </c>
      <c r="C693" s="3" t="s">
        <v>6985</v>
      </c>
      <c r="D693" s="3" t="s">
        <v>6257</v>
      </c>
      <c r="E693" s="3">
        <v>692</v>
      </c>
      <c r="F693" s="3" t="s">
        <v>5475</v>
      </c>
      <c r="G693" s="3" t="s">
        <v>20</v>
      </c>
      <c r="H693" s="3" t="str">
        <f t="shared" si="5"/>
        <v>Output SC7 Load Accum, from Structural Connector Server.</v>
      </c>
    </row>
    <row r="694" spans="1:8" x14ac:dyDescent="0.25">
      <c r="A694" s="3" t="s">
        <v>6983</v>
      </c>
      <c r="B694" s="3" t="s">
        <v>6991</v>
      </c>
      <c r="C694" s="3" t="s">
        <v>6985</v>
      </c>
      <c r="D694" s="3" t="s">
        <v>6257</v>
      </c>
      <c r="E694" s="3">
        <v>693</v>
      </c>
      <c r="F694" s="3" t="s">
        <v>5476</v>
      </c>
      <c r="G694" s="3" t="s">
        <v>20</v>
      </c>
      <c r="H694" s="3" t="str">
        <f t="shared" si="5"/>
        <v>Output SC7 PX Switch, from Structural Connector Server.</v>
      </c>
    </row>
    <row r="695" spans="1:8" x14ac:dyDescent="0.25">
      <c r="A695" s="3" t="s">
        <v>6983</v>
      </c>
      <c r="B695" s="3" t="s">
        <v>6991</v>
      </c>
      <c r="C695" s="3" t="s">
        <v>6985</v>
      </c>
      <c r="D695" s="3" t="s">
        <v>6257</v>
      </c>
      <c r="E695" s="3">
        <v>694</v>
      </c>
      <c r="F695" s="3" t="s">
        <v>5477</v>
      </c>
      <c r="G695" s="3" t="s">
        <v>20</v>
      </c>
      <c r="H695" s="3" t="str">
        <f t="shared" si="5"/>
        <v>Output SC7 Ret Pressure Main Jack, from Structural Connector Server.</v>
      </c>
    </row>
    <row r="696" spans="1:8" x14ac:dyDescent="0.25">
      <c r="A696" s="3" t="s">
        <v>6983</v>
      </c>
      <c r="B696" s="3" t="s">
        <v>6991</v>
      </c>
      <c r="C696" s="3" t="s">
        <v>6985</v>
      </c>
      <c r="D696" s="3" t="s">
        <v>6257</v>
      </c>
      <c r="E696" s="3">
        <v>695</v>
      </c>
      <c r="F696" s="3" t="s">
        <v>5478</v>
      </c>
      <c r="G696" s="3" t="s">
        <v>20</v>
      </c>
      <c r="H696" s="3" t="str">
        <f t="shared" si="5"/>
        <v>Output SC7 Ext Pressure Main Jack, from Structural Connector Server.</v>
      </c>
    </row>
    <row r="697" spans="1:8" x14ac:dyDescent="0.25">
      <c r="A697" s="3" t="s">
        <v>6983</v>
      </c>
      <c r="B697" s="3" t="s">
        <v>6991</v>
      </c>
      <c r="C697" s="3" t="s">
        <v>6985</v>
      </c>
      <c r="D697" s="3" t="s">
        <v>6258</v>
      </c>
      <c r="E697" s="3">
        <v>696</v>
      </c>
      <c r="F697" s="3" t="s">
        <v>5479</v>
      </c>
      <c r="G697" s="3" t="s">
        <v>20</v>
      </c>
      <c r="H697" s="3" t="str">
        <f t="shared" si="5"/>
        <v>Output SC8 Unlock Q4, from Structural Connector Server.</v>
      </c>
    </row>
    <row r="698" spans="1:8" x14ac:dyDescent="0.25">
      <c r="A698" s="3" t="s">
        <v>6983</v>
      </c>
      <c r="B698" s="3" t="s">
        <v>6991</v>
      </c>
      <c r="C698" s="3" t="s">
        <v>6985</v>
      </c>
      <c r="D698" s="3" t="s">
        <v>6258</v>
      </c>
      <c r="E698" s="3">
        <v>697</v>
      </c>
      <c r="F698" s="3" t="s">
        <v>5480</v>
      </c>
      <c r="G698" s="3" t="s">
        <v>20</v>
      </c>
      <c r="H698" s="3" t="str">
        <f t="shared" si="5"/>
        <v>Output SC8 Unlock Q6, from Structural Connector Server.</v>
      </c>
    </row>
    <row r="699" spans="1:8" x14ac:dyDescent="0.25">
      <c r="A699" s="3" t="s">
        <v>6983</v>
      </c>
      <c r="B699" s="3" t="s">
        <v>6991</v>
      </c>
      <c r="C699" s="3" t="s">
        <v>6985</v>
      </c>
      <c r="D699" s="3" t="s">
        <v>6258</v>
      </c>
      <c r="E699" s="3">
        <v>698</v>
      </c>
      <c r="F699" s="3" t="s">
        <v>5481</v>
      </c>
      <c r="G699" s="3" t="s">
        <v>20</v>
      </c>
      <c r="H699" s="3" t="str">
        <f t="shared" si="5"/>
        <v>Output SC8 Depress Main Jack, from Structural Connector Server.</v>
      </c>
    </row>
    <row r="700" spans="1:8" x14ac:dyDescent="0.25">
      <c r="A700" s="3" t="s">
        <v>6983</v>
      </c>
      <c r="B700" s="3" t="s">
        <v>6991</v>
      </c>
      <c r="C700" s="3" t="s">
        <v>6985</v>
      </c>
      <c r="D700" s="3" t="s">
        <v>6258</v>
      </c>
      <c r="E700" s="3">
        <v>699</v>
      </c>
      <c r="F700" s="3" t="s">
        <v>5482</v>
      </c>
      <c r="G700" s="3" t="s">
        <v>20</v>
      </c>
      <c r="H700" s="3" t="str">
        <f t="shared" ref="H700:H763" si="6">_xlfn.CONCAT("Output ",F700, ", from Structural Connector Server.")</f>
        <v>Output SC8 Cnxt Main Accum, from Structural Connector Server.</v>
      </c>
    </row>
    <row r="701" spans="1:8" x14ac:dyDescent="0.25">
      <c r="A701" s="3" t="s">
        <v>6983</v>
      </c>
      <c r="B701" s="3" t="s">
        <v>6991</v>
      </c>
      <c r="C701" s="3" t="s">
        <v>6985</v>
      </c>
      <c r="D701" s="3" t="s">
        <v>6258</v>
      </c>
      <c r="E701" s="3">
        <v>700</v>
      </c>
      <c r="F701" s="3" t="s">
        <v>5483</v>
      </c>
      <c r="G701" s="3" t="s">
        <v>20</v>
      </c>
      <c r="H701" s="3" t="str">
        <f t="shared" si="6"/>
        <v>Output SC8 Unlock Cart Q12, from Structural Connector Server.</v>
      </c>
    </row>
    <row r="702" spans="1:8" x14ac:dyDescent="0.25">
      <c r="A702" s="3" t="s">
        <v>6983</v>
      </c>
      <c r="B702" s="3" t="s">
        <v>6991</v>
      </c>
      <c r="C702" s="3" t="s">
        <v>6985</v>
      </c>
      <c r="D702" s="3" t="s">
        <v>6258</v>
      </c>
      <c r="E702" s="3">
        <v>701</v>
      </c>
      <c r="F702" s="3" t="s">
        <v>5484</v>
      </c>
      <c r="G702" s="3" t="s">
        <v>20</v>
      </c>
      <c r="H702" s="3" t="str">
        <f t="shared" si="6"/>
        <v>Output SC8 Unlock Cart Q13, from Structural Connector Server.</v>
      </c>
    </row>
    <row r="703" spans="1:8" x14ac:dyDescent="0.25">
      <c r="A703" s="3" t="s">
        <v>6983</v>
      </c>
      <c r="B703" s="3" t="s">
        <v>6991</v>
      </c>
      <c r="C703" s="3" t="s">
        <v>6985</v>
      </c>
      <c r="D703" s="3" t="s">
        <v>6258</v>
      </c>
      <c r="E703" s="3">
        <v>702</v>
      </c>
      <c r="F703" s="3" t="s">
        <v>5485</v>
      </c>
      <c r="G703" s="3" t="s">
        <v>20</v>
      </c>
      <c r="H703" s="3" t="str">
        <f t="shared" si="6"/>
        <v>Output SC8 Cnxt Accum 1 C3, from Structural Connector Server.</v>
      </c>
    </row>
    <row r="704" spans="1:8" x14ac:dyDescent="0.25">
      <c r="A704" s="3" t="s">
        <v>6983</v>
      </c>
      <c r="B704" s="3" t="s">
        <v>6991</v>
      </c>
      <c r="C704" s="3" t="s">
        <v>6985</v>
      </c>
      <c r="D704" s="3" t="s">
        <v>6258</v>
      </c>
      <c r="E704" s="3">
        <v>703</v>
      </c>
      <c r="F704" s="3" t="s">
        <v>5486</v>
      </c>
      <c r="G704" s="3" t="s">
        <v>20</v>
      </c>
      <c r="H704" s="3" t="str">
        <f t="shared" si="6"/>
        <v>Output SC8 Cnxt Accum 2 C3, from Structural Connector Server.</v>
      </c>
    </row>
    <row r="705" spans="1:8" x14ac:dyDescent="0.25">
      <c r="A705" s="3" t="s">
        <v>6983</v>
      </c>
      <c r="B705" s="3" t="s">
        <v>6991</v>
      </c>
      <c r="C705" s="3" t="s">
        <v>6985</v>
      </c>
      <c r="D705" s="3" t="s">
        <v>6258</v>
      </c>
      <c r="E705" s="3">
        <v>704</v>
      </c>
      <c r="F705" s="3" t="s">
        <v>5487</v>
      </c>
      <c r="G705" s="3" t="s">
        <v>20</v>
      </c>
      <c r="H705" s="3" t="str">
        <f t="shared" si="6"/>
        <v>Output SC8 Motor Rotate CW, from Structural Connector Server.</v>
      </c>
    </row>
    <row r="706" spans="1:8" x14ac:dyDescent="0.25">
      <c r="A706" s="3" t="s">
        <v>6983</v>
      </c>
      <c r="B706" s="3" t="s">
        <v>6991</v>
      </c>
      <c r="C706" s="3" t="s">
        <v>6985</v>
      </c>
      <c r="D706" s="3" t="s">
        <v>6258</v>
      </c>
      <c r="E706" s="3">
        <v>705</v>
      </c>
      <c r="F706" s="3" t="s">
        <v>5488</v>
      </c>
      <c r="G706" s="3" t="s">
        <v>20</v>
      </c>
      <c r="H706" s="3" t="str">
        <f t="shared" si="6"/>
        <v>Output SC8 Motor Rotate CCW, from Structural Connector Server.</v>
      </c>
    </row>
    <row r="707" spans="1:8" x14ac:dyDescent="0.25">
      <c r="A707" s="3" t="s">
        <v>6983</v>
      </c>
      <c r="B707" s="3" t="s">
        <v>6991</v>
      </c>
      <c r="C707" s="3" t="s">
        <v>6985</v>
      </c>
      <c r="D707" s="3" t="s">
        <v>6258</v>
      </c>
      <c r="E707" s="3">
        <v>706</v>
      </c>
      <c r="F707" s="3" t="s">
        <v>5489</v>
      </c>
      <c r="G707" s="3" t="s">
        <v>20</v>
      </c>
      <c r="H707" s="3" t="str">
        <f t="shared" si="6"/>
        <v>Output SC8 Ext Shear Pin Jack 1, from Structural Connector Server.</v>
      </c>
    </row>
    <row r="708" spans="1:8" x14ac:dyDescent="0.25">
      <c r="A708" s="3" t="s">
        <v>6983</v>
      </c>
      <c r="B708" s="3" t="s">
        <v>6991</v>
      </c>
      <c r="C708" s="3" t="s">
        <v>6985</v>
      </c>
      <c r="D708" s="3" t="s">
        <v>6258</v>
      </c>
      <c r="E708" s="3">
        <v>707</v>
      </c>
      <c r="F708" s="3" t="s">
        <v>5490</v>
      </c>
      <c r="G708" s="3" t="s">
        <v>20</v>
      </c>
      <c r="H708" s="3" t="str">
        <f t="shared" si="6"/>
        <v>Output SC8 Ret Shear Pin Jack 1, from Structural Connector Server.</v>
      </c>
    </row>
    <row r="709" spans="1:8" x14ac:dyDescent="0.25">
      <c r="A709" s="3" t="s">
        <v>6983</v>
      </c>
      <c r="B709" s="3" t="s">
        <v>6991</v>
      </c>
      <c r="C709" s="3" t="s">
        <v>6985</v>
      </c>
      <c r="D709" s="3" t="s">
        <v>6258</v>
      </c>
      <c r="E709" s="3">
        <v>708</v>
      </c>
      <c r="F709" s="3" t="s">
        <v>5491</v>
      </c>
      <c r="G709" s="3" t="s">
        <v>20</v>
      </c>
      <c r="H709" s="3" t="str">
        <f t="shared" si="6"/>
        <v>Output SC8 Ext Shear Pin Jack 2, from Structural Connector Server.</v>
      </c>
    </row>
    <row r="710" spans="1:8" x14ac:dyDescent="0.25">
      <c r="A710" s="3" t="s">
        <v>6983</v>
      </c>
      <c r="B710" s="3" t="s">
        <v>6991</v>
      </c>
      <c r="C710" s="3" t="s">
        <v>6985</v>
      </c>
      <c r="D710" s="3" t="s">
        <v>6258</v>
      </c>
      <c r="E710" s="3">
        <v>709</v>
      </c>
      <c r="F710" s="3" t="s">
        <v>5492</v>
      </c>
      <c r="G710" s="3" t="s">
        <v>20</v>
      </c>
      <c r="H710" s="3" t="str">
        <f t="shared" si="6"/>
        <v>Output SC8 Ret Shear Pin Jack 2, from Structural Connector Server.</v>
      </c>
    </row>
    <row r="711" spans="1:8" x14ac:dyDescent="0.25">
      <c r="A711" s="3" t="s">
        <v>6983</v>
      </c>
      <c r="B711" s="3" t="s">
        <v>6991</v>
      </c>
      <c r="C711" s="3" t="s">
        <v>6985</v>
      </c>
      <c r="D711" s="3" t="s">
        <v>6258</v>
      </c>
      <c r="E711" s="3">
        <v>710</v>
      </c>
      <c r="F711" s="3" t="s">
        <v>5493</v>
      </c>
      <c r="G711" s="3" t="s">
        <v>20</v>
      </c>
      <c r="H711" s="3" t="str">
        <f t="shared" si="6"/>
        <v>Output SC8 Ext Lateral Jack 1, from Structural Connector Server.</v>
      </c>
    </row>
    <row r="712" spans="1:8" x14ac:dyDescent="0.25">
      <c r="A712" s="3" t="s">
        <v>6983</v>
      </c>
      <c r="B712" s="3" t="s">
        <v>6991</v>
      </c>
      <c r="C712" s="3" t="s">
        <v>6985</v>
      </c>
      <c r="D712" s="3" t="s">
        <v>6258</v>
      </c>
      <c r="E712" s="3">
        <v>711</v>
      </c>
      <c r="F712" s="3" t="s">
        <v>5494</v>
      </c>
      <c r="G712" s="3" t="s">
        <v>20</v>
      </c>
      <c r="H712" s="3" t="str">
        <f t="shared" si="6"/>
        <v>Output SC8 Ret Lateral Jack 1, from Structural Connector Server.</v>
      </c>
    </row>
    <row r="713" spans="1:8" x14ac:dyDescent="0.25">
      <c r="A713" s="3" t="s">
        <v>6983</v>
      </c>
      <c r="B713" s="3" t="s">
        <v>6991</v>
      </c>
      <c r="C713" s="3" t="s">
        <v>6985</v>
      </c>
      <c r="D713" s="3" t="s">
        <v>6258</v>
      </c>
      <c r="E713" s="3">
        <v>712</v>
      </c>
      <c r="F713" s="3" t="s">
        <v>5495</v>
      </c>
      <c r="G713" s="3" t="s">
        <v>20</v>
      </c>
      <c r="H713" s="3" t="str">
        <f t="shared" si="6"/>
        <v>Output SC8 Ext Lateral Jack 2, from Structural Connector Server.</v>
      </c>
    </row>
    <row r="714" spans="1:8" x14ac:dyDescent="0.25">
      <c r="A714" s="3" t="s">
        <v>6983</v>
      </c>
      <c r="B714" s="3" t="s">
        <v>6991</v>
      </c>
      <c r="C714" s="3" t="s">
        <v>6985</v>
      </c>
      <c r="D714" s="3" t="s">
        <v>6258</v>
      </c>
      <c r="E714" s="3">
        <v>713</v>
      </c>
      <c r="F714" s="3" t="s">
        <v>5496</v>
      </c>
      <c r="G714" s="3" t="s">
        <v>20</v>
      </c>
      <c r="H714" s="3" t="str">
        <f t="shared" si="6"/>
        <v>Output SC8 Ret Lateral Jack 2, from Structural Connector Server.</v>
      </c>
    </row>
    <row r="715" spans="1:8" x14ac:dyDescent="0.25">
      <c r="A715" s="3" t="s">
        <v>6983</v>
      </c>
      <c r="B715" s="3" t="s">
        <v>6991</v>
      </c>
      <c r="C715" s="3" t="s">
        <v>6985</v>
      </c>
      <c r="D715" s="3" t="s">
        <v>6258</v>
      </c>
      <c r="E715" s="3">
        <v>714</v>
      </c>
      <c r="F715" s="3" t="s">
        <v>5497</v>
      </c>
      <c r="G715" s="3" t="s">
        <v>20</v>
      </c>
      <c r="H715" s="3" t="str">
        <f t="shared" si="6"/>
        <v>Output SC8 Hyd Motor-M7 Ctrl, from Structural Connector Server.</v>
      </c>
    </row>
    <row r="716" spans="1:8" x14ac:dyDescent="0.25">
      <c r="A716" s="3" t="s">
        <v>6983</v>
      </c>
      <c r="B716" s="3" t="s">
        <v>6991</v>
      </c>
      <c r="C716" s="3" t="s">
        <v>6985</v>
      </c>
      <c r="D716" s="3" t="s">
        <v>6258</v>
      </c>
      <c r="E716" s="3">
        <v>715</v>
      </c>
      <c r="F716" s="3" t="s">
        <v>5498</v>
      </c>
      <c r="G716" s="3" t="s">
        <v>20</v>
      </c>
      <c r="H716" s="3" t="str">
        <f t="shared" si="6"/>
        <v>Output SC8 Hyd Pump Running, from Structural Connector Server.</v>
      </c>
    </row>
    <row r="717" spans="1:8" x14ac:dyDescent="0.25">
      <c r="A717" s="3" t="s">
        <v>6983</v>
      </c>
      <c r="B717" s="3" t="s">
        <v>6991</v>
      </c>
      <c r="C717" s="3" t="s">
        <v>6985</v>
      </c>
      <c r="D717" s="3" t="s">
        <v>6258</v>
      </c>
      <c r="E717" s="3">
        <v>716</v>
      </c>
      <c r="F717" s="3" t="s">
        <v>5499</v>
      </c>
      <c r="G717" s="3" t="s">
        <v>20</v>
      </c>
      <c r="H717" s="3" t="str">
        <f t="shared" si="6"/>
        <v>Output SC8 Load Redund Accum, from Structural Connector Server.</v>
      </c>
    </row>
    <row r="718" spans="1:8" x14ac:dyDescent="0.25">
      <c r="A718" s="3" t="s">
        <v>6983</v>
      </c>
      <c r="B718" s="3" t="s">
        <v>6991</v>
      </c>
      <c r="C718" s="3" t="s">
        <v>6985</v>
      </c>
      <c r="D718" s="3" t="s">
        <v>6258</v>
      </c>
      <c r="E718" s="3">
        <v>717</v>
      </c>
      <c r="F718" s="3" t="s">
        <v>5500</v>
      </c>
      <c r="G718" s="3" t="s">
        <v>20</v>
      </c>
      <c r="H718" s="3" t="str">
        <f t="shared" si="6"/>
        <v>Output SC8 Load Accum, from Structural Connector Server.</v>
      </c>
    </row>
    <row r="719" spans="1:8" x14ac:dyDescent="0.25">
      <c r="A719" s="3" t="s">
        <v>6983</v>
      </c>
      <c r="B719" s="3" t="s">
        <v>6991</v>
      </c>
      <c r="C719" s="3" t="s">
        <v>6985</v>
      </c>
      <c r="D719" s="3" t="s">
        <v>6258</v>
      </c>
      <c r="E719" s="3">
        <v>718</v>
      </c>
      <c r="F719" s="3" t="s">
        <v>5501</v>
      </c>
      <c r="G719" s="3" t="s">
        <v>20</v>
      </c>
      <c r="H719" s="3" t="str">
        <f t="shared" si="6"/>
        <v>Output SC8 PX Switch, from Structural Connector Server.</v>
      </c>
    </row>
    <row r="720" spans="1:8" x14ac:dyDescent="0.25">
      <c r="A720" s="3" t="s">
        <v>6983</v>
      </c>
      <c r="B720" s="3" t="s">
        <v>6991</v>
      </c>
      <c r="C720" s="3" t="s">
        <v>6985</v>
      </c>
      <c r="D720" s="3" t="s">
        <v>6258</v>
      </c>
      <c r="E720" s="3">
        <v>719</v>
      </c>
      <c r="F720" s="3" t="s">
        <v>5502</v>
      </c>
      <c r="G720" s="3" t="s">
        <v>20</v>
      </c>
      <c r="H720" s="3" t="str">
        <f t="shared" si="6"/>
        <v>Output SC8 Ret Pressure Main Jack, from Structural Connector Server.</v>
      </c>
    </row>
    <row r="721" spans="1:8" x14ac:dyDescent="0.25">
      <c r="A721" s="3" t="s">
        <v>6983</v>
      </c>
      <c r="B721" s="3" t="s">
        <v>6991</v>
      </c>
      <c r="C721" s="3" t="s">
        <v>6985</v>
      </c>
      <c r="D721" s="3" t="s">
        <v>6258</v>
      </c>
      <c r="E721" s="3">
        <v>720</v>
      </c>
      <c r="F721" s="3" t="s">
        <v>5503</v>
      </c>
      <c r="G721" s="3" t="s">
        <v>20</v>
      </c>
      <c r="H721" s="3" t="str">
        <f t="shared" si="6"/>
        <v>Output SC8 Ext Pressure Main Jack, from Structural Connector Server.</v>
      </c>
    </row>
    <row r="722" spans="1:8" x14ac:dyDescent="0.25">
      <c r="A722" s="3" t="s">
        <v>6983</v>
      </c>
      <c r="B722" s="3" t="s">
        <v>6991</v>
      </c>
      <c r="C722" s="3" t="s">
        <v>6985</v>
      </c>
      <c r="D722" s="3" t="s">
        <v>6259</v>
      </c>
      <c r="E722" s="3">
        <v>721</v>
      </c>
      <c r="F722" s="3" t="s">
        <v>5504</v>
      </c>
      <c r="G722" s="3" t="s">
        <v>20</v>
      </c>
      <c r="H722" s="3" t="str">
        <f t="shared" si="6"/>
        <v>Output SC9 Unlock Q4, from Structural Connector Server.</v>
      </c>
    </row>
    <row r="723" spans="1:8" x14ac:dyDescent="0.25">
      <c r="A723" s="3" t="s">
        <v>6983</v>
      </c>
      <c r="B723" s="3" t="s">
        <v>6991</v>
      </c>
      <c r="C723" s="3" t="s">
        <v>6985</v>
      </c>
      <c r="D723" s="3" t="s">
        <v>6259</v>
      </c>
      <c r="E723" s="3">
        <v>722</v>
      </c>
      <c r="F723" s="3" t="s">
        <v>5505</v>
      </c>
      <c r="G723" s="3" t="s">
        <v>20</v>
      </c>
      <c r="H723" s="3" t="str">
        <f t="shared" si="6"/>
        <v>Output SC9 Unlock Q6, from Structural Connector Server.</v>
      </c>
    </row>
    <row r="724" spans="1:8" x14ac:dyDescent="0.25">
      <c r="A724" s="3" t="s">
        <v>6983</v>
      </c>
      <c r="B724" s="3" t="s">
        <v>6991</v>
      </c>
      <c r="C724" s="3" t="s">
        <v>6985</v>
      </c>
      <c r="D724" s="3" t="s">
        <v>6259</v>
      </c>
      <c r="E724" s="3">
        <v>723</v>
      </c>
      <c r="F724" s="3" t="s">
        <v>5506</v>
      </c>
      <c r="G724" s="3" t="s">
        <v>20</v>
      </c>
      <c r="H724" s="3" t="str">
        <f t="shared" si="6"/>
        <v>Output SC9 Depress Main Jack, from Structural Connector Server.</v>
      </c>
    </row>
    <row r="725" spans="1:8" x14ac:dyDescent="0.25">
      <c r="A725" s="3" t="s">
        <v>6983</v>
      </c>
      <c r="B725" s="3" t="s">
        <v>6991</v>
      </c>
      <c r="C725" s="3" t="s">
        <v>6985</v>
      </c>
      <c r="D725" s="3" t="s">
        <v>6259</v>
      </c>
      <c r="E725" s="3">
        <v>724</v>
      </c>
      <c r="F725" s="3" t="s">
        <v>5507</v>
      </c>
      <c r="G725" s="3" t="s">
        <v>20</v>
      </c>
      <c r="H725" s="3" t="str">
        <f t="shared" si="6"/>
        <v>Output SC9 Cnxt Main Accum, from Structural Connector Server.</v>
      </c>
    </row>
    <row r="726" spans="1:8" x14ac:dyDescent="0.25">
      <c r="A726" s="3" t="s">
        <v>6983</v>
      </c>
      <c r="B726" s="3" t="s">
        <v>6991</v>
      </c>
      <c r="C726" s="3" t="s">
        <v>6985</v>
      </c>
      <c r="D726" s="3" t="s">
        <v>6259</v>
      </c>
      <c r="E726" s="3">
        <v>725</v>
      </c>
      <c r="F726" s="3" t="s">
        <v>5508</v>
      </c>
      <c r="G726" s="3" t="s">
        <v>20</v>
      </c>
      <c r="H726" s="3" t="str">
        <f t="shared" si="6"/>
        <v>Output SC9 Unlock Cart Q12, from Structural Connector Server.</v>
      </c>
    </row>
    <row r="727" spans="1:8" x14ac:dyDescent="0.25">
      <c r="A727" s="3" t="s">
        <v>6983</v>
      </c>
      <c r="B727" s="3" t="s">
        <v>6991</v>
      </c>
      <c r="C727" s="3" t="s">
        <v>6985</v>
      </c>
      <c r="D727" s="3" t="s">
        <v>6259</v>
      </c>
      <c r="E727" s="3">
        <v>726</v>
      </c>
      <c r="F727" s="3" t="s">
        <v>5509</v>
      </c>
      <c r="G727" s="3" t="s">
        <v>20</v>
      </c>
      <c r="H727" s="3" t="str">
        <f t="shared" si="6"/>
        <v>Output SC9 Unlock Cart Q13, from Structural Connector Server.</v>
      </c>
    </row>
    <row r="728" spans="1:8" x14ac:dyDescent="0.25">
      <c r="A728" s="3" t="s">
        <v>6983</v>
      </c>
      <c r="B728" s="3" t="s">
        <v>6991</v>
      </c>
      <c r="C728" s="3" t="s">
        <v>6985</v>
      </c>
      <c r="D728" s="3" t="s">
        <v>6259</v>
      </c>
      <c r="E728" s="3">
        <v>727</v>
      </c>
      <c r="F728" s="3" t="s">
        <v>5510</v>
      </c>
      <c r="G728" s="3" t="s">
        <v>20</v>
      </c>
      <c r="H728" s="3" t="str">
        <f t="shared" si="6"/>
        <v>Output SC9 Cnxt Accum 1 C3, from Structural Connector Server.</v>
      </c>
    </row>
    <row r="729" spans="1:8" x14ac:dyDescent="0.25">
      <c r="A729" s="3" t="s">
        <v>6983</v>
      </c>
      <c r="B729" s="3" t="s">
        <v>6991</v>
      </c>
      <c r="C729" s="3" t="s">
        <v>6985</v>
      </c>
      <c r="D729" s="3" t="s">
        <v>6259</v>
      </c>
      <c r="E729" s="3">
        <v>728</v>
      </c>
      <c r="F729" s="3" t="s">
        <v>5511</v>
      </c>
      <c r="G729" s="3" t="s">
        <v>20</v>
      </c>
      <c r="H729" s="3" t="str">
        <f t="shared" si="6"/>
        <v>Output SC9 Cnxt Accum 2 C3, from Structural Connector Server.</v>
      </c>
    </row>
    <row r="730" spans="1:8" x14ac:dyDescent="0.25">
      <c r="A730" s="3" t="s">
        <v>6983</v>
      </c>
      <c r="B730" s="3" t="s">
        <v>6991</v>
      </c>
      <c r="C730" s="3" t="s">
        <v>6985</v>
      </c>
      <c r="D730" s="3" t="s">
        <v>6259</v>
      </c>
      <c r="E730" s="3">
        <v>729</v>
      </c>
      <c r="F730" s="3" t="s">
        <v>5512</v>
      </c>
      <c r="G730" s="3" t="s">
        <v>20</v>
      </c>
      <c r="H730" s="3" t="str">
        <f t="shared" si="6"/>
        <v>Output SC9 Motor Rotate CW, from Structural Connector Server.</v>
      </c>
    </row>
    <row r="731" spans="1:8" x14ac:dyDescent="0.25">
      <c r="A731" s="3" t="s">
        <v>6983</v>
      </c>
      <c r="B731" s="3" t="s">
        <v>6991</v>
      </c>
      <c r="C731" s="3" t="s">
        <v>6985</v>
      </c>
      <c r="D731" s="3" t="s">
        <v>6259</v>
      </c>
      <c r="E731" s="3">
        <v>730</v>
      </c>
      <c r="F731" s="3" t="s">
        <v>5513</v>
      </c>
      <c r="G731" s="3" t="s">
        <v>20</v>
      </c>
      <c r="H731" s="3" t="str">
        <f t="shared" si="6"/>
        <v>Output SC9 Motor Rotate CCW, from Structural Connector Server.</v>
      </c>
    </row>
    <row r="732" spans="1:8" x14ac:dyDescent="0.25">
      <c r="A732" s="3" t="s">
        <v>6983</v>
      </c>
      <c r="B732" s="3" t="s">
        <v>6991</v>
      </c>
      <c r="C732" s="3" t="s">
        <v>6985</v>
      </c>
      <c r="D732" s="3" t="s">
        <v>6259</v>
      </c>
      <c r="E732" s="3">
        <v>731</v>
      </c>
      <c r="F732" s="3" t="s">
        <v>5514</v>
      </c>
      <c r="G732" s="3" t="s">
        <v>20</v>
      </c>
      <c r="H732" s="3" t="str">
        <f t="shared" si="6"/>
        <v>Output SC9 Ext Shear Pin Jack 1, from Structural Connector Server.</v>
      </c>
    </row>
    <row r="733" spans="1:8" x14ac:dyDescent="0.25">
      <c r="A733" s="3" t="s">
        <v>6983</v>
      </c>
      <c r="B733" s="3" t="s">
        <v>6991</v>
      </c>
      <c r="C733" s="3" t="s">
        <v>6985</v>
      </c>
      <c r="D733" s="3" t="s">
        <v>6259</v>
      </c>
      <c r="E733" s="3">
        <v>732</v>
      </c>
      <c r="F733" s="3" t="s">
        <v>5515</v>
      </c>
      <c r="G733" s="3" t="s">
        <v>20</v>
      </c>
      <c r="H733" s="3" t="str">
        <f t="shared" si="6"/>
        <v>Output SC9 Ret Shear Pin Jack 1, from Structural Connector Server.</v>
      </c>
    </row>
    <row r="734" spans="1:8" x14ac:dyDescent="0.25">
      <c r="A734" s="3" t="s">
        <v>6983</v>
      </c>
      <c r="B734" s="3" t="s">
        <v>6991</v>
      </c>
      <c r="C734" s="3" t="s">
        <v>6985</v>
      </c>
      <c r="D734" s="3" t="s">
        <v>6259</v>
      </c>
      <c r="E734" s="3">
        <v>733</v>
      </c>
      <c r="F734" s="3" t="s">
        <v>5516</v>
      </c>
      <c r="G734" s="3" t="s">
        <v>20</v>
      </c>
      <c r="H734" s="3" t="str">
        <f t="shared" si="6"/>
        <v>Output SC9 Ext Shear Pin Jack 2, from Structural Connector Server.</v>
      </c>
    </row>
    <row r="735" spans="1:8" x14ac:dyDescent="0.25">
      <c r="A735" s="3" t="s">
        <v>6983</v>
      </c>
      <c r="B735" s="3" t="s">
        <v>6991</v>
      </c>
      <c r="C735" s="3" t="s">
        <v>6985</v>
      </c>
      <c r="D735" s="3" t="s">
        <v>6259</v>
      </c>
      <c r="E735" s="3">
        <v>734</v>
      </c>
      <c r="F735" s="3" t="s">
        <v>5517</v>
      </c>
      <c r="G735" s="3" t="s">
        <v>20</v>
      </c>
      <c r="H735" s="3" t="str">
        <f t="shared" si="6"/>
        <v>Output SC9 Ret Shear Pin Jack 2, from Structural Connector Server.</v>
      </c>
    </row>
    <row r="736" spans="1:8" x14ac:dyDescent="0.25">
      <c r="A736" s="3" t="s">
        <v>6983</v>
      </c>
      <c r="B736" s="3" t="s">
        <v>6991</v>
      </c>
      <c r="C736" s="3" t="s">
        <v>6985</v>
      </c>
      <c r="D736" s="3" t="s">
        <v>6259</v>
      </c>
      <c r="E736" s="3">
        <v>735</v>
      </c>
      <c r="F736" s="3" t="s">
        <v>5518</v>
      </c>
      <c r="G736" s="3" t="s">
        <v>20</v>
      </c>
      <c r="H736" s="3" t="str">
        <f t="shared" si="6"/>
        <v>Output SC9 Ext Lateral Jack 1, from Structural Connector Server.</v>
      </c>
    </row>
    <row r="737" spans="1:8" x14ac:dyDescent="0.25">
      <c r="A737" s="3" t="s">
        <v>6983</v>
      </c>
      <c r="B737" s="3" t="s">
        <v>6991</v>
      </c>
      <c r="C737" s="3" t="s">
        <v>6985</v>
      </c>
      <c r="D737" s="3" t="s">
        <v>6259</v>
      </c>
      <c r="E737" s="3">
        <v>736</v>
      </c>
      <c r="F737" s="3" t="s">
        <v>5519</v>
      </c>
      <c r="G737" s="3" t="s">
        <v>20</v>
      </c>
      <c r="H737" s="3" t="str">
        <f t="shared" si="6"/>
        <v>Output SC9 Ret Lateral Jack 1, from Structural Connector Server.</v>
      </c>
    </row>
    <row r="738" spans="1:8" x14ac:dyDescent="0.25">
      <c r="A738" s="3" t="s">
        <v>6983</v>
      </c>
      <c r="B738" s="3" t="s">
        <v>6991</v>
      </c>
      <c r="C738" s="3" t="s">
        <v>6985</v>
      </c>
      <c r="D738" s="3" t="s">
        <v>6259</v>
      </c>
      <c r="E738" s="3">
        <v>737</v>
      </c>
      <c r="F738" s="3" t="s">
        <v>5520</v>
      </c>
      <c r="G738" s="3" t="s">
        <v>20</v>
      </c>
      <c r="H738" s="3" t="str">
        <f t="shared" si="6"/>
        <v>Output SC9 Ext Lateral Jack 2, from Structural Connector Server.</v>
      </c>
    </row>
    <row r="739" spans="1:8" x14ac:dyDescent="0.25">
      <c r="A739" s="3" t="s">
        <v>6983</v>
      </c>
      <c r="B739" s="3" t="s">
        <v>6991</v>
      </c>
      <c r="C739" s="3" t="s">
        <v>6985</v>
      </c>
      <c r="D739" s="3" t="s">
        <v>6259</v>
      </c>
      <c r="E739" s="3">
        <v>738</v>
      </c>
      <c r="F739" s="3" t="s">
        <v>5521</v>
      </c>
      <c r="G739" s="3" t="s">
        <v>20</v>
      </c>
      <c r="H739" s="3" t="str">
        <f t="shared" si="6"/>
        <v>Output SC9 Ret Lateral Jack 2, from Structural Connector Server.</v>
      </c>
    </row>
    <row r="740" spans="1:8" x14ac:dyDescent="0.25">
      <c r="A740" s="3" t="s">
        <v>6983</v>
      </c>
      <c r="B740" s="3" t="s">
        <v>6991</v>
      </c>
      <c r="C740" s="3" t="s">
        <v>6985</v>
      </c>
      <c r="D740" s="3" t="s">
        <v>6259</v>
      </c>
      <c r="E740" s="3">
        <v>739</v>
      </c>
      <c r="F740" s="3" t="s">
        <v>5522</v>
      </c>
      <c r="G740" s="3" t="s">
        <v>20</v>
      </c>
      <c r="H740" s="3" t="str">
        <f t="shared" si="6"/>
        <v>Output SC9 Hyd Motor-M7 Ctrl, from Structural Connector Server.</v>
      </c>
    </row>
    <row r="741" spans="1:8" x14ac:dyDescent="0.25">
      <c r="A741" s="3" t="s">
        <v>6983</v>
      </c>
      <c r="B741" s="3" t="s">
        <v>6991</v>
      </c>
      <c r="C741" s="3" t="s">
        <v>6985</v>
      </c>
      <c r="D741" s="3" t="s">
        <v>6259</v>
      </c>
      <c r="E741" s="3">
        <v>740</v>
      </c>
      <c r="F741" s="3" t="s">
        <v>5523</v>
      </c>
      <c r="G741" s="3" t="s">
        <v>20</v>
      </c>
      <c r="H741" s="3" t="str">
        <f t="shared" si="6"/>
        <v>Output SC9 Hyd Pump Running, from Structural Connector Server.</v>
      </c>
    </row>
    <row r="742" spans="1:8" x14ac:dyDescent="0.25">
      <c r="A742" s="3" t="s">
        <v>6983</v>
      </c>
      <c r="B742" s="3" t="s">
        <v>6991</v>
      </c>
      <c r="C742" s="3" t="s">
        <v>6985</v>
      </c>
      <c r="D742" s="3" t="s">
        <v>6259</v>
      </c>
      <c r="E742" s="3">
        <v>741</v>
      </c>
      <c r="F742" s="3" t="s">
        <v>5524</v>
      </c>
      <c r="G742" s="3" t="s">
        <v>20</v>
      </c>
      <c r="H742" s="3" t="str">
        <f t="shared" si="6"/>
        <v>Output SC9 Load Redund Accum, from Structural Connector Server.</v>
      </c>
    </row>
    <row r="743" spans="1:8" x14ac:dyDescent="0.25">
      <c r="A743" s="3" t="s">
        <v>6983</v>
      </c>
      <c r="B743" s="3" t="s">
        <v>6991</v>
      </c>
      <c r="C743" s="3" t="s">
        <v>6985</v>
      </c>
      <c r="D743" s="3" t="s">
        <v>6259</v>
      </c>
      <c r="E743" s="3">
        <v>742</v>
      </c>
      <c r="F743" s="3" t="s">
        <v>5525</v>
      </c>
      <c r="G743" s="3" t="s">
        <v>20</v>
      </c>
      <c r="H743" s="3" t="str">
        <f t="shared" si="6"/>
        <v>Output SC9 Load Accum, from Structural Connector Server.</v>
      </c>
    </row>
    <row r="744" spans="1:8" x14ac:dyDescent="0.25">
      <c r="A744" s="3" t="s">
        <v>6983</v>
      </c>
      <c r="B744" s="3" t="s">
        <v>6991</v>
      </c>
      <c r="C744" s="3" t="s">
        <v>6985</v>
      </c>
      <c r="D744" s="3" t="s">
        <v>6259</v>
      </c>
      <c r="E744" s="3">
        <v>743</v>
      </c>
      <c r="F744" s="3" t="s">
        <v>5526</v>
      </c>
      <c r="G744" s="3" t="s">
        <v>20</v>
      </c>
      <c r="H744" s="3" t="str">
        <f t="shared" si="6"/>
        <v>Output SC9 PX Switch, from Structural Connector Server.</v>
      </c>
    </row>
    <row r="745" spans="1:8" x14ac:dyDescent="0.25">
      <c r="A745" s="3" t="s">
        <v>6983</v>
      </c>
      <c r="B745" s="3" t="s">
        <v>6991</v>
      </c>
      <c r="C745" s="3" t="s">
        <v>6985</v>
      </c>
      <c r="D745" s="3" t="s">
        <v>6259</v>
      </c>
      <c r="E745" s="3">
        <v>744</v>
      </c>
      <c r="F745" s="3" t="s">
        <v>5527</v>
      </c>
      <c r="G745" s="3" t="s">
        <v>20</v>
      </c>
      <c r="H745" s="3" t="str">
        <f t="shared" si="6"/>
        <v>Output SC9 Ret Pressure Main Jack, from Structural Connector Server.</v>
      </c>
    </row>
    <row r="746" spans="1:8" x14ac:dyDescent="0.25">
      <c r="A746" s="3" t="s">
        <v>6983</v>
      </c>
      <c r="B746" s="3" t="s">
        <v>6991</v>
      </c>
      <c r="C746" s="3" t="s">
        <v>6985</v>
      </c>
      <c r="D746" s="3" t="s">
        <v>6259</v>
      </c>
      <c r="E746" s="3">
        <v>745</v>
      </c>
      <c r="F746" s="3" t="s">
        <v>5528</v>
      </c>
      <c r="G746" s="3" t="s">
        <v>20</v>
      </c>
      <c r="H746" s="3" t="str">
        <f t="shared" si="6"/>
        <v>Output SC9 Ext Pressure Main Jack, from Structural Connector Server.</v>
      </c>
    </row>
    <row r="747" spans="1:8" x14ac:dyDescent="0.25">
      <c r="A747" s="3" t="s">
        <v>6983</v>
      </c>
      <c r="B747" s="3" t="s">
        <v>6991</v>
      </c>
      <c r="C747" s="3" t="s">
        <v>6985</v>
      </c>
      <c r="D747" s="3" t="s">
        <v>6260</v>
      </c>
      <c r="E747" s="3">
        <v>746</v>
      </c>
      <c r="F747" s="3" t="s">
        <v>5529</v>
      </c>
      <c r="G747" s="3" t="s">
        <v>20</v>
      </c>
      <c r="H747" s="3" t="str">
        <f t="shared" si="6"/>
        <v>Output SC10 Shutdwn Cmd, from Structural Connector Server.</v>
      </c>
    </row>
    <row r="748" spans="1:8" x14ac:dyDescent="0.25">
      <c r="A748" s="3" t="s">
        <v>6983</v>
      </c>
      <c r="B748" s="3" t="s">
        <v>6991</v>
      </c>
      <c r="C748" s="3" t="s">
        <v>6985</v>
      </c>
      <c r="D748" s="3" t="s">
        <v>6261</v>
      </c>
      <c r="E748" s="3">
        <v>747</v>
      </c>
      <c r="F748" s="3" t="s">
        <v>5530</v>
      </c>
      <c r="G748" s="3" t="s">
        <v>5994</v>
      </c>
      <c r="H748" s="3" t="str">
        <f t="shared" si="6"/>
        <v>Output SC1 Left Load Pin, from Structural Connector Server.</v>
      </c>
    </row>
    <row r="749" spans="1:8" x14ac:dyDescent="0.25">
      <c r="A749" s="3" t="s">
        <v>6983</v>
      </c>
      <c r="B749" s="3" t="s">
        <v>6991</v>
      </c>
      <c r="C749" s="3" t="s">
        <v>6985</v>
      </c>
      <c r="D749" s="3" t="s">
        <v>6261</v>
      </c>
      <c r="E749" s="3">
        <v>748</v>
      </c>
      <c r="F749" s="3" t="s">
        <v>5531</v>
      </c>
      <c r="G749" s="3" t="s">
        <v>5994</v>
      </c>
      <c r="H749" s="3" t="str">
        <f t="shared" si="6"/>
        <v>Output SC1 Right Load Pin, from Structural Connector Server.</v>
      </c>
    </row>
    <row r="750" spans="1:8" x14ac:dyDescent="0.25">
      <c r="A750" s="3" t="s">
        <v>6983</v>
      </c>
      <c r="B750" s="3" t="s">
        <v>6991</v>
      </c>
      <c r="C750" s="3" t="s">
        <v>6985</v>
      </c>
      <c r="D750" s="3" t="s">
        <v>6261</v>
      </c>
      <c r="E750" s="3">
        <v>749</v>
      </c>
      <c r="F750" s="3" t="s">
        <v>5532</v>
      </c>
      <c r="G750" s="3" t="s">
        <v>5994</v>
      </c>
      <c r="H750" s="3" t="str">
        <f t="shared" si="6"/>
        <v>Output SC2 Left Load Pin, from Structural Connector Server.</v>
      </c>
    </row>
    <row r="751" spans="1:8" x14ac:dyDescent="0.25">
      <c r="A751" s="3" t="s">
        <v>6983</v>
      </c>
      <c r="B751" s="3" t="s">
        <v>6991</v>
      </c>
      <c r="C751" s="3" t="s">
        <v>6985</v>
      </c>
      <c r="D751" s="3" t="s">
        <v>6261</v>
      </c>
      <c r="E751" s="3">
        <v>750</v>
      </c>
      <c r="F751" s="3" t="s">
        <v>5533</v>
      </c>
      <c r="G751" s="3" t="s">
        <v>5994</v>
      </c>
      <c r="H751" s="3" t="str">
        <f t="shared" si="6"/>
        <v>Output SC2 Right Load Pin, from Structural Connector Server.</v>
      </c>
    </row>
    <row r="752" spans="1:8" x14ac:dyDescent="0.25">
      <c r="A752" s="3" t="s">
        <v>6983</v>
      </c>
      <c r="B752" s="3" t="s">
        <v>6991</v>
      </c>
      <c r="C752" s="3" t="s">
        <v>6985</v>
      </c>
      <c r="D752" s="3" t="s">
        <v>6261</v>
      </c>
      <c r="E752" s="3">
        <v>751</v>
      </c>
      <c r="F752" s="3" t="s">
        <v>5534</v>
      </c>
      <c r="G752" s="3" t="s">
        <v>5994</v>
      </c>
      <c r="H752" s="3" t="str">
        <f t="shared" si="6"/>
        <v>Output SC3 Left Load Pin, from Structural Connector Server.</v>
      </c>
    </row>
    <row r="753" spans="1:8" x14ac:dyDescent="0.25">
      <c r="A753" s="3" t="s">
        <v>6983</v>
      </c>
      <c r="B753" s="3" t="s">
        <v>6991</v>
      </c>
      <c r="C753" s="3" t="s">
        <v>6985</v>
      </c>
      <c r="D753" s="3" t="s">
        <v>6261</v>
      </c>
      <c r="E753" s="3">
        <v>752</v>
      </c>
      <c r="F753" s="3" t="s">
        <v>5535</v>
      </c>
      <c r="G753" s="3" t="s">
        <v>5994</v>
      </c>
      <c r="H753" s="3" t="str">
        <f t="shared" si="6"/>
        <v>Output SC3 Right Load Pin, from Structural Connector Server.</v>
      </c>
    </row>
    <row r="754" spans="1:8" x14ac:dyDescent="0.25">
      <c r="A754" s="3" t="s">
        <v>6983</v>
      </c>
      <c r="B754" s="3" t="s">
        <v>6991</v>
      </c>
      <c r="C754" s="3" t="s">
        <v>6985</v>
      </c>
      <c r="D754" s="3" t="s">
        <v>6261</v>
      </c>
      <c r="E754" s="3">
        <v>753</v>
      </c>
      <c r="F754" s="3" t="s">
        <v>5536</v>
      </c>
      <c r="G754" s="3" t="s">
        <v>5994</v>
      </c>
      <c r="H754" s="3" t="str">
        <f t="shared" si="6"/>
        <v>Output SC4 Left Load Pin, from Structural Connector Server.</v>
      </c>
    </row>
    <row r="755" spans="1:8" x14ac:dyDescent="0.25">
      <c r="A755" s="3" t="s">
        <v>6983</v>
      </c>
      <c r="B755" s="3" t="s">
        <v>6991</v>
      </c>
      <c r="C755" s="3" t="s">
        <v>6985</v>
      </c>
      <c r="D755" s="3" t="s">
        <v>6261</v>
      </c>
      <c r="E755" s="3">
        <v>754</v>
      </c>
      <c r="F755" s="3" t="s">
        <v>5537</v>
      </c>
      <c r="G755" s="3" t="s">
        <v>5994</v>
      </c>
      <c r="H755" s="3" t="str">
        <f t="shared" si="6"/>
        <v>Output SC4 Right Load Pin, from Structural Connector Server.</v>
      </c>
    </row>
    <row r="756" spans="1:8" x14ac:dyDescent="0.25">
      <c r="A756" s="3" t="s">
        <v>6983</v>
      </c>
      <c r="B756" s="3" t="s">
        <v>6991</v>
      </c>
      <c r="C756" s="3" t="s">
        <v>6985</v>
      </c>
      <c r="D756" s="3" t="s">
        <v>6261</v>
      </c>
      <c r="E756" s="3">
        <v>755</v>
      </c>
      <c r="F756" s="3" t="s">
        <v>5538</v>
      </c>
      <c r="G756" s="3" t="s">
        <v>5994</v>
      </c>
      <c r="H756" s="3" t="str">
        <f t="shared" si="6"/>
        <v>Output SC5 Left Load Pin, from Structural Connector Server.</v>
      </c>
    </row>
    <row r="757" spans="1:8" x14ac:dyDescent="0.25">
      <c r="A757" s="3" t="s">
        <v>6983</v>
      </c>
      <c r="B757" s="3" t="s">
        <v>6991</v>
      </c>
      <c r="C757" s="3" t="s">
        <v>6985</v>
      </c>
      <c r="D757" s="3" t="s">
        <v>6261</v>
      </c>
      <c r="E757" s="3">
        <v>756</v>
      </c>
      <c r="F757" s="3" t="s">
        <v>5539</v>
      </c>
      <c r="G757" s="3" t="s">
        <v>5994</v>
      </c>
      <c r="H757" s="3" t="str">
        <f t="shared" si="6"/>
        <v>Output SC5 Right Load Pin, from Structural Connector Server.</v>
      </c>
    </row>
    <row r="758" spans="1:8" x14ac:dyDescent="0.25">
      <c r="A758" s="3" t="s">
        <v>6983</v>
      </c>
      <c r="B758" s="3" t="s">
        <v>6991</v>
      </c>
      <c r="C758" s="3" t="s">
        <v>6985</v>
      </c>
      <c r="D758" s="3" t="s">
        <v>6261</v>
      </c>
      <c r="E758" s="3">
        <v>757</v>
      </c>
      <c r="F758" s="3" t="s">
        <v>5540</v>
      </c>
      <c r="G758" s="3" t="s">
        <v>5994</v>
      </c>
      <c r="H758" s="3" t="str">
        <f t="shared" si="6"/>
        <v>Output SC6 Left Load Pin, from Structural Connector Server.</v>
      </c>
    </row>
    <row r="759" spans="1:8" x14ac:dyDescent="0.25">
      <c r="A759" s="3" t="s">
        <v>6983</v>
      </c>
      <c r="B759" s="3" t="s">
        <v>6991</v>
      </c>
      <c r="C759" s="3" t="s">
        <v>6985</v>
      </c>
      <c r="D759" s="3" t="s">
        <v>6261</v>
      </c>
      <c r="E759" s="3">
        <v>758</v>
      </c>
      <c r="F759" s="3" t="s">
        <v>5541</v>
      </c>
      <c r="G759" s="3" t="s">
        <v>5994</v>
      </c>
      <c r="H759" s="3" t="str">
        <f t="shared" si="6"/>
        <v>Output SC6 Right Load Pin, from Structural Connector Server.</v>
      </c>
    </row>
    <row r="760" spans="1:8" x14ac:dyDescent="0.25">
      <c r="A760" s="3" t="s">
        <v>6983</v>
      </c>
      <c r="B760" s="3" t="s">
        <v>6991</v>
      </c>
      <c r="C760" s="3" t="s">
        <v>6985</v>
      </c>
      <c r="D760" s="3" t="s">
        <v>6261</v>
      </c>
      <c r="E760" s="3">
        <v>759</v>
      </c>
      <c r="F760" s="3" t="s">
        <v>5542</v>
      </c>
      <c r="G760" s="3" t="s">
        <v>5994</v>
      </c>
      <c r="H760" s="3" t="str">
        <f t="shared" si="6"/>
        <v>Output SC7 Left Load Pin, from Structural Connector Server.</v>
      </c>
    </row>
    <row r="761" spans="1:8" x14ac:dyDescent="0.25">
      <c r="A761" s="3" t="s">
        <v>6983</v>
      </c>
      <c r="B761" s="3" t="s">
        <v>6991</v>
      </c>
      <c r="C761" s="3" t="s">
        <v>6985</v>
      </c>
      <c r="D761" s="3" t="s">
        <v>6261</v>
      </c>
      <c r="E761" s="3">
        <v>760</v>
      </c>
      <c r="F761" s="3" t="s">
        <v>5543</v>
      </c>
      <c r="G761" s="3" t="s">
        <v>5994</v>
      </c>
      <c r="H761" s="3" t="str">
        <f t="shared" si="6"/>
        <v>Output SC7 Right Load Pin, from Structural Connector Server.</v>
      </c>
    </row>
    <row r="762" spans="1:8" x14ac:dyDescent="0.25">
      <c r="A762" s="3" t="s">
        <v>6983</v>
      </c>
      <c r="B762" s="3" t="s">
        <v>6991</v>
      </c>
      <c r="C762" s="3" t="s">
        <v>6985</v>
      </c>
      <c r="D762" s="3" t="s">
        <v>6261</v>
      </c>
      <c r="E762" s="3">
        <v>761</v>
      </c>
      <c r="F762" s="3" t="s">
        <v>5544</v>
      </c>
      <c r="G762" s="3" t="s">
        <v>5994</v>
      </c>
      <c r="H762" s="3" t="str">
        <f t="shared" si="6"/>
        <v>Output SC8 Left Load Pin, from Structural Connector Server.</v>
      </c>
    </row>
    <row r="763" spans="1:8" x14ac:dyDescent="0.25">
      <c r="A763" s="3" t="s">
        <v>6983</v>
      </c>
      <c r="B763" s="3" t="s">
        <v>6991</v>
      </c>
      <c r="C763" s="3" t="s">
        <v>6985</v>
      </c>
      <c r="D763" s="3" t="s">
        <v>6261</v>
      </c>
      <c r="E763" s="3">
        <v>762</v>
      </c>
      <c r="F763" s="3" t="s">
        <v>5545</v>
      </c>
      <c r="G763" s="3" t="s">
        <v>5994</v>
      </c>
      <c r="H763" s="3" t="str">
        <f t="shared" si="6"/>
        <v>Output SC8 Right Load Pin, from Structural Connector Server.</v>
      </c>
    </row>
    <row r="764" spans="1:8" x14ac:dyDescent="0.25">
      <c r="A764" s="3" t="s">
        <v>6983</v>
      </c>
      <c r="B764" s="3" t="s">
        <v>6991</v>
      </c>
      <c r="C764" s="3" t="s">
        <v>6985</v>
      </c>
      <c r="D764" s="3" t="s">
        <v>6261</v>
      </c>
      <c r="E764" s="3">
        <v>763</v>
      </c>
      <c r="F764" s="3" t="s">
        <v>5546</v>
      </c>
      <c r="G764" s="3" t="s">
        <v>5994</v>
      </c>
      <c r="H764" s="3" t="str">
        <f t="shared" ref="H764:H827" si="7">_xlfn.CONCAT("Output ",F764, ", from Structural Connector Server.")</f>
        <v>Output SC9 Left Load Pin, from Structural Connector Server.</v>
      </c>
    </row>
    <row r="765" spans="1:8" x14ac:dyDescent="0.25">
      <c r="A765" s="3" t="s">
        <v>6983</v>
      </c>
      <c r="B765" s="3" t="s">
        <v>6991</v>
      </c>
      <c r="C765" s="3" t="s">
        <v>6985</v>
      </c>
      <c r="D765" s="3" t="s">
        <v>6261</v>
      </c>
      <c r="E765" s="3">
        <v>764</v>
      </c>
      <c r="F765" s="3" t="s">
        <v>5547</v>
      </c>
      <c r="G765" s="3" t="s">
        <v>5994</v>
      </c>
      <c r="H765" s="3" t="str">
        <f t="shared" si="7"/>
        <v>Output SC9 Right Load Pin, from Structural Connector Server.</v>
      </c>
    </row>
    <row r="766" spans="1:8" x14ac:dyDescent="0.25">
      <c r="A766" s="3" t="s">
        <v>6983</v>
      </c>
      <c r="B766" s="3" t="s">
        <v>6991</v>
      </c>
      <c r="C766" s="3" t="s">
        <v>6985</v>
      </c>
      <c r="D766" s="3" t="s">
        <v>6262</v>
      </c>
      <c r="E766" s="3">
        <v>765</v>
      </c>
      <c r="F766" s="3" t="s">
        <v>5548</v>
      </c>
      <c r="G766" s="3" t="s">
        <v>20</v>
      </c>
      <c r="H766" s="3" t="str">
        <f t="shared" si="7"/>
        <v>Output SC10 Sys Common Alrm, from Structural Connector Server.</v>
      </c>
    </row>
    <row r="767" spans="1:8" x14ac:dyDescent="0.25">
      <c r="A767" s="3" t="s">
        <v>6983</v>
      </c>
      <c r="B767" s="3" t="s">
        <v>6991</v>
      </c>
      <c r="C767" s="3" t="s">
        <v>6985</v>
      </c>
      <c r="D767" s="3" t="s">
        <v>6262</v>
      </c>
      <c r="E767" s="3">
        <v>766</v>
      </c>
      <c r="F767" s="3" t="s">
        <v>5549</v>
      </c>
      <c r="G767" s="3" t="s">
        <v>20</v>
      </c>
      <c r="H767" s="3" t="str">
        <f t="shared" si="7"/>
        <v>Output SC Ctr HPU Flty Status, from Structural Connector Server.</v>
      </c>
    </row>
    <row r="768" spans="1:8" x14ac:dyDescent="0.25">
      <c r="A768" s="3" t="s">
        <v>6983</v>
      </c>
      <c r="B768" s="3" t="s">
        <v>6991</v>
      </c>
      <c r="C768" s="3" t="s">
        <v>6985</v>
      </c>
      <c r="D768" s="3" t="s">
        <v>6262</v>
      </c>
      <c r="E768" s="3">
        <v>767</v>
      </c>
      <c r="F768" s="3" t="s">
        <v>5550</v>
      </c>
      <c r="G768" s="3" t="s">
        <v>20</v>
      </c>
      <c r="H768" s="3" t="str">
        <f t="shared" si="7"/>
        <v>Output SC PKG Req For 300Bar Mode, from Structural Connector Server.</v>
      </c>
    </row>
    <row r="769" spans="1:8" x14ac:dyDescent="0.25">
      <c r="A769" s="3" t="s">
        <v>6983</v>
      </c>
      <c r="B769" s="3" t="s">
        <v>6991</v>
      </c>
      <c r="C769" s="3" t="s">
        <v>6985</v>
      </c>
      <c r="D769" s="3" t="s">
        <v>6262</v>
      </c>
      <c r="E769" s="3">
        <v>768</v>
      </c>
      <c r="F769" s="3" t="s">
        <v>5551</v>
      </c>
      <c r="G769" s="3" t="s">
        <v>20</v>
      </c>
      <c r="H769" s="3" t="str">
        <f t="shared" si="7"/>
        <v>Output SC Latched Out, from Structural Connector Server.</v>
      </c>
    </row>
    <row r="770" spans="1:8" x14ac:dyDescent="0.25">
      <c r="A770" s="3" t="s">
        <v>6983</v>
      </c>
      <c r="B770" s="3" t="s">
        <v>6991</v>
      </c>
      <c r="C770" s="3" t="s">
        <v>6985</v>
      </c>
      <c r="D770" s="3" t="s">
        <v>6262</v>
      </c>
      <c r="E770" s="3">
        <v>769</v>
      </c>
      <c r="F770" s="3" t="s">
        <v>5552</v>
      </c>
      <c r="G770" s="3" t="s">
        <v>20</v>
      </c>
      <c r="H770" s="3" t="str">
        <f t="shared" si="7"/>
        <v>Output SC Latched Status, from Structural Connector Server.</v>
      </c>
    </row>
    <row r="771" spans="1:8" x14ac:dyDescent="0.25">
      <c r="A771" s="3" t="s">
        <v>6983</v>
      </c>
      <c r="B771" s="3" t="s">
        <v>6991</v>
      </c>
      <c r="C771" s="3" t="s">
        <v>6985</v>
      </c>
      <c r="D771" s="3" t="s">
        <v>6262</v>
      </c>
      <c r="E771" s="3">
        <v>770</v>
      </c>
      <c r="F771" s="3" t="s">
        <v>5553</v>
      </c>
      <c r="G771" s="3" t="s">
        <v>20</v>
      </c>
      <c r="H771" s="3" t="str">
        <f t="shared" si="7"/>
        <v>Output SC10 Sys General Hlth Stat, from Structural Connector Server.</v>
      </c>
    </row>
    <row r="772" spans="1:8" x14ac:dyDescent="0.25">
      <c r="A772" s="3" t="s">
        <v>6983</v>
      </c>
      <c r="B772" s="3" t="s">
        <v>6991</v>
      </c>
      <c r="C772" s="3" t="s">
        <v>6985</v>
      </c>
      <c r="D772" s="3" t="s">
        <v>6263</v>
      </c>
      <c r="E772" s="3">
        <v>771</v>
      </c>
      <c r="F772" s="3" t="s">
        <v>5554</v>
      </c>
      <c r="G772" s="3" t="s">
        <v>20</v>
      </c>
      <c r="H772" s="3" t="str">
        <f t="shared" si="7"/>
        <v>Output SC1 HPU Manf A Src Sply, from Structural Connector Server.</v>
      </c>
    </row>
    <row r="773" spans="1:8" x14ac:dyDescent="0.25">
      <c r="A773" s="3" t="s">
        <v>6983</v>
      </c>
      <c r="B773" s="3" t="s">
        <v>6991</v>
      </c>
      <c r="C773" s="3" t="s">
        <v>6985</v>
      </c>
      <c r="D773" s="3" t="s">
        <v>6263</v>
      </c>
      <c r="E773" s="3">
        <v>772</v>
      </c>
      <c r="F773" s="3" t="s">
        <v>5555</v>
      </c>
      <c r="G773" s="3" t="s">
        <v>20</v>
      </c>
      <c r="H773" s="3" t="str">
        <f t="shared" si="7"/>
        <v>Output SC2 HPU Manf A Src Sply, from Structural Connector Server.</v>
      </c>
    </row>
    <row r="774" spans="1:8" x14ac:dyDescent="0.25">
      <c r="A774" s="3" t="s">
        <v>6983</v>
      </c>
      <c r="B774" s="3" t="s">
        <v>6991</v>
      </c>
      <c r="C774" s="3" t="s">
        <v>6985</v>
      </c>
      <c r="D774" s="3" t="s">
        <v>6263</v>
      </c>
      <c r="E774" s="3">
        <v>773</v>
      </c>
      <c r="F774" s="3" t="s">
        <v>5556</v>
      </c>
      <c r="G774" s="3" t="s">
        <v>20</v>
      </c>
      <c r="H774" s="3" t="str">
        <f t="shared" si="7"/>
        <v>Output SC3 HPU Manf A Src Sply, from Structural Connector Server.</v>
      </c>
    </row>
    <row r="775" spans="1:8" x14ac:dyDescent="0.25">
      <c r="A775" s="3" t="s">
        <v>6983</v>
      </c>
      <c r="B775" s="3" t="s">
        <v>6991</v>
      </c>
      <c r="C775" s="3" t="s">
        <v>6985</v>
      </c>
      <c r="D775" s="3" t="s">
        <v>6263</v>
      </c>
      <c r="E775" s="3">
        <v>774</v>
      </c>
      <c r="F775" s="3" t="s">
        <v>5557</v>
      </c>
      <c r="G775" s="3" t="s">
        <v>20</v>
      </c>
      <c r="H775" s="3" t="str">
        <f t="shared" si="7"/>
        <v>Output SC4 HPU Manf A Src Sply, from Structural Connector Server.</v>
      </c>
    </row>
    <row r="776" spans="1:8" x14ac:dyDescent="0.25">
      <c r="A776" s="3" t="s">
        <v>6983</v>
      </c>
      <c r="B776" s="3" t="s">
        <v>6991</v>
      </c>
      <c r="C776" s="3" t="s">
        <v>6985</v>
      </c>
      <c r="D776" s="3" t="s">
        <v>6263</v>
      </c>
      <c r="E776" s="3">
        <v>775</v>
      </c>
      <c r="F776" s="3" t="s">
        <v>5558</v>
      </c>
      <c r="G776" s="3" t="s">
        <v>20</v>
      </c>
      <c r="H776" s="3" t="str">
        <f t="shared" si="7"/>
        <v>Output SC5 HPU Manf A Src Sply, from Structural Connector Server.</v>
      </c>
    </row>
    <row r="777" spans="1:8" x14ac:dyDescent="0.25">
      <c r="A777" s="3" t="s">
        <v>6983</v>
      </c>
      <c r="B777" s="3" t="s">
        <v>6991</v>
      </c>
      <c r="C777" s="3" t="s">
        <v>6985</v>
      </c>
      <c r="D777" s="3" t="s">
        <v>6263</v>
      </c>
      <c r="E777" s="3">
        <v>776</v>
      </c>
      <c r="F777" s="3" t="s">
        <v>5559</v>
      </c>
      <c r="G777" s="3" t="s">
        <v>20</v>
      </c>
      <c r="H777" s="3" t="str">
        <f t="shared" si="7"/>
        <v>Output SC6 HPU Manf A Src Sply, from Structural Connector Server.</v>
      </c>
    </row>
    <row r="778" spans="1:8" x14ac:dyDescent="0.25">
      <c r="A778" s="3" t="s">
        <v>6983</v>
      </c>
      <c r="B778" s="3" t="s">
        <v>6991</v>
      </c>
      <c r="C778" s="3" t="s">
        <v>6985</v>
      </c>
      <c r="D778" s="3" t="s">
        <v>6263</v>
      </c>
      <c r="E778" s="3">
        <v>777</v>
      </c>
      <c r="F778" s="3" t="s">
        <v>5560</v>
      </c>
      <c r="G778" s="3" t="s">
        <v>20</v>
      </c>
      <c r="H778" s="3" t="str">
        <f t="shared" si="7"/>
        <v>Output SC7 HPU Manf A Src Sply, from Structural Connector Server.</v>
      </c>
    </row>
    <row r="779" spans="1:8" x14ac:dyDescent="0.25">
      <c r="A779" s="3" t="s">
        <v>6983</v>
      </c>
      <c r="B779" s="3" t="s">
        <v>6991</v>
      </c>
      <c r="C779" s="3" t="s">
        <v>6985</v>
      </c>
      <c r="D779" s="3" t="s">
        <v>6263</v>
      </c>
      <c r="E779" s="3">
        <v>778</v>
      </c>
      <c r="F779" s="3" t="s">
        <v>5561</v>
      </c>
      <c r="G779" s="3" t="s">
        <v>20</v>
      </c>
      <c r="H779" s="3" t="str">
        <f t="shared" si="7"/>
        <v>Output SC8 HPU Manf A Src Sply, from Structural Connector Server.</v>
      </c>
    </row>
    <row r="780" spans="1:8" x14ac:dyDescent="0.25">
      <c r="A780" s="3" t="s">
        <v>6983</v>
      </c>
      <c r="B780" s="3" t="s">
        <v>6991</v>
      </c>
      <c r="C780" s="3" t="s">
        <v>6985</v>
      </c>
      <c r="D780" s="3" t="s">
        <v>6263</v>
      </c>
      <c r="E780" s="3">
        <v>779</v>
      </c>
      <c r="F780" s="3" t="s">
        <v>5562</v>
      </c>
      <c r="G780" s="3" t="s">
        <v>20</v>
      </c>
      <c r="H780" s="3" t="str">
        <f t="shared" si="7"/>
        <v>Output SC9 HPU Manf A Src Sply, from Structural Connector Server.</v>
      </c>
    </row>
    <row r="781" spans="1:8" x14ac:dyDescent="0.25">
      <c r="A781" s="3" t="s">
        <v>6983</v>
      </c>
      <c r="B781" s="3" t="s">
        <v>6991</v>
      </c>
      <c r="C781" s="3" t="s">
        <v>6985</v>
      </c>
      <c r="D781" s="3" t="s">
        <v>6263</v>
      </c>
      <c r="E781" s="3">
        <v>780</v>
      </c>
      <c r="F781" s="3" t="s">
        <v>5563</v>
      </c>
      <c r="G781" s="3" t="s">
        <v>20</v>
      </c>
      <c r="H781" s="3" t="str">
        <f t="shared" si="7"/>
        <v>Output SC1 HPU Manf B Src Sply, from Structural Connector Server.</v>
      </c>
    </row>
    <row r="782" spans="1:8" x14ac:dyDescent="0.25">
      <c r="A782" s="3" t="s">
        <v>6983</v>
      </c>
      <c r="B782" s="3" t="s">
        <v>6991</v>
      </c>
      <c r="C782" s="3" t="s">
        <v>6985</v>
      </c>
      <c r="D782" s="3" t="s">
        <v>6263</v>
      </c>
      <c r="E782" s="3">
        <v>781</v>
      </c>
      <c r="F782" s="3" t="s">
        <v>5564</v>
      </c>
      <c r="G782" s="3" t="s">
        <v>20</v>
      </c>
      <c r="H782" s="3" t="str">
        <f t="shared" si="7"/>
        <v>Output SC2 HPU Manf B Src Sply, from Structural Connector Server.</v>
      </c>
    </row>
    <row r="783" spans="1:8" x14ac:dyDescent="0.25">
      <c r="A783" s="3" t="s">
        <v>6983</v>
      </c>
      <c r="B783" s="3" t="s">
        <v>6991</v>
      </c>
      <c r="C783" s="3" t="s">
        <v>6985</v>
      </c>
      <c r="D783" s="3" t="s">
        <v>6263</v>
      </c>
      <c r="E783" s="3">
        <v>782</v>
      </c>
      <c r="F783" s="3" t="s">
        <v>5565</v>
      </c>
      <c r="G783" s="3" t="s">
        <v>20</v>
      </c>
      <c r="H783" s="3" t="str">
        <f t="shared" si="7"/>
        <v>Output SC3 HPU Manf B Src Sply, from Structural Connector Server.</v>
      </c>
    </row>
    <row r="784" spans="1:8" x14ac:dyDescent="0.25">
      <c r="A784" s="3" t="s">
        <v>6983</v>
      </c>
      <c r="B784" s="3" t="s">
        <v>6991</v>
      </c>
      <c r="C784" s="3" t="s">
        <v>6985</v>
      </c>
      <c r="D784" s="3" t="s">
        <v>6263</v>
      </c>
      <c r="E784" s="3">
        <v>783</v>
      </c>
      <c r="F784" s="3" t="s">
        <v>5566</v>
      </c>
      <c r="G784" s="3" t="s">
        <v>20</v>
      </c>
      <c r="H784" s="3" t="str">
        <f t="shared" si="7"/>
        <v>Output SC4 HPU Manf B Src Sply, from Structural Connector Server.</v>
      </c>
    </row>
    <row r="785" spans="1:8" x14ac:dyDescent="0.25">
      <c r="A785" s="3" t="s">
        <v>6983</v>
      </c>
      <c r="B785" s="3" t="s">
        <v>6991</v>
      </c>
      <c r="C785" s="3" t="s">
        <v>6985</v>
      </c>
      <c r="D785" s="3" t="s">
        <v>6263</v>
      </c>
      <c r="E785" s="3">
        <v>784</v>
      </c>
      <c r="F785" s="3" t="s">
        <v>5567</v>
      </c>
      <c r="G785" s="3" t="s">
        <v>20</v>
      </c>
      <c r="H785" s="3" t="str">
        <f t="shared" si="7"/>
        <v>Output SC5 HPU Manf B Src Sply, from Structural Connector Server.</v>
      </c>
    </row>
    <row r="786" spans="1:8" x14ac:dyDescent="0.25">
      <c r="A786" s="3" t="s">
        <v>6983</v>
      </c>
      <c r="B786" s="3" t="s">
        <v>6991</v>
      </c>
      <c r="C786" s="3" t="s">
        <v>6985</v>
      </c>
      <c r="D786" s="3" t="s">
        <v>6263</v>
      </c>
      <c r="E786" s="3">
        <v>785</v>
      </c>
      <c r="F786" s="3" t="s">
        <v>5568</v>
      </c>
      <c r="G786" s="3" t="s">
        <v>20</v>
      </c>
      <c r="H786" s="3" t="str">
        <f t="shared" si="7"/>
        <v>Output SC6 HPU Manf B Src Sply, from Structural Connector Server.</v>
      </c>
    </row>
    <row r="787" spans="1:8" x14ac:dyDescent="0.25">
      <c r="A787" s="3" t="s">
        <v>6983</v>
      </c>
      <c r="B787" s="3" t="s">
        <v>6991</v>
      </c>
      <c r="C787" s="3" t="s">
        <v>6985</v>
      </c>
      <c r="D787" s="3" t="s">
        <v>6263</v>
      </c>
      <c r="E787" s="3">
        <v>786</v>
      </c>
      <c r="F787" s="3" t="s">
        <v>5569</v>
      </c>
      <c r="G787" s="3" t="s">
        <v>20</v>
      </c>
      <c r="H787" s="3" t="str">
        <f t="shared" si="7"/>
        <v>Output SC7 HPU Manf B Src Sply, from Structural Connector Server.</v>
      </c>
    </row>
    <row r="788" spans="1:8" x14ac:dyDescent="0.25">
      <c r="A788" s="3" t="s">
        <v>6983</v>
      </c>
      <c r="B788" s="3" t="s">
        <v>6991</v>
      </c>
      <c r="C788" s="3" t="s">
        <v>6985</v>
      </c>
      <c r="D788" s="3" t="s">
        <v>6263</v>
      </c>
      <c r="E788" s="3">
        <v>787</v>
      </c>
      <c r="F788" s="3" t="s">
        <v>5570</v>
      </c>
      <c r="G788" s="3" t="s">
        <v>20</v>
      </c>
      <c r="H788" s="3" t="str">
        <f t="shared" si="7"/>
        <v>Output SC8 HPU Manf B Src Sply, from Structural Connector Server.</v>
      </c>
    </row>
    <row r="789" spans="1:8" x14ac:dyDescent="0.25">
      <c r="A789" s="3" t="s">
        <v>6983</v>
      </c>
      <c r="B789" s="3" t="s">
        <v>6991</v>
      </c>
      <c r="C789" s="3" t="s">
        <v>6985</v>
      </c>
      <c r="D789" s="3" t="s">
        <v>6263</v>
      </c>
      <c r="E789" s="3">
        <v>788</v>
      </c>
      <c r="F789" s="3" t="s">
        <v>5571</v>
      </c>
      <c r="G789" s="3" t="s">
        <v>20</v>
      </c>
      <c r="H789" s="3" t="str">
        <f t="shared" si="7"/>
        <v>Output SC9 HPU Manf B Src Sply, from Structural Connector Server.</v>
      </c>
    </row>
    <row r="790" spans="1:8" x14ac:dyDescent="0.25">
      <c r="A790" s="3" t="s">
        <v>6983</v>
      </c>
      <c r="B790" s="3" t="s">
        <v>6991</v>
      </c>
      <c r="C790" s="3" t="s">
        <v>6985</v>
      </c>
      <c r="D790" s="3" t="s">
        <v>6264</v>
      </c>
      <c r="E790" s="3">
        <v>789</v>
      </c>
      <c r="F790" s="3" t="s">
        <v>5572</v>
      </c>
      <c r="G790" s="3" t="s">
        <v>20</v>
      </c>
      <c r="H790" s="3" t="str">
        <f t="shared" si="7"/>
        <v>Output SC1 Maint Mode Perm, from Structural Connector Server.</v>
      </c>
    </row>
    <row r="791" spans="1:8" x14ac:dyDescent="0.25">
      <c r="A791" s="3" t="s">
        <v>6983</v>
      </c>
      <c r="B791" s="3" t="s">
        <v>6991</v>
      </c>
      <c r="C791" s="3" t="s">
        <v>6985</v>
      </c>
      <c r="D791" s="3" t="s">
        <v>6264</v>
      </c>
      <c r="E791" s="3">
        <v>790</v>
      </c>
      <c r="F791" s="3" t="s">
        <v>5573</v>
      </c>
      <c r="G791" s="3" t="s">
        <v>20</v>
      </c>
      <c r="H791" s="3" t="str">
        <f t="shared" si="7"/>
        <v>Output SC1 Backup Release, from Structural Connector Server.</v>
      </c>
    </row>
    <row r="792" spans="1:8" x14ac:dyDescent="0.25">
      <c r="A792" s="3" t="s">
        <v>6983</v>
      </c>
      <c r="B792" s="3" t="s">
        <v>6991</v>
      </c>
      <c r="C792" s="3" t="s">
        <v>6985</v>
      </c>
      <c r="D792" s="3" t="s">
        <v>6264</v>
      </c>
      <c r="E792" s="3">
        <v>791</v>
      </c>
      <c r="F792" s="3" t="s">
        <v>5574</v>
      </c>
      <c r="G792" s="3" t="s">
        <v>20</v>
      </c>
      <c r="H792" s="3" t="str">
        <f t="shared" si="7"/>
        <v>Output SC2 Maint Mode Perm, from Structural Connector Server.</v>
      </c>
    </row>
    <row r="793" spans="1:8" x14ac:dyDescent="0.25">
      <c r="A793" s="3" t="s">
        <v>6983</v>
      </c>
      <c r="B793" s="3" t="s">
        <v>6991</v>
      </c>
      <c r="C793" s="3" t="s">
        <v>6985</v>
      </c>
      <c r="D793" s="3" t="s">
        <v>6264</v>
      </c>
      <c r="E793" s="3">
        <v>792</v>
      </c>
      <c r="F793" s="3" t="s">
        <v>5575</v>
      </c>
      <c r="G793" s="3" t="s">
        <v>20</v>
      </c>
      <c r="H793" s="3" t="str">
        <f t="shared" si="7"/>
        <v>Output SC2 Backup Release, from Structural Connector Server.</v>
      </c>
    </row>
    <row r="794" spans="1:8" x14ac:dyDescent="0.25">
      <c r="A794" s="3" t="s">
        <v>6983</v>
      </c>
      <c r="B794" s="3" t="s">
        <v>6991</v>
      </c>
      <c r="C794" s="3" t="s">
        <v>6985</v>
      </c>
      <c r="D794" s="3" t="s">
        <v>6264</v>
      </c>
      <c r="E794" s="3">
        <v>793</v>
      </c>
      <c r="F794" s="3" t="s">
        <v>5576</v>
      </c>
      <c r="G794" s="3" t="s">
        <v>20</v>
      </c>
      <c r="H794" s="3" t="str">
        <f t="shared" si="7"/>
        <v>Output SC3 Maint Mode Perm, from Structural Connector Server.</v>
      </c>
    </row>
    <row r="795" spans="1:8" x14ac:dyDescent="0.25">
      <c r="A795" s="3" t="s">
        <v>6983</v>
      </c>
      <c r="B795" s="3" t="s">
        <v>6991</v>
      </c>
      <c r="C795" s="3" t="s">
        <v>6985</v>
      </c>
      <c r="D795" s="3" t="s">
        <v>6264</v>
      </c>
      <c r="E795" s="3">
        <v>794</v>
      </c>
      <c r="F795" s="3" t="s">
        <v>5577</v>
      </c>
      <c r="G795" s="3" t="s">
        <v>20</v>
      </c>
      <c r="H795" s="3" t="str">
        <f t="shared" si="7"/>
        <v>Output SC3 Backup Release, from Structural Connector Server.</v>
      </c>
    </row>
    <row r="796" spans="1:8" x14ac:dyDescent="0.25">
      <c r="A796" s="3" t="s">
        <v>6983</v>
      </c>
      <c r="B796" s="3" t="s">
        <v>6991</v>
      </c>
      <c r="C796" s="3" t="s">
        <v>6985</v>
      </c>
      <c r="D796" s="3" t="s">
        <v>6264</v>
      </c>
      <c r="E796" s="3">
        <v>795</v>
      </c>
      <c r="F796" s="3" t="s">
        <v>5578</v>
      </c>
      <c r="G796" s="3" t="s">
        <v>20</v>
      </c>
      <c r="H796" s="3" t="str">
        <f t="shared" si="7"/>
        <v>Output SC4 Maint Mode Perm, from Structural Connector Server.</v>
      </c>
    </row>
    <row r="797" spans="1:8" x14ac:dyDescent="0.25">
      <c r="A797" s="3" t="s">
        <v>6983</v>
      </c>
      <c r="B797" s="3" t="s">
        <v>6991</v>
      </c>
      <c r="C797" s="3" t="s">
        <v>6985</v>
      </c>
      <c r="D797" s="3" t="s">
        <v>6264</v>
      </c>
      <c r="E797" s="3">
        <v>796</v>
      </c>
      <c r="F797" s="3" t="s">
        <v>5579</v>
      </c>
      <c r="G797" s="3" t="s">
        <v>20</v>
      </c>
      <c r="H797" s="3" t="str">
        <f t="shared" si="7"/>
        <v>Output SC4 Backup Release, from Structural Connector Server.</v>
      </c>
    </row>
    <row r="798" spans="1:8" x14ac:dyDescent="0.25">
      <c r="A798" s="3" t="s">
        <v>6983</v>
      </c>
      <c r="B798" s="3" t="s">
        <v>6991</v>
      </c>
      <c r="C798" s="3" t="s">
        <v>6985</v>
      </c>
      <c r="D798" s="3" t="s">
        <v>6264</v>
      </c>
      <c r="E798" s="3">
        <v>797</v>
      </c>
      <c r="F798" s="3" t="s">
        <v>5580</v>
      </c>
      <c r="G798" s="3" t="s">
        <v>20</v>
      </c>
      <c r="H798" s="3" t="str">
        <f t="shared" si="7"/>
        <v>Output SC5 Maint Mode Perm, from Structural Connector Server.</v>
      </c>
    </row>
    <row r="799" spans="1:8" x14ac:dyDescent="0.25">
      <c r="A799" s="3" t="s">
        <v>6983</v>
      </c>
      <c r="B799" s="3" t="s">
        <v>6991</v>
      </c>
      <c r="C799" s="3" t="s">
        <v>6985</v>
      </c>
      <c r="D799" s="3" t="s">
        <v>6264</v>
      </c>
      <c r="E799" s="3">
        <v>798</v>
      </c>
      <c r="F799" s="3" t="s">
        <v>5581</v>
      </c>
      <c r="G799" s="3" t="s">
        <v>20</v>
      </c>
      <c r="H799" s="3" t="str">
        <f t="shared" si="7"/>
        <v>Output SC5 Backup Release, from Structural Connector Server.</v>
      </c>
    </row>
    <row r="800" spans="1:8" x14ac:dyDescent="0.25">
      <c r="A800" s="3" t="s">
        <v>6983</v>
      </c>
      <c r="B800" s="3" t="s">
        <v>6991</v>
      </c>
      <c r="C800" s="3" t="s">
        <v>6985</v>
      </c>
      <c r="D800" s="3" t="s">
        <v>6264</v>
      </c>
      <c r="E800" s="3">
        <v>799</v>
      </c>
      <c r="F800" s="3" t="s">
        <v>5582</v>
      </c>
      <c r="G800" s="3" t="s">
        <v>20</v>
      </c>
      <c r="H800" s="3" t="str">
        <f t="shared" si="7"/>
        <v>Output SC6 Maint Mode Perm, from Structural Connector Server.</v>
      </c>
    </row>
    <row r="801" spans="1:8" x14ac:dyDescent="0.25">
      <c r="A801" s="3" t="s">
        <v>6983</v>
      </c>
      <c r="B801" s="3" t="s">
        <v>6991</v>
      </c>
      <c r="C801" s="3" t="s">
        <v>6985</v>
      </c>
      <c r="D801" s="3" t="s">
        <v>6264</v>
      </c>
      <c r="E801" s="3">
        <v>800</v>
      </c>
      <c r="F801" s="3" t="s">
        <v>5583</v>
      </c>
      <c r="G801" s="3" t="s">
        <v>20</v>
      </c>
      <c r="H801" s="3" t="str">
        <f t="shared" si="7"/>
        <v>Output SC6 Backup Release, from Structural Connector Server.</v>
      </c>
    </row>
    <row r="802" spans="1:8" x14ac:dyDescent="0.25">
      <c r="A802" s="3" t="s">
        <v>6983</v>
      </c>
      <c r="B802" s="3" t="s">
        <v>6991</v>
      </c>
      <c r="C802" s="3" t="s">
        <v>6985</v>
      </c>
      <c r="D802" s="3" t="s">
        <v>6264</v>
      </c>
      <c r="E802" s="3">
        <v>801</v>
      </c>
      <c r="F802" s="3" t="s">
        <v>5584</v>
      </c>
      <c r="G802" s="3" t="s">
        <v>20</v>
      </c>
      <c r="H802" s="3" t="str">
        <f t="shared" si="7"/>
        <v>Output SC7 Maint Mode Perm, from Structural Connector Server.</v>
      </c>
    </row>
    <row r="803" spans="1:8" x14ac:dyDescent="0.25">
      <c r="A803" s="3" t="s">
        <v>6983</v>
      </c>
      <c r="B803" s="3" t="s">
        <v>6991</v>
      </c>
      <c r="C803" s="3" t="s">
        <v>6985</v>
      </c>
      <c r="D803" s="3" t="s">
        <v>6264</v>
      </c>
      <c r="E803" s="3">
        <v>802</v>
      </c>
      <c r="F803" s="3" t="s">
        <v>5585</v>
      </c>
      <c r="G803" s="3" t="s">
        <v>20</v>
      </c>
      <c r="H803" s="3" t="str">
        <f t="shared" si="7"/>
        <v>Output SC7 Backup Release, from Structural Connector Server.</v>
      </c>
    </row>
    <row r="804" spans="1:8" x14ac:dyDescent="0.25">
      <c r="A804" s="3" t="s">
        <v>6983</v>
      </c>
      <c r="B804" s="3" t="s">
        <v>6991</v>
      </c>
      <c r="C804" s="3" t="s">
        <v>6985</v>
      </c>
      <c r="D804" s="3" t="s">
        <v>6264</v>
      </c>
      <c r="E804" s="3">
        <v>803</v>
      </c>
      <c r="F804" s="3" t="s">
        <v>5586</v>
      </c>
      <c r="G804" s="3" t="s">
        <v>20</v>
      </c>
      <c r="H804" s="3" t="str">
        <f t="shared" si="7"/>
        <v>Output SC8 Maint Mode Perm, from Structural Connector Server.</v>
      </c>
    </row>
    <row r="805" spans="1:8" x14ac:dyDescent="0.25">
      <c r="A805" s="3" t="s">
        <v>6983</v>
      </c>
      <c r="B805" s="3" t="s">
        <v>6991</v>
      </c>
      <c r="C805" s="3" t="s">
        <v>6985</v>
      </c>
      <c r="D805" s="3" t="s">
        <v>6264</v>
      </c>
      <c r="E805" s="3">
        <v>804</v>
      </c>
      <c r="F805" s="3" t="s">
        <v>5587</v>
      </c>
      <c r="G805" s="3" t="s">
        <v>20</v>
      </c>
      <c r="H805" s="3" t="str">
        <f t="shared" si="7"/>
        <v>Output SC8 Backup Release, from Structural Connector Server.</v>
      </c>
    </row>
    <row r="806" spans="1:8" x14ac:dyDescent="0.25">
      <c r="A806" s="3" t="s">
        <v>6983</v>
      </c>
      <c r="B806" s="3" t="s">
        <v>6991</v>
      </c>
      <c r="C806" s="3" t="s">
        <v>6985</v>
      </c>
      <c r="D806" s="3" t="s">
        <v>6264</v>
      </c>
      <c r="E806" s="3">
        <v>805</v>
      </c>
      <c r="F806" s="3" t="s">
        <v>5588</v>
      </c>
      <c r="G806" s="3" t="s">
        <v>20</v>
      </c>
      <c r="H806" s="3" t="str">
        <f t="shared" si="7"/>
        <v>Output SC9 Maint Mode Perm, from Structural Connector Server.</v>
      </c>
    </row>
    <row r="807" spans="1:8" x14ac:dyDescent="0.25">
      <c r="A807" s="3" t="s">
        <v>6983</v>
      </c>
      <c r="B807" s="3" t="s">
        <v>6991</v>
      </c>
      <c r="C807" s="3" t="s">
        <v>6985</v>
      </c>
      <c r="D807" s="3" t="s">
        <v>6264</v>
      </c>
      <c r="E807" s="3">
        <v>806</v>
      </c>
      <c r="F807" s="3" t="s">
        <v>5589</v>
      </c>
      <c r="G807" s="3" t="s">
        <v>20</v>
      </c>
      <c r="H807" s="3" t="str">
        <f t="shared" si="7"/>
        <v>Output SC9 Backup Release, from Structural Connector Server.</v>
      </c>
    </row>
    <row r="808" spans="1:8" x14ac:dyDescent="0.25">
      <c r="A808" s="3" t="s">
        <v>6983</v>
      </c>
      <c r="B808" s="3" t="s">
        <v>6991</v>
      </c>
      <c r="C808" s="3" t="s">
        <v>6985</v>
      </c>
      <c r="D808" s="3" t="s">
        <v>6264</v>
      </c>
      <c r="E808" s="3">
        <v>807</v>
      </c>
      <c r="F808" s="3" t="s">
        <v>5590</v>
      </c>
      <c r="G808" s="3" t="s">
        <v>20</v>
      </c>
      <c r="H808" s="3" t="str">
        <f t="shared" si="7"/>
        <v>Output SC10 Master Release Enable, from Structural Connector Server.</v>
      </c>
    </row>
    <row r="809" spans="1:8" x14ac:dyDescent="0.25">
      <c r="A809" s="3" t="s">
        <v>6983</v>
      </c>
      <c r="B809" s="3" t="s">
        <v>6991</v>
      </c>
      <c r="C809" s="3" t="s">
        <v>6985</v>
      </c>
      <c r="D809" s="3" t="s">
        <v>6264</v>
      </c>
      <c r="E809" s="3">
        <v>808</v>
      </c>
      <c r="F809" s="3" t="s">
        <v>5591</v>
      </c>
      <c r="G809" s="3" t="s">
        <v>20</v>
      </c>
      <c r="H809" s="3" t="str">
        <f t="shared" si="7"/>
        <v>Output SC10 Master Maint Enable, from Structural Connector Server.</v>
      </c>
    </row>
    <row r="810" spans="1:8" x14ac:dyDescent="0.25">
      <c r="A810" s="3" t="s">
        <v>6983</v>
      </c>
      <c r="B810" s="3" t="s">
        <v>6991</v>
      </c>
      <c r="C810" s="3" t="s">
        <v>6985</v>
      </c>
      <c r="D810" s="3" t="s">
        <v>6264</v>
      </c>
      <c r="E810" s="3">
        <v>809</v>
      </c>
      <c r="F810" s="3" t="s">
        <v>5592</v>
      </c>
      <c r="G810" s="3" t="s">
        <v>20</v>
      </c>
      <c r="H810" s="3" t="str">
        <f t="shared" si="7"/>
        <v>Output SC10 Package Enable, from Structural Connector Server.</v>
      </c>
    </row>
    <row r="811" spans="1:8" x14ac:dyDescent="0.25">
      <c r="A811" s="3" t="s">
        <v>6983</v>
      </c>
      <c r="B811" s="3" t="s">
        <v>6991</v>
      </c>
      <c r="C811" s="3" t="s">
        <v>6985</v>
      </c>
      <c r="D811" s="3" t="s">
        <v>6264</v>
      </c>
      <c r="E811" s="3">
        <v>810</v>
      </c>
      <c r="F811" s="3" t="s">
        <v>5593</v>
      </c>
      <c r="G811" s="3" t="s">
        <v>20</v>
      </c>
      <c r="H811" s="3" t="str">
        <f t="shared" si="7"/>
        <v>Output SC10 Final Perm Rel BTM, from Structural Connector Server.</v>
      </c>
    </row>
    <row r="812" spans="1:8" x14ac:dyDescent="0.25">
      <c r="A812" s="3" t="s">
        <v>6983</v>
      </c>
      <c r="B812" s="3" t="s">
        <v>6991</v>
      </c>
      <c r="C812" s="3" t="s">
        <v>6985</v>
      </c>
      <c r="D812" s="3" t="s">
        <v>6264</v>
      </c>
      <c r="E812" s="3">
        <v>811</v>
      </c>
      <c r="F812" s="3" t="s">
        <v>5594</v>
      </c>
      <c r="G812" s="3" t="s">
        <v>20</v>
      </c>
      <c r="H812" s="3" t="str">
        <f t="shared" si="7"/>
        <v>Output SC10 BTM Seals Rdy Perm, from Structural Connector Server.</v>
      </c>
    </row>
    <row r="813" spans="1:8" x14ac:dyDescent="0.25">
      <c r="A813" s="3" t="s">
        <v>6983</v>
      </c>
      <c r="B813" s="3" t="s">
        <v>6991</v>
      </c>
      <c r="C813" s="3" t="s">
        <v>6985</v>
      </c>
      <c r="D813" s="3" t="s">
        <v>6264</v>
      </c>
      <c r="E813" s="3">
        <v>812</v>
      </c>
      <c r="F813" s="3" t="s">
        <v>5595</v>
      </c>
      <c r="G813" s="3" t="s">
        <v>20</v>
      </c>
      <c r="H813" s="3" t="str">
        <f t="shared" si="7"/>
        <v>Output SC Ctr HPU 300Bar Mode Act, from Structural Connector Server.</v>
      </c>
    </row>
    <row r="814" spans="1:8" x14ac:dyDescent="0.25">
      <c r="A814" s="3" t="s">
        <v>6983</v>
      </c>
      <c r="B814" s="3" t="s">
        <v>6991</v>
      </c>
      <c r="C814" s="3" t="s">
        <v>6985</v>
      </c>
      <c r="D814" s="3" t="s">
        <v>6265</v>
      </c>
      <c r="E814" s="3">
        <v>813</v>
      </c>
      <c r="F814" s="3" t="s">
        <v>5596</v>
      </c>
      <c r="G814" s="3" t="s">
        <v>1098</v>
      </c>
      <c r="H814" s="3" t="str">
        <f t="shared" si="7"/>
        <v>Output SC1 Lock Dog LVDT 1, from Structural Connector Server.</v>
      </c>
    </row>
    <row r="815" spans="1:8" x14ac:dyDescent="0.25">
      <c r="A815" s="3" t="s">
        <v>6983</v>
      </c>
      <c r="B815" s="3" t="s">
        <v>6991</v>
      </c>
      <c r="C815" s="3" t="s">
        <v>6985</v>
      </c>
      <c r="D815" s="3" t="s">
        <v>6265</v>
      </c>
      <c r="E815" s="3">
        <v>814</v>
      </c>
      <c r="F815" s="3" t="s">
        <v>5597</v>
      </c>
      <c r="G815" s="3" t="s">
        <v>1098</v>
      </c>
      <c r="H815" s="3" t="str">
        <f t="shared" si="7"/>
        <v>Output SC1 Lock Dog LVDT 2, from Structural Connector Server.</v>
      </c>
    </row>
    <row r="816" spans="1:8" x14ac:dyDescent="0.25">
      <c r="A816" s="3" t="s">
        <v>6983</v>
      </c>
      <c r="B816" s="3" t="s">
        <v>6991</v>
      </c>
      <c r="C816" s="3" t="s">
        <v>6985</v>
      </c>
      <c r="D816" s="3" t="s">
        <v>6265</v>
      </c>
      <c r="E816" s="3">
        <v>815</v>
      </c>
      <c r="F816" s="3" t="s">
        <v>5598</v>
      </c>
      <c r="G816" s="3" t="s">
        <v>1098</v>
      </c>
      <c r="H816" s="3" t="str">
        <f t="shared" si="7"/>
        <v>Output SC2 Lock Dog LVDT 1, from Structural Connector Server.</v>
      </c>
    </row>
    <row r="817" spans="1:8" x14ac:dyDescent="0.25">
      <c r="A817" s="3" t="s">
        <v>6983</v>
      </c>
      <c r="B817" s="3" t="s">
        <v>6991</v>
      </c>
      <c r="C817" s="3" t="s">
        <v>6985</v>
      </c>
      <c r="D817" s="3" t="s">
        <v>6265</v>
      </c>
      <c r="E817" s="3">
        <v>816</v>
      </c>
      <c r="F817" s="3" t="s">
        <v>5599</v>
      </c>
      <c r="G817" s="3" t="s">
        <v>1098</v>
      </c>
      <c r="H817" s="3" t="str">
        <f t="shared" si="7"/>
        <v>Output SC2 Lock Dog LVDT 2, from Structural Connector Server.</v>
      </c>
    </row>
    <row r="818" spans="1:8" x14ac:dyDescent="0.25">
      <c r="A818" s="3" t="s">
        <v>6983</v>
      </c>
      <c r="B818" s="3" t="s">
        <v>6991</v>
      </c>
      <c r="C818" s="3" t="s">
        <v>6985</v>
      </c>
      <c r="D818" s="3" t="s">
        <v>6265</v>
      </c>
      <c r="E818" s="3">
        <v>817</v>
      </c>
      <c r="F818" s="3" t="s">
        <v>5600</v>
      </c>
      <c r="G818" s="3" t="s">
        <v>1098</v>
      </c>
      <c r="H818" s="3" t="str">
        <f t="shared" si="7"/>
        <v>Output SC3 Lock Dog LVDT 1, from Structural Connector Server.</v>
      </c>
    </row>
    <row r="819" spans="1:8" x14ac:dyDescent="0.25">
      <c r="A819" s="3" t="s">
        <v>6983</v>
      </c>
      <c r="B819" s="3" t="s">
        <v>6991</v>
      </c>
      <c r="C819" s="3" t="s">
        <v>6985</v>
      </c>
      <c r="D819" s="3" t="s">
        <v>6265</v>
      </c>
      <c r="E819" s="3">
        <v>818</v>
      </c>
      <c r="F819" s="3" t="s">
        <v>5601</v>
      </c>
      <c r="G819" s="3" t="s">
        <v>1098</v>
      </c>
      <c r="H819" s="3" t="str">
        <f t="shared" si="7"/>
        <v>Output SC3 Lock Dog LVDT 2, from Structural Connector Server.</v>
      </c>
    </row>
    <row r="820" spans="1:8" x14ac:dyDescent="0.25">
      <c r="A820" s="3" t="s">
        <v>6983</v>
      </c>
      <c r="B820" s="3" t="s">
        <v>6991</v>
      </c>
      <c r="C820" s="3" t="s">
        <v>6985</v>
      </c>
      <c r="D820" s="3" t="s">
        <v>6265</v>
      </c>
      <c r="E820" s="3">
        <v>819</v>
      </c>
      <c r="F820" s="3" t="s">
        <v>5602</v>
      </c>
      <c r="G820" s="3" t="s">
        <v>1098</v>
      </c>
      <c r="H820" s="3" t="str">
        <f t="shared" si="7"/>
        <v>Output SC4 Lock Dog LVDT 1, from Structural Connector Server.</v>
      </c>
    </row>
    <row r="821" spans="1:8" x14ac:dyDescent="0.25">
      <c r="A821" s="3" t="s">
        <v>6983</v>
      </c>
      <c r="B821" s="3" t="s">
        <v>6991</v>
      </c>
      <c r="C821" s="3" t="s">
        <v>6985</v>
      </c>
      <c r="D821" s="3" t="s">
        <v>6265</v>
      </c>
      <c r="E821" s="3">
        <v>820</v>
      </c>
      <c r="F821" s="3" t="s">
        <v>5603</v>
      </c>
      <c r="G821" s="3" t="s">
        <v>1098</v>
      </c>
      <c r="H821" s="3" t="str">
        <f t="shared" si="7"/>
        <v>Output SC4 Lock Dog LVDT 2, from Structural Connector Server.</v>
      </c>
    </row>
    <row r="822" spans="1:8" x14ac:dyDescent="0.25">
      <c r="A822" s="3" t="s">
        <v>6983</v>
      </c>
      <c r="B822" s="3" t="s">
        <v>6991</v>
      </c>
      <c r="C822" s="3" t="s">
        <v>6985</v>
      </c>
      <c r="D822" s="3" t="s">
        <v>6265</v>
      </c>
      <c r="E822" s="3">
        <v>821</v>
      </c>
      <c r="F822" s="3" t="s">
        <v>5604</v>
      </c>
      <c r="G822" s="3" t="s">
        <v>1098</v>
      </c>
      <c r="H822" s="3" t="str">
        <f t="shared" si="7"/>
        <v>Output SC5 Lock Dog LVDT 1, from Structural Connector Server.</v>
      </c>
    </row>
    <row r="823" spans="1:8" x14ac:dyDescent="0.25">
      <c r="A823" s="3" t="s">
        <v>6983</v>
      </c>
      <c r="B823" s="3" t="s">
        <v>6991</v>
      </c>
      <c r="C823" s="3" t="s">
        <v>6985</v>
      </c>
      <c r="D823" s="3" t="s">
        <v>6265</v>
      </c>
      <c r="E823" s="3">
        <v>822</v>
      </c>
      <c r="F823" s="3" t="s">
        <v>5605</v>
      </c>
      <c r="G823" s="3" t="s">
        <v>1098</v>
      </c>
      <c r="H823" s="3" t="str">
        <f t="shared" si="7"/>
        <v>Output SC5 Lock Dog LVDT 2, from Structural Connector Server.</v>
      </c>
    </row>
    <row r="824" spans="1:8" x14ac:dyDescent="0.25">
      <c r="A824" s="3" t="s">
        <v>6983</v>
      </c>
      <c r="B824" s="3" t="s">
        <v>6991</v>
      </c>
      <c r="C824" s="3" t="s">
        <v>6985</v>
      </c>
      <c r="D824" s="3" t="s">
        <v>6265</v>
      </c>
      <c r="E824" s="3">
        <v>823</v>
      </c>
      <c r="F824" s="3" t="s">
        <v>5606</v>
      </c>
      <c r="G824" s="3" t="s">
        <v>1098</v>
      </c>
      <c r="H824" s="3" t="str">
        <f t="shared" si="7"/>
        <v>Output SC6 Lock Dog LVDT 1, from Structural Connector Server.</v>
      </c>
    </row>
    <row r="825" spans="1:8" x14ac:dyDescent="0.25">
      <c r="A825" s="3" t="s">
        <v>6983</v>
      </c>
      <c r="B825" s="3" t="s">
        <v>6991</v>
      </c>
      <c r="C825" s="3" t="s">
        <v>6985</v>
      </c>
      <c r="D825" s="3" t="s">
        <v>6265</v>
      </c>
      <c r="E825" s="3">
        <v>824</v>
      </c>
      <c r="F825" s="3" t="s">
        <v>5607</v>
      </c>
      <c r="G825" s="3" t="s">
        <v>1098</v>
      </c>
      <c r="H825" s="3" t="str">
        <f t="shared" si="7"/>
        <v>Output SC6 Lock Dog LVDT 2, from Structural Connector Server.</v>
      </c>
    </row>
    <row r="826" spans="1:8" x14ac:dyDescent="0.25">
      <c r="A826" s="3" t="s">
        <v>6983</v>
      </c>
      <c r="B826" s="3" t="s">
        <v>6991</v>
      </c>
      <c r="C826" s="3" t="s">
        <v>6985</v>
      </c>
      <c r="D826" s="3" t="s">
        <v>6265</v>
      </c>
      <c r="E826" s="3">
        <v>825</v>
      </c>
      <c r="F826" s="3" t="s">
        <v>5608</v>
      </c>
      <c r="G826" s="3" t="s">
        <v>1098</v>
      </c>
      <c r="H826" s="3" t="str">
        <f t="shared" si="7"/>
        <v>Output SC7 Lock Dog LVDT 1, from Structural Connector Server.</v>
      </c>
    </row>
    <row r="827" spans="1:8" x14ac:dyDescent="0.25">
      <c r="A827" s="3" t="s">
        <v>6983</v>
      </c>
      <c r="B827" s="3" t="s">
        <v>6991</v>
      </c>
      <c r="C827" s="3" t="s">
        <v>6985</v>
      </c>
      <c r="D827" s="3" t="s">
        <v>6265</v>
      </c>
      <c r="E827" s="3">
        <v>826</v>
      </c>
      <c r="F827" s="3" t="s">
        <v>5609</v>
      </c>
      <c r="G827" s="3" t="s">
        <v>1098</v>
      </c>
      <c r="H827" s="3" t="str">
        <f t="shared" si="7"/>
        <v>Output SC7 Lock Dog LVDT 2, from Structural Connector Server.</v>
      </c>
    </row>
    <row r="828" spans="1:8" x14ac:dyDescent="0.25">
      <c r="A828" s="3" t="s">
        <v>6983</v>
      </c>
      <c r="B828" s="3" t="s">
        <v>6991</v>
      </c>
      <c r="C828" s="3" t="s">
        <v>6985</v>
      </c>
      <c r="D828" s="3" t="s">
        <v>6265</v>
      </c>
      <c r="E828" s="3">
        <v>827</v>
      </c>
      <c r="F828" s="3" t="s">
        <v>5610</v>
      </c>
      <c r="G828" s="3" t="s">
        <v>1098</v>
      </c>
      <c r="H828" s="3" t="str">
        <f t="shared" ref="H828:H891" si="8">_xlfn.CONCAT("Output ",F828, ", from Structural Connector Server.")</f>
        <v>Output SC8 Lock Dog LVDT 1, from Structural Connector Server.</v>
      </c>
    </row>
    <row r="829" spans="1:8" x14ac:dyDescent="0.25">
      <c r="A829" s="3" t="s">
        <v>6983</v>
      </c>
      <c r="B829" s="3" t="s">
        <v>6991</v>
      </c>
      <c r="C829" s="3" t="s">
        <v>6985</v>
      </c>
      <c r="D829" s="3" t="s">
        <v>6265</v>
      </c>
      <c r="E829" s="3">
        <v>828</v>
      </c>
      <c r="F829" s="3" t="s">
        <v>5611</v>
      </c>
      <c r="G829" s="3" t="s">
        <v>1098</v>
      </c>
      <c r="H829" s="3" t="str">
        <f t="shared" si="8"/>
        <v>Output SC8 Lock Dog LVDT 2, from Structural Connector Server.</v>
      </c>
    </row>
    <row r="830" spans="1:8" x14ac:dyDescent="0.25">
      <c r="A830" s="3" t="s">
        <v>6983</v>
      </c>
      <c r="B830" s="3" t="s">
        <v>6991</v>
      </c>
      <c r="C830" s="3" t="s">
        <v>6985</v>
      </c>
      <c r="D830" s="3" t="s">
        <v>6265</v>
      </c>
      <c r="E830" s="3">
        <v>829</v>
      </c>
      <c r="F830" s="3" t="s">
        <v>5612</v>
      </c>
      <c r="G830" s="3" t="s">
        <v>1098</v>
      </c>
      <c r="H830" s="3" t="str">
        <f t="shared" si="8"/>
        <v>Output SC9 Lock Dog LVDT 1, from Structural Connector Server.</v>
      </c>
    </row>
    <row r="831" spans="1:8" x14ac:dyDescent="0.25">
      <c r="A831" s="3" t="s">
        <v>6983</v>
      </c>
      <c r="B831" s="3" t="s">
        <v>6991</v>
      </c>
      <c r="C831" s="3" t="s">
        <v>6985</v>
      </c>
      <c r="D831" s="3" t="s">
        <v>6265</v>
      </c>
      <c r="E831" s="3">
        <v>830</v>
      </c>
      <c r="F831" s="3" t="s">
        <v>5613</v>
      </c>
      <c r="G831" s="3" t="s">
        <v>1098</v>
      </c>
      <c r="H831" s="3" t="str">
        <f t="shared" si="8"/>
        <v>Output SC9 Lock Dog LVDT 2, from Structural Connector Server.</v>
      </c>
    </row>
    <row r="832" spans="1:8" x14ac:dyDescent="0.25">
      <c r="A832" s="3" t="s">
        <v>6983</v>
      </c>
      <c r="B832" s="3" t="s">
        <v>6991</v>
      </c>
      <c r="C832" s="3" t="s">
        <v>6985</v>
      </c>
      <c r="D832" s="3" t="s">
        <v>6266</v>
      </c>
      <c r="E832" s="3">
        <v>831</v>
      </c>
      <c r="F832" s="3" t="s">
        <v>5614</v>
      </c>
      <c r="G832" s="3" t="s">
        <v>20</v>
      </c>
      <c r="H832" s="3" t="str">
        <f t="shared" si="8"/>
        <v>Output SC1 Shear Pin Retracted, from Structural Connector Server.</v>
      </c>
    </row>
    <row r="833" spans="1:8" x14ac:dyDescent="0.25">
      <c r="A833" s="3" t="s">
        <v>6983</v>
      </c>
      <c r="B833" s="3" t="s">
        <v>6991</v>
      </c>
      <c r="C833" s="3" t="s">
        <v>6985</v>
      </c>
      <c r="D833" s="3" t="s">
        <v>6266</v>
      </c>
      <c r="E833" s="3">
        <v>832</v>
      </c>
      <c r="F833" s="3" t="s">
        <v>5615</v>
      </c>
      <c r="G833" s="3" t="s">
        <v>20</v>
      </c>
      <c r="H833" s="3" t="str">
        <f t="shared" si="8"/>
        <v>Output SC1 Shear Pin Jack Extend, from Structural Connector Server.</v>
      </c>
    </row>
    <row r="834" spans="1:8" x14ac:dyDescent="0.25">
      <c r="A834" s="3" t="s">
        <v>6983</v>
      </c>
      <c r="B834" s="3" t="s">
        <v>6991</v>
      </c>
      <c r="C834" s="3" t="s">
        <v>6985</v>
      </c>
      <c r="D834" s="3" t="s">
        <v>6266</v>
      </c>
      <c r="E834" s="3">
        <v>833</v>
      </c>
      <c r="F834" s="3" t="s">
        <v>5616</v>
      </c>
      <c r="G834" s="3" t="s">
        <v>20</v>
      </c>
      <c r="H834" s="3" t="str">
        <f t="shared" si="8"/>
        <v>Output SC1 Not Rotated 1, from Structural Connector Server.</v>
      </c>
    </row>
    <row r="835" spans="1:8" x14ac:dyDescent="0.25">
      <c r="A835" s="3" t="s">
        <v>6983</v>
      </c>
      <c r="B835" s="3" t="s">
        <v>6991</v>
      </c>
      <c r="C835" s="3" t="s">
        <v>6985</v>
      </c>
      <c r="D835" s="3" t="s">
        <v>6266</v>
      </c>
      <c r="E835" s="3">
        <v>834</v>
      </c>
      <c r="F835" s="3" t="s">
        <v>5617</v>
      </c>
      <c r="G835" s="3" t="s">
        <v>20</v>
      </c>
      <c r="H835" s="3" t="str">
        <f t="shared" si="8"/>
        <v>Output SC1 Fully Rotated 1, from Structural Connector Server.</v>
      </c>
    </row>
    <row r="836" spans="1:8" x14ac:dyDescent="0.25">
      <c r="A836" s="3" t="s">
        <v>6983</v>
      </c>
      <c r="B836" s="3" t="s">
        <v>6991</v>
      </c>
      <c r="C836" s="3" t="s">
        <v>6985</v>
      </c>
      <c r="D836" s="3" t="s">
        <v>6266</v>
      </c>
      <c r="E836" s="3">
        <v>835</v>
      </c>
      <c r="F836" s="3" t="s">
        <v>5618</v>
      </c>
      <c r="G836" s="3" t="s">
        <v>20</v>
      </c>
      <c r="H836" s="3" t="str">
        <f t="shared" si="8"/>
        <v>Output SC1 Lock Wedge Extended, from Structural Connector Server.</v>
      </c>
    </row>
    <row r="837" spans="1:8" x14ac:dyDescent="0.25">
      <c r="A837" s="3" t="s">
        <v>6983</v>
      </c>
      <c r="B837" s="3" t="s">
        <v>6991</v>
      </c>
      <c r="C837" s="3" t="s">
        <v>6985</v>
      </c>
      <c r="D837" s="3" t="s">
        <v>6266</v>
      </c>
      <c r="E837" s="3">
        <v>836</v>
      </c>
      <c r="F837" s="3" t="s">
        <v>5619</v>
      </c>
      <c r="G837" s="3" t="s">
        <v>20</v>
      </c>
      <c r="H837" s="3" t="str">
        <f t="shared" si="8"/>
        <v>Output SC1 Lock Wedge Retracted 1, from Structural Connector Server.</v>
      </c>
    </row>
    <row r="838" spans="1:8" x14ac:dyDescent="0.25">
      <c r="A838" s="3" t="s">
        <v>6983</v>
      </c>
      <c r="B838" s="3" t="s">
        <v>6991</v>
      </c>
      <c r="C838" s="3" t="s">
        <v>6985</v>
      </c>
      <c r="D838" s="3" t="s">
        <v>6266</v>
      </c>
      <c r="E838" s="3">
        <v>837</v>
      </c>
      <c r="F838" s="3" t="s">
        <v>5620</v>
      </c>
      <c r="G838" s="3" t="s">
        <v>20</v>
      </c>
      <c r="H838" s="3" t="str">
        <f t="shared" si="8"/>
        <v>Output SC1 Main Jack Retracted, from Structural Connector Server.</v>
      </c>
    </row>
    <row r="839" spans="1:8" x14ac:dyDescent="0.25">
      <c r="A839" s="3" t="s">
        <v>6983</v>
      </c>
      <c r="B839" s="3" t="s">
        <v>6991</v>
      </c>
      <c r="C839" s="3" t="s">
        <v>6985</v>
      </c>
      <c r="D839" s="3" t="s">
        <v>6266</v>
      </c>
      <c r="E839" s="3">
        <v>838</v>
      </c>
      <c r="F839" s="3" t="s">
        <v>5621</v>
      </c>
      <c r="G839" s="3" t="s">
        <v>20</v>
      </c>
      <c r="H839" s="3" t="str">
        <f t="shared" si="8"/>
        <v>Output SC1 Not Rotated 2, from Structural Connector Server.</v>
      </c>
    </row>
    <row r="840" spans="1:8" x14ac:dyDescent="0.25">
      <c r="A840" s="3" t="s">
        <v>6983</v>
      </c>
      <c r="B840" s="3" t="s">
        <v>6991</v>
      </c>
      <c r="C840" s="3" t="s">
        <v>6985</v>
      </c>
      <c r="D840" s="3" t="s">
        <v>6266</v>
      </c>
      <c r="E840" s="3">
        <v>839</v>
      </c>
      <c r="F840" s="3" t="s">
        <v>5622</v>
      </c>
      <c r="G840" s="3" t="s">
        <v>20</v>
      </c>
      <c r="H840" s="3" t="str">
        <f t="shared" si="8"/>
        <v>Output SC1 Fully Rotated 2, from Structural Connector Server.</v>
      </c>
    </row>
    <row r="841" spans="1:8" x14ac:dyDescent="0.25">
      <c r="A841" s="3" t="s">
        <v>6983</v>
      </c>
      <c r="B841" s="3" t="s">
        <v>6991</v>
      </c>
      <c r="C841" s="3" t="s">
        <v>6985</v>
      </c>
      <c r="D841" s="3" t="s">
        <v>6266</v>
      </c>
      <c r="E841" s="3">
        <v>840</v>
      </c>
      <c r="F841" s="3" t="s">
        <v>5623</v>
      </c>
      <c r="G841" s="3" t="s">
        <v>20</v>
      </c>
      <c r="H841" s="3" t="str">
        <f t="shared" si="8"/>
        <v>Output SC1 Lock Wedge Retracted 2, from Structural Connector Server.</v>
      </c>
    </row>
    <row r="842" spans="1:8" x14ac:dyDescent="0.25">
      <c r="A842" s="3" t="s">
        <v>6983</v>
      </c>
      <c r="B842" s="3" t="s">
        <v>6991</v>
      </c>
      <c r="C842" s="3" t="s">
        <v>6985</v>
      </c>
      <c r="D842" s="3" t="s">
        <v>6266</v>
      </c>
      <c r="E842" s="3">
        <v>841</v>
      </c>
      <c r="F842" s="3" t="s">
        <v>5624</v>
      </c>
      <c r="G842" s="3" t="s">
        <v>20</v>
      </c>
      <c r="H842" s="3" t="str">
        <f t="shared" si="8"/>
        <v>Output SC2 Shear Pin Retracted, from Structural Connector Server.</v>
      </c>
    </row>
    <row r="843" spans="1:8" x14ac:dyDescent="0.25">
      <c r="A843" s="3" t="s">
        <v>6983</v>
      </c>
      <c r="B843" s="3" t="s">
        <v>6991</v>
      </c>
      <c r="C843" s="3" t="s">
        <v>6985</v>
      </c>
      <c r="D843" s="3" t="s">
        <v>6266</v>
      </c>
      <c r="E843" s="3">
        <v>842</v>
      </c>
      <c r="F843" s="3" t="s">
        <v>5625</v>
      </c>
      <c r="G843" s="3" t="s">
        <v>20</v>
      </c>
      <c r="H843" s="3" t="str">
        <f t="shared" si="8"/>
        <v>Output SC2 Shear Pin Jack Extend, from Structural Connector Server.</v>
      </c>
    </row>
    <row r="844" spans="1:8" x14ac:dyDescent="0.25">
      <c r="A844" s="3" t="s">
        <v>6983</v>
      </c>
      <c r="B844" s="3" t="s">
        <v>6991</v>
      </c>
      <c r="C844" s="3" t="s">
        <v>6985</v>
      </c>
      <c r="D844" s="3" t="s">
        <v>6266</v>
      </c>
      <c r="E844" s="3">
        <v>843</v>
      </c>
      <c r="F844" s="3" t="s">
        <v>5626</v>
      </c>
      <c r="G844" s="3" t="s">
        <v>20</v>
      </c>
      <c r="H844" s="3" t="str">
        <f t="shared" si="8"/>
        <v>Output SC2 Not Rotated 1, from Structural Connector Server.</v>
      </c>
    </row>
    <row r="845" spans="1:8" x14ac:dyDescent="0.25">
      <c r="A845" s="3" t="s">
        <v>6983</v>
      </c>
      <c r="B845" s="3" t="s">
        <v>6991</v>
      </c>
      <c r="C845" s="3" t="s">
        <v>6985</v>
      </c>
      <c r="D845" s="3" t="s">
        <v>6266</v>
      </c>
      <c r="E845" s="3">
        <v>844</v>
      </c>
      <c r="F845" s="3" t="s">
        <v>5627</v>
      </c>
      <c r="G845" s="3" t="s">
        <v>20</v>
      </c>
      <c r="H845" s="3" t="str">
        <f t="shared" si="8"/>
        <v>Output SC2 Fully Rotated 1, from Structural Connector Server.</v>
      </c>
    </row>
    <row r="846" spans="1:8" x14ac:dyDescent="0.25">
      <c r="A846" s="3" t="s">
        <v>6983</v>
      </c>
      <c r="B846" s="3" t="s">
        <v>6991</v>
      </c>
      <c r="C846" s="3" t="s">
        <v>6985</v>
      </c>
      <c r="D846" s="3" t="s">
        <v>6266</v>
      </c>
      <c r="E846" s="3">
        <v>845</v>
      </c>
      <c r="F846" s="3" t="s">
        <v>5628</v>
      </c>
      <c r="G846" s="3" t="s">
        <v>20</v>
      </c>
      <c r="H846" s="3" t="str">
        <f t="shared" si="8"/>
        <v>Output SC2 Lock Wedge Extended, from Structural Connector Server.</v>
      </c>
    </row>
    <row r="847" spans="1:8" x14ac:dyDescent="0.25">
      <c r="A847" s="3" t="s">
        <v>6983</v>
      </c>
      <c r="B847" s="3" t="s">
        <v>6991</v>
      </c>
      <c r="C847" s="3" t="s">
        <v>6985</v>
      </c>
      <c r="D847" s="3" t="s">
        <v>6266</v>
      </c>
      <c r="E847" s="3">
        <v>846</v>
      </c>
      <c r="F847" s="3" t="s">
        <v>5629</v>
      </c>
      <c r="G847" s="3" t="s">
        <v>20</v>
      </c>
      <c r="H847" s="3" t="str">
        <f t="shared" si="8"/>
        <v>Output SC2 Lock Wedge Retracted 1, from Structural Connector Server.</v>
      </c>
    </row>
    <row r="848" spans="1:8" x14ac:dyDescent="0.25">
      <c r="A848" s="3" t="s">
        <v>6983</v>
      </c>
      <c r="B848" s="3" t="s">
        <v>6991</v>
      </c>
      <c r="C848" s="3" t="s">
        <v>6985</v>
      </c>
      <c r="D848" s="3" t="s">
        <v>6266</v>
      </c>
      <c r="E848" s="3">
        <v>847</v>
      </c>
      <c r="F848" s="3" t="s">
        <v>5630</v>
      </c>
      <c r="G848" s="3" t="s">
        <v>20</v>
      </c>
      <c r="H848" s="3" t="str">
        <f t="shared" si="8"/>
        <v>Output SC2 Main Jack Retracted, from Structural Connector Server.</v>
      </c>
    </row>
    <row r="849" spans="1:8" x14ac:dyDescent="0.25">
      <c r="A849" s="3" t="s">
        <v>6983</v>
      </c>
      <c r="B849" s="3" t="s">
        <v>6991</v>
      </c>
      <c r="C849" s="3" t="s">
        <v>6985</v>
      </c>
      <c r="D849" s="3" t="s">
        <v>6266</v>
      </c>
      <c r="E849" s="3">
        <v>848</v>
      </c>
      <c r="F849" s="3" t="s">
        <v>5631</v>
      </c>
      <c r="G849" s="3" t="s">
        <v>20</v>
      </c>
      <c r="H849" s="3" t="str">
        <f t="shared" si="8"/>
        <v>Output SC2 Not Rotated 2, from Structural Connector Server.</v>
      </c>
    </row>
    <row r="850" spans="1:8" x14ac:dyDescent="0.25">
      <c r="A850" s="3" t="s">
        <v>6983</v>
      </c>
      <c r="B850" s="3" t="s">
        <v>6991</v>
      </c>
      <c r="C850" s="3" t="s">
        <v>6985</v>
      </c>
      <c r="D850" s="3" t="s">
        <v>6266</v>
      </c>
      <c r="E850" s="3">
        <v>849</v>
      </c>
      <c r="F850" s="3" t="s">
        <v>5632</v>
      </c>
      <c r="G850" s="3" t="s">
        <v>20</v>
      </c>
      <c r="H850" s="3" t="str">
        <f t="shared" si="8"/>
        <v>Output SC2 Fully Rotated 2, from Structural Connector Server.</v>
      </c>
    </row>
    <row r="851" spans="1:8" x14ac:dyDescent="0.25">
      <c r="A851" s="3" t="s">
        <v>6983</v>
      </c>
      <c r="B851" s="3" t="s">
        <v>6991</v>
      </c>
      <c r="C851" s="3" t="s">
        <v>6985</v>
      </c>
      <c r="D851" s="3" t="s">
        <v>6266</v>
      </c>
      <c r="E851" s="3">
        <v>850</v>
      </c>
      <c r="F851" s="3" t="s">
        <v>5633</v>
      </c>
      <c r="G851" s="3" t="s">
        <v>20</v>
      </c>
      <c r="H851" s="3" t="str">
        <f t="shared" si="8"/>
        <v>Output SC2 Lock Wedge Retracted 2, from Structural Connector Server.</v>
      </c>
    </row>
    <row r="852" spans="1:8" x14ac:dyDescent="0.25">
      <c r="A852" s="3" t="s">
        <v>6983</v>
      </c>
      <c r="B852" s="3" t="s">
        <v>6991</v>
      </c>
      <c r="C852" s="3" t="s">
        <v>6985</v>
      </c>
      <c r="D852" s="3" t="s">
        <v>6266</v>
      </c>
      <c r="E852" s="3">
        <v>851</v>
      </c>
      <c r="F852" s="3" t="s">
        <v>5634</v>
      </c>
      <c r="G852" s="3" t="s">
        <v>20</v>
      </c>
      <c r="H852" s="3" t="str">
        <f t="shared" si="8"/>
        <v>Output SC3 Shear Pin Retracted, from Structural Connector Server.</v>
      </c>
    </row>
    <row r="853" spans="1:8" x14ac:dyDescent="0.25">
      <c r="A853" s="3" t="s">
        <v>6983</v>
      </c>
      <c r="B853" s="3" t="s">
        <v>6991</v>
      </c>
      <c r="C853" s="3" t="s">
        <v>6985</v>
      </c>
      <c r="D853" s="3" t="s">
        <v>6266</v>
      </c>
      <c r="E853" s="3">
        <v>852</v>
      </c>
      <c r="F853" s="3" t="s">
        <v>5635</v>
      </c>
      <c r="G853" s="3" t="s">
        <v>20</v>
      </c>
      <c r="H853" s="3" t="str">
        <f t="shared" si="8"/>
        <v>Output SC3 Shear Pin Jack Extend, from Structural Connector Server.</v>
      </c>
    </row>
    <row r="854" spans="1:8" x14ac:dyDescent="0.25">
      <c r="A854" s="3" t="s">
        <v>6983</v>
      </c>
      <c r="B854" s="3" t="s">
        <v>6991</v>
      </c>
      <c r="C854" s="3" t="s">
        <v>6985</v>
      </c>
      <c r="D854" s="3" t="s">
        <v>6266</v>
      </c>
      <c r="E854" s="3">
        <v>853</v>
      </c>
      <c r="F854" s="3" t="s">
        <v>5636</v>
      </c>
      <c r="G854" s="3" t="s">
        <v>20</v>
      </c>
      <c r="H854" s="3" t="str">
        <f t="shared" si="8"/>
        <v>Output SC3 Not Rotated 1, from Structural Connector Server.</v>
      </c>
    </row>
    <row r="855" spans="1:8" x14ac:dyDescent="0.25">
      <c r="A855" s="3" t="s">
        <v>6983</v>
      </c>
      <c r="B855" s="3" t="s">
        <v>6991</v>
      </c>
      <c r="C855" s="3" t="s">
        <v>6985</v>
      </c>
      <c r="D855" s="3" t="s">
        <v>6266</v>
      </c>
      <c r="E855" s="3">
        <v>854</v>
      </c>
      <c r="F855" s="3" t="s">
        <v>5637</v>
      </c>
      <c r="G855" s="3" t="s">
        <v>20</v>
      </c>
      <c r="H855" s="3" t="str">
        <f t="shared" si="8"/>
        <v>Output SC3 Fully Rotated 1, from Structural Connector Server.</v>
      </c>
    </row>
    <row r="856" spans="1:8" x14ac:dyDescent="0.25">
      <c r="A856" s="3" t="s">
        <v>6983</v>
      </c>
      <c r="B856" s="3" t="s">
        <v>6991</v>
      </c>
      <c r="C856" s="3" t="s">
        <v>6985</v>
      </c>
      <c r="D856" s="3" t="s">
        <v>6266</v>
      </c>
      <c r="E856" s="3">
        <v>855</v>
      </c>
      <c r="F856" s="3" t="s">
        <v>5638</v>
      </c>
      <c r="G856" s="3" t="s">
        <v>20</v>
      </c>
      <c r="H856" s="3" t="str">
        <f t="shared" si="8"/>
        <v>Output SC3 Lock Wedge Extended, from Structural Connector Server.</v>
      </c>
    </row>
    <row r="857" spans="1:8" x14ac:dyDescent="0.25">
      <c r="A857" s="3" t="s">
        <v>6983</v>
      </c>
      <c r="B857" s="3" t="s">
        <v>6991</v>
      </c>
      <c r="C857" s="3" t="s">
        <v>6985</v>
      </c>
      <c r="D857" s="3" t="s">
        <v>6266</v>
      </c>
      <c r="E857" s="3">
        <v>856</v>
      </c>
      <c r="F857" s="3" t="s">
        <v>5639</v>
      </c>
      <c r="G857" s="3" t="s">
        <v>20</v>
      </c>
      <c r="H857" s="3" t="str">
        <f t="shared" si="8"/>
        <v>Output SC3 Lock Wedge Retracted 1, from Structural Connector Server.</v>
      </c>
    </row>
    <row r="858" spans="1:8" x14ac:dyDescent="0.25">
      <c r="A858" s="3" t="s">
        <v>6983</v>
      </c>
      <c r="B858" s="3" t="s">
        <v>6991</v>
      </c>
      <c r="C858" s="3" t="s">
        <v>6985</v>
      </c>
      <c r="D858" s="3" t="s">
        <v>6266</v>
      </c>
      <c r="E858" s="3">
        <v>857</v>
      </c>
      <c r="F858" s="3" t="s">
        <v>5640</v>
      </c>
      <c r="G858" s="3" t="s">
        <v>20</v>
      </c>
      <c r="H858" s="3" t="str">
        <f t="shared" si="8"/>
        <v>Output SC3 Main Jack Retracted, from Structural Connector Server.</v>
      </c>
    </row>
    <row r="859" spans="1:8" x14ac:dyDescent="0.25">
      <c r="A859" s="3" t="s">
        <v>6983</v>
      </c>
      <c r="B859" s="3" t="s">
        <v>6991</v>
      </c>
      <c r="C859" s="3" t="s">
        <v>6985</v>
      </c>
      <c r="D859" s="3" t="s">
        <v>6266</v>
      </c>
      <c r="E859" s="3">
        <v>858</v>
      </c>
      <c r="F859" s="3" t="s">
        <v>5641</v>
      </c>
      <c r="G859" s="3" t="s">
        <v>20</v>
      </c>
      <c r="H859" s="3" t="str">
        <f t="shared" si="8"/>
        <v>Output SC3 Not Rotated 2, from Structural Connector Server.</v>
      </c>
    </row>
    <row r="860" spans="1:8" x14ac:dyDescent="0.25">
      <c r="A860" s="3" t="s">
        <v>6983</v>
      </c>
      <c r="B860" s="3" t="s">
        <v>6991</v>
      </c>
      <c r="C860" s="3" t="s">
        <v>6985</v>
      </c>
      <c r="D860" s="3" t="s">
        <v>6266</v>
      </c>
      <c r="E860" s="3">
        <v>859</v>
      </c>
      <c r="F860" s="3" t="s">
        <v>5642</v>
      </c>
      <c r="G860" s="3" t="s">
        <v>20</v>
      </c>
      <c r="H860" s="3" t="str">
        <f t="shared" si="8"/>
        <v>Output SC3 Fully Rotated 2, from Structural Connector Server.</v>
      </c>
    </row>
    <row r="861" spans="1:8" x14ac:dyDescent="0.25">
      <c r="A861" s="3" t="s">
        <v>6983</v>
      </c>
      <c r="B861" s="3" t="s">
        <v>6991</v>
      </c>
      <c r="C861" s="3" t="s">
        <v>6985</v>
      </c>
      <c r="D861" s="3" t="s">
        <v>6266</v>
      </c>
      <c r="E861" s="3">
        <v>860</v>
      </c>
      <c r="F861" s="3" t="s">
        <v>5643</v>
      </c>
      <c r="G861" s="3" t="s">
        <v>20</v>
      </c>
      <c r="H861" s="3" t="str">
        <f t="shared" si="8"/>
        <v>Output SC3 Lock Wedge Retracted 2, from Structural Connector Server.</v>
      </c>
    </row>
    <row r="862" spans="1:8" x14ac:dyDescent="0.25">
      <c r="A862" s="3" t="s">
        <v>6983</v>
      </c>
      <c r="B862" s="3" t="s">
        <v>6991</v>
      </c>
      <c r="C862" s="3" t="s">
        <v>6985</v>
      </c>
      <c r="D862" s="3" t="s">
        <v>6266</v>
      </c>
      <c r="E862" s="3">
        <v>861</v>
      </c>
      <c r="F862" s="3" t="s">
        <v>5644</v>
      </c>
      <c r="G862" s="3" t="s">
        <v>20</v>
      </c>
      <c r="H862" s="3" t="str">
        <f t="shared" si="8"/>
        <v>Output SC4 Shear Pin Retracted, from Structural Connector Server.</v>
      </c>
    </row>
    <row r="863" spans="1:8" x14ac:dyDescent="0.25">
      <c r="A863" s="3" t="s">
        <v>6983</v>
      </c>
      <c r="B863" s="3" t="s">
        <v>6991</v>
      </c>
      <c r="C863" s="3" t="s">
        <v>6985</v>
      </c>
      <c r="D863" s="3" t="s">
        <v>6266</v>
      </c>
      <c r="E863" s="3">
        <v>862</v>
      </c>
      <c r="F863" s="3" t="s">
        <v>5645</v>
      </c>
      <c r="G863" s="3" t="s">
        <v>20</v>
      </c>
      <c r="H863" s="3" t="str">
        <f t="shared" si="8"/>
        <v>Output SC4 Shear Pin Jack Extend, from Structural Connector Server.</v>
      </c>
    </row>
    <row r="864" spans="1:8" x14ac:dyDescent="0.25">
      <c r="A864" s="3" t="s">
        <v>6983</v>
      </c>
      <c r="B864" s="3" t="s">
        <v>6991</v>
      </c>
      <c r="C864" s="3" t="s">
        <v>6985</v>
      </c>
      <c r="D864" s="3" t="s">
        <v>6266</v>
      </c>
      <c r="E864" s="3">
        <v>863</v>
      </c>
      <c r="F864" s="3" t="s">
        <v>5646</v>
      </c>
      <c r="G864" s="3" t="s">
        <v>20</v>
      </c>
      <c r="H864" s="3" t="str">
        <f t="shared" si="8"/>
        <v>Output SC4 Not Rotated 1, from Structural Connector Server.</v>
      </c>
    </row>
    <row r="865" spans="1:8" x14ac:dyDescent="0.25">
      <c r="A865" s="3" t="s">
        <v>6983</v>
      </c>
      <c r="B865" s="3" t="s">
        <v>6991</v>
      </c>
      <c r="C865" s="3" t="s">
        <v>6985</v>
      </c>
      <c r="D865" s="3" t="s">
        <v>6266</v>
      </c>
      <c r="E865" s="3">
        <v>864</v>
      </c>
      <c r="F865" s="3" t="s">
        <v>5647</v>
      </c>
      <c r="G865" s="3" t="s">
        <v>20</v>
      </c>
      <c r="H865" s="3" t="str">
        <f t="shared" si="8"/>
        <v>Output SC4 Fully Rotated 1, from Structural Connector Server.</v>
      </c>
    </row>
    <row r="866" spans="1:8" x14ac:dyDescent="0.25">
      <c r="A866" s="3" t="s">
        <v>6983</v>
      </c>
      <c r="B866" s="3" t="s">
        <v>6991</v>
      </c>
      <c r="C866" s="3" t="s">
        <v>6985</v>
      </c>
      <c r="D866" s="3" t="s">
        <v>6266</v>
      </c>
      <c r="E866" s="3">
        <v>865</v>
      </c>
      <c r="F866" s="3" t="s">
        <v>5648</v>
      </c>
      <c r="G866" s="3" t="s">
        <v>20</v>
      </c>
      <c r="H866" s="3" t="str">
        <f t="shared" si="8"/>
        <v>Output SC4 Lock Wedge Extended, from Structural Connector Server.</v>
      </c>
    </row>
    <row r="867" spans="1:8" x14ac:dyDescent="0.25">
      <c r="A867" s="3" t="s">
        <v>6983</v>
      </c>
      <c r="B867" s="3" t="s">
        <v>6991</v>
      </c>
      <c r="C867" s="3" t="s">
        <v>6985</v>
      </c>
      <c r="D867" s="3" t="s">
        <v>6266</v>
      </c>
      <c r="E867" s="3">
        <v>866</v>
      </c>
      <c r="F867" s="3" t="s">
        <v>5649</v>
      </c>
      <c r="G867" s="3" t="s">
        <v>20</v>
      </c>
      <c r="H867" s="3" t="str">
        <f t="shared" si="8"/>
        <v>Output SC4 Lock Wedge Retracted 1, from Structural Connector Server.</v>
      </c>
    </row>
    <row r="868" spans="1:8" x14ac:dyDescent="0.25">
      <c r="A868" s="3" t="s">
        <v>6983</v>
      </c>
      <c r="B868" s="3" t="s">
        <v>6991</v>
      </c>
      <c r="C868" s="3" t="s">
        <v>6985</v>
      </c>
      <c r="D868" s="3" t="s">
        <v>6266</v>
      </c>
      <c r="E868" s="3">
        <v>867</v>
      </c>
      <c r="F868" s="3" t="s">
        <v>5650</v>
      </c>
      <c r="G868" s="3" t="s">
        <v>20</v>
      </c>
      <c r="H868" s="3" t="str">
        <f t="shared" si="8"/>
        <v>Output SC4 Main Jack Retracted, from Structural Connector Server.</v>
      </c>
    </row>
    <row r="869" spans="1:8" x14ac:dyDescent="0.25">
      <c r="A869" s="3" t="s">
        <v>6983</v>
      </c>
      <c r="B869" s="3" t="s">
        <v>6991</v>
      </c>
      <c r="C869" s="3" t="s">
        <v>6985</v>
      </c>
      <c r="D869" s="3" t="s">
        <v>6266</v>
      </c>
      <c r="E869" s="3">
        <v>868</v>
      </c>
      <c r="F869" s="3" t="s">
        <v>5651</v>
      </c>
      <c r="G869" s="3" t="s">
        <v>20</v>
      </c>
      <c r="H869" s="3" t="str">
        <f t="shared" si="8"/>
        <v>Output SC4 Not Rotated 2, from Structural Connector Server.</v>
      </c>
    </row>
    <row r="870" spans="1:8" x14ac:dyDescent="0.25">
      <c r="A870" s="3" t="s">
        <v>6983</v>
      </c>
      <c r="B870" s="3" t="s">
        <v>6991</v>
      </c>
      <c r="C870" s="3" t="s">
        <v>6985</v>
      </c>
      <c r="D870" s="3" t="s">
        <v>6266</v>
      </c>
      <c r="E870" s="3">
        <v>869</v>
      </c>
      <c r="F870" s="3" t="s">
        <v>5652</v>
      </c>
      <c r="G870" s="3" t="s">
        <v>20</v>
      </c>
      <c r="H870" s="3" t="str">
        <f t="shared" si="8"/>
        <v>Output SC4 Fully Rotated 2, from Structural Connector Server.</v>
      </c>
    </row>
    <row r="871" spans="1:8" x14ac:dyDescent="0.25">
      <c r="A871" s="3" t="s">
        <v>6983</v>
      </c>
      <c r="B871" s="3" t="s">
        <v>6991</v>
      </c>
      <c r="C871" s="3" t="s">
        <v>6985</v>
      </c>
      <c r="D871" s="3" t="s">
        <v>6266</v>
      </c>
      <c r="E871" s="3">
        <v>870</v>
      </c>
      <c r="F871" s="3" t="s">
        <v>5653</v>
      </c>
      <c r="G871" s="3" t="s">
        <v>20</v>
      </c>
      <c r="H871" s="3" t="str">
        <f t="shared" si="8"/>
        <v>Output SC4 Lock Wedge Retracted 2, from Structural Connector Server.</v>
      </c>
    </row>
    <row r="872" spans="1:8" x14ac:dyDescent="0.25">
      <c r="A872" s="3" t="s">
        <v>6983</v>
      </c>
      <c r="B872" s="3" t="s">
        <v>6991</v>
      </c>
      <c r="C872" s="3" t="s">
        <v>6985</v>
      </c>
      <c r="D872" s="3" t="s">
        <v>6266</v>
      </c>
      <c r="E872" s="3">
        <v>871</v>
      </c>
      <c r="F872" s="3" t="s">
        <v>5654</v>
      </c>
      <c r="G872" s="3" t="s">
        <v>20</v>
      </c>
      <c r="H872" s="3" t="str">
        <f t="shared" si="8"/>
        <v>Output SC5 Shear Pin Retracted, from Structural Connector Server.</v>
      </c>
    </row>
    <row r="873" spans="1:8" x14ac:dyDescent="0.25">
      <c r="A873" s="3" t="s">
        <v>6983</v>
      </c>
      <c r="B873" s="3" t="s">
        <v>6991</v>
      </c>
      <c r="C873" s="3" t="s">
        <v>6985</v>
      </c>
      <c r="D873" s="3" t="s">
        <v>6266</v>
      </c>
      <c r="E873" s="3">
        <v>872</v>
      </c>
      <c r="F873" s="3" t="s">
        <v>5655</v>
      </c>
      <c r="G873" s="3" t="s">
        <v>20</v>
      </c>
      <c r="H873" s="3" t="str">
        <f t="shared" si="8"/>
        <v>Output SC5 Shear Pin Jack Extend, from Structural Connector Server.</v>
      </c>
    </row>
    <row r="874" spans="1:8" x14ac:dyDescent="0.25">
      <c r="A874" s="3" t="s">
        <v>6983</v>
      </c>
      <c r="B874" s="3" t="s">
        <v>6991</v>
      </c>
      <c r="C874" s="3" t="s">
        <v>6985</v>
      </c>
      <c r="D874" s="3" t="s">
        <v>6266</v>
      </c>
      <c r="E874" s="3">
        <v>873</v>
      </c>
      <c r="F874" s="3" t="s">
        <v>5656</v>
      </c>
      <c r="G874" s="3" t="s">
        <v>20</v>
      </c>
      <c r="H874" s="3" t="str">
        <f t="shared" si="8"/>
        <v>Output SC5 Not Rotated 1, from Structural Connector Server.</v>
      </c>
    </row>
    <row r="875" spans="1:8" x14ac:dyDescent="0.25">
      <c r="A875" s="3" t="s">
        <v>6983</v>
      </c>
      <c r="B875" s="3" t="s">
        <v>6991</v>
      </c>
      <c r="C875" s="3" t="s">
        <v>6985</v>
      </c>
      <c r="D875" s="3" t="s">
        <v>6266</v>
      </c>
      <c r="E875" s="3">
        <v>874</v>
      </c>
      <c r="F875" s="3" t="s">
        <v>5657</v>
      </c>
      <c r="G875" s="3" t="s">
        <v>20</v>
      </c>
      <c r="H875" s="3" t="str">
        <f t="shared" si="8"/>
        <v>Output SC5 Fully Rotated 1, from Structural Connector Server.</v>
      </c>
    </row>
    <row r="876" spans="1:8" x14ac:dyDescent="0.25">
      <c r="A876" s="3" t="s">
        <v>6983</v>
      </c>
      <c r="B876" s="3" t="s">
        <v>6991</v>
      </c>
      <c r="C876" s="3" t="s">
        <v>6985</v>
      </c>
      <c r="D876" s="3" t="s">
        <v>6266</v>
      </c>
      <c r="E876" s="3">
        <v>875</v>
      </c>
      <c r="F876" s="3" t="s">
        <v>5658</v>
      </c>
      <c r="G876" s="3" t="s">
        <v>20</v>
      </c>
      <c r="H876" s="3" t="str">
        <f t="shared" si="8"/>
        <v>Output SC5 Lock Wedge Extended, from Structural Connector Server.</v>
      </c>
    </row>
    <row r="877" spans="1:8" x14ac:dyDescent="0.25">
      <c r="A877" s="3" t="s">
        <v>6983</v>
      </c>
      <c r="B877" s="3" t="s">
        <v>6991</v>
      </c>
      <c r="C877" s="3" t="s">
        <v>6985</v>
      </c>
      <c r="D877" s="3" t="s">
        <v>6266</v>
      </c>
      <c r="E877" s="3">
        <v>876</v>
      </c>
      <c r="F877" s="3" t="s">
        <v>5659</v>
      </c>
      <c r="G877" s="3" t="s">
        <v>20</v>
      </c>
      <c r="H877" s="3" t="str">
        <f t="shared" si="8"/>
        <v>Output SC5 Lock Wedge Retracted 1, from Structural Connector Server.</v>
      </c>
    </row>
    <row r="878" spans="1:8" x14ac:dyDescent="0.25">
      <c r="A878" s="3" t="s">
        <v>6983</v>
      </c>
      <c r="B878" s="3" t="s">
        <v>6991</v>
      </c>
      <c r="C878" s="3" t="s">
        <v>6985</v>
      </c>
      <c r="D878" s="3" t="s">
        <v>6266</v>
      </c>
      <c r="E878" s="3">
        <v>877</v>
      </c>
      <c r="F878" s="3" t="s">
        <v>5660</v>
      </c>
      <c r="G878" s="3" t="s">
        <v>20</v>
      </c>
      <c r="H878" s="3" t="str">
        <f t="shared" si="8"/>
        <v>Output SC5 Main Jack Retracted, from Structural Connector Server.</v>
      </c>
    </row>
    <row r="879" spans="1:8" x14ac:dyDescent="0.25">
      <c r="A879" s="3" t="s">
        <v>6983</v>
      </c>
      <c r="B879" s="3" t="s">
        <v>6991</v>
      </c>
      <c r="C879" s="3" t="s">
        <v>6985</v>
      </c>
      <c r="D879" s="3" t="s">
        <v>6266</v>
      </c>
      <c r="E879" s="3">
        <v>878</v>
      </c>
      <c r="F879" s="3" t="s">
        <v>5661</v>
      </c>
      <c r="G879" s="3" t="s">
        <v>20</v>
      </c>
      <c r="H879" s="3" t="str">
        <f t="shared" si="8"/>
        <v>Output SC5 Not Rotated 2, from Structural Connector Server.</v>
      </c>
    </row>
    <row r="880" spans="1:8" x14ac:dyDescent="0.25">
      <c r="A880" s="3" t="s">
        <v>6983</v>
      </c>
      <c r="B880" s="3" t="s">
        <v>6991</v>
      </c>
      <c r="C880" s="3" t="s">
        <v>6985</v>
      </c>
      <c r="D880" s="3" t="s">
        <v>6266</v>
      </c>
      <c r="E880" s="3">
        <v>879</v>
      </c>
      <c r="F880" s="3" t="s">
        <v>5662</v>
      </c>
      <c r="G880" s="3" t="s">
        <v>20</v>
      </c>
      <c r="H880" s="3" t="str">
        <f t="shared" si="8"/>
        <v>Output SC5 Fully Rotated 2, from Structural Connector Server.</v>
      </c>
    </row>
    <row r="881" spans="1:8" x14ac:dyDescent="0.25">
      <c r="A881" s="3" t="s">
        <v>6983</v>
      </c>
      <c r="B881" s="3" t="s">
        <v>6991</v>
      </c>
      <c r="C881" s="3" t="s">
        <v>6985</v>
      </c>
      <c r="D881" s="3" t="s">
        <v>6266</v>
      </c>
      <c r="E881" s="3">
        <v>880</v>
      </c>
      <c r="F881" s="3" t="s">
        <v>5663</v>
      </c>
      <c r="G881" s="3" t="s">
        <v>20</v>
      </c>
      <c r="H881" s="3" t="str">
        <f t="shared" si="8"/>
        <v>Output SC5 Lock Wedge Retracted 2, from Structural Connector Server.</v>
      </c>
    </row>
    <row r="882" spans="1:8" x14ac:dyDescent="0.25">
      <c r="A882" s="3" t="s">
        <v>6983</v>
      </c>
      <c r="B882" s="3" t="s">
        <v>6991</v>
      </c>
      <c r="C882" s="3" t="s">
        <v>6985</v>
      </c>
      <c r="D882" s="3" t="s">
        <v>6266</v>
      </c>
      <c r="E882" s="3">
        <v>881</v>
      </c>
      <c r="F882" s="3" t="s">
        <v>5664</v>
      </c>
      <c r="G882" s="3" t="s">
        <v>20</v>
      </c>
      <c r="H882" s="3" t="str">
        <f t="shared" si="8"/>
        <v>Output SC6 Shear Pin Retracted, from Structural Connector Server.</v>
      </c>
    </row>
    <row r="883" spans="1:8" x14ac:dyDescent="0.25">
      <c r="A883" s="3" t="s">
        <v>6983</v>
      </c>
      <c r="B883" s="3" t="s">
        <v>6991</v>
      </c>
      <c r="C883" s="3" t="s">
        <v>6985</v>
      </c>
      <c r="D883" s="3" t="s">
        <v>6266</v>
      </c>
      <c r="E883" s="3">
        <v>882</v>
      </c>
      <c r="F883" s="3" t="s">
        <v>5665</v>
      </c>
      <c r="G883" s="3" t="s">
        <v>20</v>
      </c>
      <c r="H883" s="3" t="str">
        <f t="shared" si="8"/>
        <v>Output SC6 Shear Pin Jack Extend, from Structural Connector Server.</v>
      </c>
    </row>
    <row r="884" spans="1:8" x14ac:dyDescent="0.25">
      <c r="A884" s="3" t="s">
        <v>6983</v>
      </c>
      <c r="B884" s="3" t="s">
        <v>6991</v>
      </c>
      <c r="C884" s="3" t="s">
        <v>6985</v>
      </c>
      <c r="D884" s="3" t="s">
        <v>6266</v>
      </c>
      <c r="E884" s="3">
        <v>883</v>
      </c>
      <c r="F884" s="3" t="s">
        <v>5666</v>
      </c>
      <c r="G884" s="3" t="s">
        <v>20</v>
      </c>
      <c r="H884" s="3" t="str">
        <f t="shared" si="8"/>
        <v>Output SC6 Not Rotated 1, from Structural Connector Server.</v>
      </c>
    </row>
    <row r="885" spans="1:8" x14ac:dyDescent="0.25">
      <c r="A885" s="3" t="s">
        <v>6983</v>
      </c>
      <c r="B885" s="3" t="s">
        <v>6991</v>
      </c>
      <c r="C885" s="3" t="s">
        <v>6985</v>
      </c>
      <c r="D885" s="3" t="s">
        <v>6266</v>
      </c>
      <c r="E885" s="3">
        <v>884</v>
      </c>
      <c r="F885" s="3" t="s">
        <v>5667</v>
      </c>
      <c r="G885" s="3" t="s">
        <v>20</v>
      </c>
      <c r="H885" s="3" t="str">
        <f t="shared" si="8"/>
        <v>Output SC6 Fully Rotated 1, from Structural Connector Server.</v>
      </c>
    </row>
    <row r="886" spans="1:8" x14ac:dyDescent="0.25">
      <c r="A886" s="3" t="s">
        <v>6983</v>
      </c>
      <c r="B886" s="3" t="s">
        <v>6991</v>
      </c>
      <c r="C886" s="3" t="s">
        <v>6985</v>
      </c>
      <c r="D886" s="3" t="s">
        <v>6266</v>
      </c>
      <c r="E886" s="3">
        <v>885</v>
      </c>
      <c r="F886" s="3" t="s">
        <v>5668</v>
      </c>
      <c r="G886" s="3" t="s">
        <v>20</v>
      </c>
      <c r="H886" s="3" t="str">
        <f t="shared" si="8"/>
        <v>Output SC6 Lock Wedge Extended, from Structural Connector Server.</v>
      </c>
    </row>
    <row r="887" spans="1:8" x14ac:dyDescent="0.25">
      <c r="A887" s="3" t="s">
        <v>6983</v>
      </c>
      <c r="B887" s="3" t="s">
        <v>6991</v>
      </c>
      <c r="C887" s="3" t="s">
        <v>6985</v>
      </c>
      <c r="D887" s="3" t="s">
        <v>6266</v>
      </c>
      <c r="E887" s="3">
        <v>886</v>
      </c>
      <c r="F887" s="3" t="s">
        <v>5669</v>
      </c>
      <c r="G887" s="3" t="s">
        <v>20</v>
      </c>
      <c r="H887" s="3" t="str">
        <f t="shared" si="8"/>
        <v>Output SC6 Lock Wedge Retracted 1, from Structural Connector Server.</v>
      </c>
    </row>
    <row r="888" spans="1:8" x14ac:dyDescent="0.25">
      <c r="A888" s="3" t="s">
        <v>6983</v>
      </c>
      <c r="B888" s="3" t="s">
        <v>6991</v>
      </c>
      <c r="C888" s="3" t="s">
        <v>6985</v>
      </c>
      <c r="D888" s="3" t="s">
        <v>6266</v>
      </c>
      <c r="E888" s="3">
        <v>887</v>
      </c>
      <c r="F888" s="3" t="s">
        <v>5670</v>
      </c>
      <c r="G888" s="3" t="s">
        <v>20</v>
      </c>
      <c r="H888" s="3" t="str">
        <f t="shared" si="8"/>
        <v>Output SC6 Main Jack Retracted, from Structural Connector Server.</v>
      </c>
    </row>
    <row r="889" spans="1:8" x14ac:dyDescent="0.25">
      <c r="A889" s="3" t="s">
        <v>6983</v>
      </c>
      <c r="B889" s="3" t="s">
        <v>6991</v>
      </c>
      <c r="C889" s="3" t="s">
        <v>6985</v>
      </c>
      <c r="D889" s="3" t="s">
        <v>6266</v>
      </c>
      <c r="E889" s="3">
        <v>888</v>
      </c>
      <c r="F889" s="3" t="s">
        <v>5671</v>
      </c>
      <c r="G889" s="3" t="s">
        <v>20</v>
      </c>
      <c r="H889" s="3" t="str">
        <f t="shared" si="8"/>
        <v>Output SC6 Not Rotated 2, from Structural Connector Server.</v>
      </c>
    </row>
    <row r="890" spans="1:8" x14ac:dyDescent="0.25">
      <c r="A890" s="3" t="s">
        <v>6983</v>
      </c>
      <c r="B890" s="3" t="s">
        <v>6991</v>
      </c>
      <c r="C890" s="3" t="s">
        <v>6985</v>
      </c>
      <c r="D890" s="3" t="s">
        <v>6266</v>
      </c>
      <c r="E890" s="3">
        <v>889</v>
      </c>
      <c r="F890" s="3" t="s">
        <v>5672</v>
      </c>
      <c r="G890" s="3" t="s">
        <v>20</v>
      </c>
      <c r="H890" s="3" t="str">
        <f t="shared" si="8"/>
        <v>Output SC6 Fully Rotated 2, from Structural Connector Server.</v>
      </c>
    </row>
    <row r="891" spans="1:8" x14ac:dyDescent="0.25">
      <c r="A891" s="3" t="s">
        <v>6983</v>
      </c>
      <c r="B891" s="3" t="s">
        <v>6991</v>
      </c>
      <c r="C891" s="3" t="s">
        <v>6985</v>
      </c>
      <c r="D891" s="3" t="s">
        <v>6266</v>
      </c>
      <c r="E891" s="3">
        <v>890</v>
      </c>
      <c r="F891" s="3" t="s">
        <v>5673</v>
      </c>
      <c r="G891" s="3" t="s">
        <v>20</v>
      </c>
      <c r="H891" s="3" t="str">
        <f t="shared" si="8"/>
        <v>Output SC6 Lock Wedge Retracted 2, from Structural Connector Server.</v>
      </c>
    </row>
    <row r="892" spans="1:8" x14ac:dyDescent="0.25">
      <c r="A892" s="3" t="s">
        <v>6983</v>
      </c>
      <c r="B892" s="3" t="s">
        <v>6991</v>
      </c>
      <c r="C892" s="3" t="s">
        <v>6985</v>
      </c>
      <c r="D892" s="3" t="s">
        <v>6266</v>
      </c>
      <c r="E892" s="3">
        <v>891</v>
      </c>
      <c r="F892" s="3" t="s">
        <v>5674</v>
      </c>
      <c r="G892" s="3" t="s">
        <v>20</v>
      </c>
      <c r="H892" s="3" t="str">
        <f t="shared" ref="H892:H921" si="9">_xlfn.CONCAT("Output ",F892, ", from Structural Connector Server.")</f>
        <v>Output SC7 Shear Pin Retracted, from Structural Connector Server.</v>
      </c>
    </row>
    <row r="893" spans="1:8" x14ac:dyDescent="0.25">
      <c r="A893" s="3" t="s">
        <v>6983</v>
      </c>
      <c r="B893" s="3" t="s">
        <v>6991</v>
      </c>
      <c r="C893" s="3" t="s">
        <v>6985</v>
      </c>
      <c r="D893" s="3" t="s">
        <v>6266</v>
      </c>
      <c r="E893" s="3">
        <v>892</v>
      </c>
      <c r="F893" s="3" t="s">
        <v>5675</v>
      </c>
      <c r="G893" s="3" t="s">
        <v>20</v>
      </c>
      <c r="H893" s="3" t="str">
        <f t="shared" si="9"/>
        <v>Output SC7 Shear Pin Jack Extend, from Structural Connector Server.</v>
      </c>
    </row>
    <row r="894" spans="1:8" x14ac:dyDescent="0.25">
      <c r="A894" s="3" t="s">
        <v>6983</v>
      </c>
      <c r="B894" s="3" t="s">
        <v>6991</v>
      </c>
      <c r="C894" s="3" t="s">
        <v>6985</v>
      </c>
      <c r="D894" s="3" t="s">
        <v>6266</v>
      </c>
      <c r="E894" s="3">
        <v>893</v>
      </c>
      <c r="F894" s="3" t="s">
        <v>5676</v>
      </c>
      <c r="G894" s="3" t="s">
        <v>20</v>
      </c>
      <c r="H894" s="3" t="str">
        <f t="shared" si="9"/>
        <v>Output SC7 Not Rotated 1, from Structural Connector Server.</v>
      </c>
    </row>
    <row r="895" spans="1:8" x14ac:dyDescent="0.25">
      <c r="A895" s="3" t="s">
        <v>6983</v>
      </c>
      <c r="B895" s="3" t="s">
        <v>6991</v>
      </c>
      <c r="C895" s="3" t="s">
        <v>6985</v>
      </c>
      <c r="D895" s="3" t="s">
        <v>6266</v>
      </c>
      <c r="E895" s="3">
        <v>894</v>
      </c>
      <c r="F895" s="3" t="s">
        <v>5677</v>
      </c>
      <c r="G895" s="3" t="s">
        <v>20</v>
      </c>
      <c r="H895" s="3" t="str">
        <f t="shared" si="9"/>
        <v>Output SC7 Fully Rotated 1, from Structural Connector Server.</v>
      </c>
    </row>
    <row r="896" spans="1:8" x14ac:dyDescent="0.25">
      <c r="A896" s="3" t="s">
        <v>6983</v>
      </c>
      <c r="B896" s="3" t="s">
        <v>6991</v>
      </c>
      <c r="C896" s="3" t="s">
        <v>6985</v>
      </c>
      <c r="D896" s="3" t="s">
        <v>6266</v>
      </c>
      <c r="E896" s="3">
        <v>895</v>
      </c>
      <c r="F896" s="3" t="s">
        <v>5678</v>
      </c>
      <c r="G896" s="3" t="s">
        <v>20</v>
      </c>
      <c r="H896" s="3" t="str">
        <f t="shared" si="9"/>
        <v>Output SC7 Lock Wedge Extended, from Structural Connector Server.</v>
      </c>
    </row>
    <row r="897" spans="1:8" x14ac:dyDescent="0.25">
      <c r="A897" s="3" t="s">
        <v>6983</v>
      </c>
      <c r="B897" s="3" t="s">
        <v>6991</v>
      </c>
      <c r="C897" s="3" t="s">
        <v>6985</v>
      </c>
      <c r="D897" s="3" t="s">
        <v>6266</v>
      </c>
      <c r="E897" s="3">
        <v>896</v>
      </c>
      <c r="F897" s="3" t="s">
        <v>5679</v>
      </c>
      <c r="G897" s="3" t="s">
        <v>20</v>
      </c>
      <c r="H897" s="3" t="str">
        <f t="shared" si="9"/>
        <v>Output SC7 Lock Wedge Retracted 1, from Structural Connector Server.</v>
      </c>
    </row>
    <row r="898" spans="1:8" x14ac:dyDescent="0.25">
      <c r="A898" s="3" t="s">
        <v>6983</v>
      </c>
      <c r="B898" s="3" t="s">
        <v>6991</v>
      </c>
      <c r="C898" s="3" t="s">
        <v>6985</v>
      </c>
      <c r="D898" s="3" t="s">
        <v>6266</v>
      </c>
      <c r="E898" s="3">
        <v>897</v>
      </c>
      <c r="F898" s="3" t="s">
        <v>5680</v>
      </c>
      <c r="G898" s="3" t="s">
        <v>20</v>
      </c>
      <c r="H898" s="3" t="str">
        <f t="shared" si="9"/>
        <v>Output SC7 Main Jack Retracted, from Structural Connector Server.</v>
      </c>
    </row>
    <row r="899" spans="1:8" x14ac:dyDescent="0.25">
      <c r="A899" s="3" t="s">
        <v>6983</v>
      </c>
      <c r="B899" s="3" t="s">
        <v>6991</v>
      </c>
      <c r="C899" s="3" t="s">
        <v>6985</v>
      </c>
      <c r="D899" s="3" t="s">
        <v>6266</v>
      </c>
      <c r="E899" s="3">
        <v>898</v>
      </c>
      <c r="F899" s="3" t="s">
        <v>5681</v>
      </c>
      <c r="G899" s="3" t="s">
        <v>20</v>
      </c>
      <c r="H899" s="3" t="str">
        <f t="shared" si="9"/>
        <v>Output SC7 Not Rotated 2, from Structural Connector Server.</v>
      </c>
    </row>
    <row r="900" spans="1:8" x14ac:dyDescent="0.25">
      <c r="A900" s="3" t="s">
        <v>6983</v>
      </c>
      <c r="B900" s="3" t="s">
        <v>6991</v>
      </c>
      <c r="C900" s="3" t="s">
        <v>6985</v>
      </c>
      <c r="D900" s="3" t="s">
        <v>6266</v>
      </c>
      <c r="E900" s="3">
        <v>899</v>
      </c>
      <c r="F900" s="3" t="s">
        <v>5682</v>
      </c>
      <c r="G900" s="3" t="s">
        <v>20</v>
      </c>
      <c r="H900" s="3" t="str">
        <f t="shared" si="9"/>
        <v>Output SC7 Fully Rotated 2, from Structural Connector Server.</v>
      </c>
    </row>
    <row r="901" spans="1:8" x14ac:dyDescent="0.25">
      <c r="A901" s="3" t="s">
        <v>6983</v>
      </c>
      <c r="B901" s="3" t="s">
        <v>6991</v>
      </c>
      <c r="C901" s="3" t="s">
        <v>6985</v>
      </c>
      <c r="D901" s="3" t="s">
        <v>6266</v>
      </c>
      <c r="E901" s="3">
        <v>900</v>
      </c>
      <c r="F901" s="3" t="s">
        <v>5683</v>
      </c>
      <c r="G901" s="3" t="s">
        <v>20</v>
      </c>
      <c r="H901" s="3" t="str">
        <f t="shared" si="9"/>
        <v>Output SC7 Lock Wedge Retracted 2, from Structural Connector Server.</v>
      </c>
    </row>
    <row r="902" spans="1:8" x14ac:dyDescent="0.25">
      <c r="A902" s="3" t="s">
        <v>6983</v>
      </c>
      <c r="B902" s="3" t="s">
        <v>6991</v>
      </c>
      <c r="C902" s="3" t="s">
        <v>6985</v>
      </c>
      <c r="D902" s="3" t="s">
        <v>6266</v>
      </c>
      <c r="E902" s="3">
        <v>901</v>
      </c>
      <c r="F902" s="3" t="s">
        <v>5684</v>
      </c>
      <c r="G902" s="3" t="s">
        <v>20</v>
      </c>
      <c r="H902" s="3" t="str">
        <f t="shared" si="9"/>
        <v>Output SC8 Shear Pin Retracted, from Structural Connector Server.</v>
      </c>
    </row>
    <row r="903" spans="1:8" x14ac:dyDescent="0.25">
      <c r="A903" s="3" t="s">
        <v>6983</v>
      </c>
      <c r="B903" s="3" t="s">
        <v>6991</v>
      </c>
      <c r="C903" s="3" t="s">
        <v>6985</v>
      </c>
      <c r="D903" s="3" t="s">
        <v>6266</v>
      </c>
      <c r="E903" s="3">
        <v>902</v>
      </c>
      <c r="F903" s="3" t="s">
        <v>5685</v>
      </c>
      <c r="G903" s="3" t="s">
        <v>20</v>
      </c>
      <c r="H903" s="3" t="str">
        <f t="shared" si="9"/>
        <v>Output SC8 Shear Pin Jack Extend, from Structural Connector Server.</v>
      </c>
    </row>
    <row r="904" spans="1:8" x14ac:dyDescent="0.25">
      <c r="A904" s="3" t="s">
        <v>6983</v>
      </c>
      <c r="B904" s="3" t="s">
        <v>6991</v>
      </c>
      <c r="C904" s="3" t="s">
        <v>6985</v>
      </c>
      <c r="D904" s="3" t="s">
        <v>6266</v>
      </c>
      <c r="E904" s="3">
        <v>903</v>
      </c>
      <c r="F904" s="3" t="s">
        <v>5686</v>
      </c>
      <c r="G904" s="3" t="s">
        <v>20</v>
      </c>
      <c r="H904" s="3" t="str">
        <f t="shared" si="9"/>
        <v>Output SC8 Not Rotated 1, from Structural Connector Server.</v>
      </c>
    </row>
    <row r="905" spans="1:8" x14ac:dyDescent="0.25">
      <c r="A905" s="3" t="s">
        <v>6983</v>
      </c>
      <c r="B905" s="3" t="s">
        <v>6991</v>
      </c>
      <c r="C905" s="3" t="s">
        <v>6985</v>
      </c>
      <c r="D905" s="3" t="s">
        <v>6266</v>
      </c>
      <c r="E905" s="3">
        <v>904</v>
      </c>
      <c r="F905" s="3" t="s">
        <v>5687</v>
      </c>
      <c r="G905" s="3" t="s">
        <v>20</v>
      </c>
      <c r="H905" s="3" t="str">
        <f t="shared" si="9"/>
        <v>Output SC8 Fully Rotated 1, from Structural Connector Server.</v>
      </c>
    </row>
    <row r="906" spans="1:8" x14ac:dyDescent="0.25">
      <c r="A906" s="3" t="s">
        <v>6983</v>
      </c>
      <c r="B906" s="3" t="s">
        <v>6991</v>
      </c>
      <c r="C906" s="3" t="s">
        <v>6985</v>
      </c>
      <c r="D906" s="3" t="s">
        <v>6266</v>
      </c>
      <c r="E906" s="3">
        <v>905</v>
      </c>
      <c r="F906" s="3" t="s">
        <v>5688</v>
      </c>
      <c r="G906" s="3" t="s">
        <v>20</v>
      </c>
      <c r="H906" s="3" t="str">
        <f t="shared" si="9"/>
        <v>Output SC8 Lock Wedge Extended, from Structural Connector Server.</v>
      </c>
    </row>
    <row r="907" spans="1:8" x14ac:dyDescent="0.25">
      <c r="A907" s="3" t="s">
        <v>6983</v>
      </c>
      <c r="B907" s="3" t="s">
        <v>6991</v>
      </c>
      <c r="C907" s="3" t="s">
        <v>6985</v>
      </c>
      <c r="D907" s="3" t="s">
        <v>6266</v>
      </c>
      <c r="E907" s="3">
        <v>906</v>
      </c>
      <c r="F907" s="3" t="s">
        <v>5689</v>
      </c>
      <c r="G907" s="3" t="s">
        <v>20</v>
      </c>
      <c r="H907" s="3" t="str">
        <f t="shared" si="9"/>
        <v>Output SC8 Lock Wedge Retracted 1, from Structural Connector Server.</v>
      </c>
    </row>
    <row r="908" spans="1:8" x14ac:dyDescent="0.25">
      <c r="A908" s="3" t="s">
        <v>6983</v>
      </c>
      <c r="B908" s="3" t="s">
        <v>6991</v>
      </c>
      <c r="C908" s="3" t="s">
        <v>6985</v>
      </c>
      <c r="D908" s="3" t="s">
        <v>6266</v>
      </c>
      <c r="E908" s="3">
        <v>907</v>
      </c>
      <c r="F908" s="3" t="s">
        <v>5690</v>
      </c>
      <c r="G908" s="3" t="s">
        <v>20</v>
      </c>
      <c r="H908" s="3" t="str">
        <f t="shared" si="9"/>
        <v>Output SC8 Main Jack Retracted, from Structural Connector Server.</v>
      </c>
    </row>
    <row r="909" spans="1:8" x14ac:dyDescent="0.25">
      <c r="A909" s="3" t="s">
        <v>6983</v>
      </c>
      <c r="B909" s="3" t="s">
        <v>6991</v>
      </c>
      <c r="C909" s="3" t="s">
        <v>6985</v>
      </c>
      <c r="D909" s="3" t="s">
        <v>6266</v>
      </c>
      <c r="E909" s="3">
        <v>908</v>
      </c>
      <c r="F909" s="3" t="s">
        <v>5691</v>
      </c>
      <c r="G909" s="3" t="s">
        <v>20</v>
      </c>
      <c r="H909" s="3" t="str">
        <f t="shared" si="9"/>
        <v>Output SC8 Not Rotated 2, from Structural Connector Server.</v>
      </c>
    </row>
    <row r="910" spans="1:8" x14ac:dyDescent="0.25">
      <c r="A910" s="3" t="s">
        <v>6983</v>
      </c>
      <c r="B910" s="3" t="s">
        <v>6991</v>
      </c>
      <c r="C910" s="3" t="s">
        <v>6985</v>
      </c>
      <c r="D910" s="3" t="s">
        <v>6266</v>
      </c>
      <c r="E910" s="3">
        <v>909</v>
      </c>
      <c r="F910" s="3" t="s">
        <v>5692</v>
      </c>
      <c r="G910" s="3" t="s">
        <v>20</v>
      </c>
      <c r="H910" s="3" t="str">
        <f t="shared" si="9"/>
        <v>Output SC8 Fully Rotated 2, from Structural Connector Server.</v>
      </c>
    </row>
    <row r="911" spans="1:8" x14ac:dyDescent="0.25">
      <c r="A911" s="3" t="s">
        <v>6983</v>
      </c>
      <c r="B911" s="3" t="s">
        <v>6991</v>
      </c>
      <c r="C911" s="3" t="s">
        <v>6985</v>
      </c>
      <c r="D911" s="3" t="s">
        <v>6266</v>
      </c>
      <c r="E911" s="3">
        <v>910</v>
      </c>
      <c r="F911" s="3" t="s">
        <v>5693</v>
      </c>
      <c r="G911" s="3" t="s">
        <v>20</v>
      </c>
      <c r="H911" s="3" t="str">
        <f t="shared" si="9"/>
        <v>Output SC8 Lock Wedge Retracted 2, from Structural Connector Server.</v>
      </c>
    </row>
    <row r="912" spans="1:8" x14ac:dyDescent="0.25">
      <c r="A912" s="3" t="s">
        <v>6983</v>
      </c>
      <c r="B912" s="3" t="s">
        <v>6991</v>
      </c>
      <c r="C912" s="3" t="s">
        <v>6985</v>
      </c>
      <c r="D912" s="3" t="s">
        <v>6266</v>
      </c>
      <c r="E912" s="3">
        <v>911</v>
      </c>
      <c r="F912" s="3" t="s">
        <v>5694</v>
      </c>
      <c r="G912" s="3" t="s">
        <v>20</v>
      </c>
      <c r="H912" s="3" t="str">
        <f t="shared" si="9"/>
        <v>Output SC9 Shear Pin Retracted, from Structural Connector Server.</v>
      </c>
    </row>
    <row r="913" spans="1:8" x14ac:dyDescent="0.25">
      <c r="A913" s="3" t="s">
        <v>6983</v>
      </c>
      <c r="B913" s="3" t="s">
        <v>6991</v>
      </c>
      <c r="C913" s="3" t="s">
        <v>6985</v>
      </c>
      <c r="D913" s="3" t="s">
        <v>6266</v>
      </c>
      <c r="E913" s="3">
        <v>912</v>
      </c>
      <c r="F913" s="3" t="s">
        <v>5695</v>
      </c>
      <c r="G913" s="3" t="s">
        <v>20</v>
      </c>
      <c r="H913" s="3" t="str">
        <f t="shared" si="9"/>
        <v>Output SC9 Shear Pin Jack Extend, from Structural Connector Server.</v>
      </c>
    </row>
    <row r="914" spans="1:8" x14ac:dyDescent="0.25">
      <c r="A914" s="3" t="s">
        <v>6983</v>
      </c>
      <c r="B914" s="3" t="s">
        <v>6991</v>
      </c>
      <c r="C914" s="3" t="s">
        <v>6985</v>
      </c>
      <c r="D914" s="3" t="s">
        <v>6266</v>
      </c>
      <c r="E914" s="3">
        <v>913</v>
      </c>
      <c r="F914" s="3" t="s">
        <v>5696</v>
      </c>
      <c r="G914" s="3" t="s">
        <v>20</v>
      </c>
      <c r="H914" s="3" t="str">
        <f t="shared" si="9"/>
        <v>Output SC9 Not Rotated 1, from Structural Connector Server.</v>
      </c>
    </row>
    <row r="915" spans="1:8" x14ac:dyDescent="0.25">
      <c r="A915" s="3" t="s">
        <v>6983</v>
      </c>
      <c r="B915" s="3" t="s">
        <v>6991</v>
      </c>
      <c r="C915" s="3" t="s">
        <v>6985</v>
      </c>
      <c r="D915" s="3" t="s">
        <v>6266</v>
      </c>
      <c r="E915" s="3">
        <v>914</v>
      </c>
      <c r="F915" s="3" t="s">
        <v>5697</v>
      </c>
      <c r="G915" s="3" t="s">
        <v>20</v>
      </c>
      <c r="H915" s="3" t="str">
        <f t="shared" si="9"/>
        <v>Output SC9 Fully Rotated 1, from Structural Connector Server.</v>
      </c>
    </row>
    <row r="916" spans="1:8" x14ac:dyDescent="0.25">
      <c r="A916" s="3" t="s">
        <v>6983</v>
      </c>
      <c r="B916" s="3" t="s">
        <v>6991</v>
      </c>
      <c r="C916" s="3" t="s">
        <v>6985</v>
      </c>
      <c r="D916" s="3" t="s">
        <v>6266</v>
      </c>
      <c r="E916" s="3">
        <v>915</v>
      </c>
      <c r="F916" s="3" t="s">
        <v>5698</v>
      </c>
      <c r="G916" s="3" t="s">
        <v>20</v>
      </c>
      <c r="H916" s="3" t="str">
        <f t="shared" si="9"/>
        <v>Output SC9 Lock Wedge Extended, from Structural Connector Server.</v>
      </c>
    </row>
    <row r="917" spans="1:8" x14ac:dyDescent="0.25">
      <c r="A917" s="3" t="s">
        <v>6983</v>
      </c>
      <c r="B917" s="3" t="s">
        <v>6991</v>
      </c>
      <c r="C917" s="3" t="s">
        <v>6985</v>
      </c>
      <c r="D917" s="3" t="s">
        <v>6266</v>
      </c>
      <c r="E917" s="3">
        <v>916</v>
      </c>
      <c r="F917" s="3" t="s">
        <v>5699</v>
      </c>
      <c r="G917" s="3" t="s">
        <v>20</v>
      </c>
      <c r="H917" s="3" t="str">
        <f t="shared" si="9"/>
        <v>Output SC9 Lock Wedge Retracted 1, from Structural Connector Server.</v>
      </c>
    </row>
    <row r="918" spans="1:8" x14ac:dyDescent="0.25">
      <c r="A918" s="3" t="s">
        <v>6983</v>
      </c>
      <c r="B918" s="3" t="s">
        <v>6991</v>
      </c>
      <c r="C918" s="3" t="s">
        <v>6985</v>
      </c>
      <c r="D918" s="3" t="s">
        <v>6266</v>
      </c>
      <c r="E918" s="3">
        <v>917</v>
      </c>
      <c r="F918" s="3" t="s">
        <v>5700</v>
      </c>
      <c r="G918" s="3" t="s">
        <v>20</v>
      </c>
      <c r="H918" s="3" t="str">
        <f t="shared" si="9"/>
        <v>Output SC9 Main Jack Retracted, from Structural Connector Server.</v>
      </c>
    </row>
    <row r="919" spans="1:8" x14ac:dyDescent="0.25">
      <c r="A919" s="3" t="s">
        <v>6983</v>
      </c>
      <c r="B919" s="3" t="s">
        <v>6991</v>
      </c>
      <c r="C919" s="3" t="s">
        <v>6985</v>
      </c>
      <c r="D919" s="3" t="s">
        <v>6266</v>
      </c>
      <c r="E919" s="3">
        <v>918</v>
      </c>
      <c r="F919" s="3" t="s">
        <v>5701</v>
      </c>
      <c r="G919" s="3" t="s">
        <v>20</v>
      </c>
      <c r="H919" s="3" t="str">
        <f t="shared" si="9"/>
        <v>Output SC9 Not Rotated 2, from Structural Connector Server.</v>
      </c>
    </row>
    <row r="920" spans="1:8" x14ac:dyDescent="0.25">
      <c r="A920" s="3" t="s">
        <v>6983</v>
      </c>
      <c r="B920" s="3" t="s">
        <v>6991</v>
      </c>
      <c r="C920" s="3" t="s">
        <v>6985</v>
      </c>
      <c r="D920" s="3" t="s">
        <v>6266</v>
      </c>
      <c r="E920" s="3">
        <v>919</v>
      </c>
      <c r="F920" s="3" t="s">
        <v>5702</v>
      </c>
      <c r="G920" s="3" t="s">
        <v>20</v>
      </c>
      <c r="H920" s="3" t="str">
        <f t="shared" si="9"/>
        <v>Output SC9 Fully Rotated 2, from Structural Connector Server.</v>
      </c>
    </row>
    <row r="921" spans="1:8" x14ac:dyDescent="0.25">
      <c r="A921" s="3" t="s">
        <v>6983</v>
      </c>
      <c r="B921" s="3" t="s">
        <v>6991</v>
      </c>
      <c r="C921" s="3" t="s">
        <v>6985</v>
      </c>
      <c r="D921" s="3" t="s">
        <v>6266</v>
      </c>
      <c r="E921" s="3">
        <v>920</v>
      </c>
      <c r="F921" s="3" t="s">
        <v>5703</v>
      </c>
      <c r="G921" s="3" t="s">
        <v>20</v>
      </c>
      <c r="H921" s="3" t="str">
        <f t="shared" si="9"/>
        <v>Output SC9 Lock Wedge Retracted 2, from Structural Connector Server.</v>
      </c>
    </row>
    <row r="922" spans="1:8" x14ac:dyDescent="0.25">
      <c r="A922" s="3" t="s">
        <v>6983</v>
      </c>
      <c r="B922" s="3" t="s">
        <v>6991</v>
      </c>
      <c r="C922" s="3" t="s">
        <v>6985</v>
      </c>
      <c r="D922" s="3" t="s">
        <v>1138</v>
      </c>
      <c r="E922" s="3">
        <v>921</v>
      </c>
      <c r="F922" s="3" t="s">
        <v>5704</v>
      </c>
      <c r="G922" s="3" t="s">
        <v>16</v>
      </c>
      <c r="H922" s="3" t="s">
        <v>6938</v>
      </c>
    </row>
    <row r="923" spans="1:8" x14ac:dyDescent="0.25">
      <c r="A923" s="3" t="s">
        <v>6983</v>
      </c>
      <c r="B923" s="3" t="s">
        <v>6991</v>
      </c>
      <c r="C923" s="3" t="s">
        <v>6985</v>
      </c>
      <c r="D923" s="3" t="s">
        <v>1138</v>
      </c>
      <c r="E923" s="3">
        <v>922</v>
      </c>
      <c r="F923" s="3" t="s">
        <v>5705</v>
      </c>
      <c r="G923" s="3" t="s">
        <v>5995</v>
      </c>
      <c r="H923" s="3" t="s">
        <v>6939</v>
      </c>
    </row>
    <row r="924" spans="1:8" x14ac:dyDescent="0.25">
      <c r="A924" s="3" t="s">
        <v>6983</v>
      </c>
      <c r="B924" s="3" t="s">
        <v>6991</v>
      </c>
      <c r="C924" s="3" t="s">
        <v>6985</v>
      </c>
      <c r="D924" s="3" t="s">
        <v>1138</v>
      </c>
      <c r="E924" s="3">
        <v>923</v>
      </c>
      <c r="F924" s="3" t="s">
        <v>5706</v>
      </c>
      <c r="G924" s="3" t="s">
        <v>5996</v>
      </c>
      <c r="H924" s="3" t="s">
        <v>6939</v>
      </c>
    </row>
    <row r="925" spans="1:8" x14ac:dyDescent="0.25">
      <c r="A925" s="3" t="s">
        <v>6983</v>
      </c>
      <c r="B925" s="3" t="s">
        <v>6991</v>
      </c>
      <c r="C925" s="3" t="s">
        <v>6985</v>
      </c>
      <c r="D925" s="3" t="s">
        <v>1138</v>
      </c>
      <c r="E925" s="3">
        <v>924</v>
      </c>
      <c r="F925" s="3" t="s">
        <v>5707</v>
      </c>
      <c r="G925" s="3" t="s">
        <v>5997</v>
      </c>
      <c r="H925" s="3" t="s">
        <v>6939</v>
      </c>
    </row>
    <row r="926" spans="1:8" x14ac:dyDescent="0.25">
      <c r="A926" s="3" t="s">
        <v>6983</v>
      </c>
      <c r="B926" s="3" t="s">
        <v>6991</v>
      </c>
      <c r="C926" s="3" t="s">
        <v>6985</v>
      </c>
      <c r="D926" s="3" t="s">
        <v>1138</v>
      </c>
      <c r="E926" s="3">
        <v>925</v>
      </c>
      <c r="F926" s="3" t="s">
        <v>5708</v>
      </c>
      <c r="G926" s="3" t="s">
        <v>16</v>
      </c>
      <c r="H926" s="3" t="s">
        <v>6939</v>
      </c>
    </row>
    <row r="927" spans="1:8" x14ac:dyDescent="0.25">
      <c r="A927" s="3" t="s">
        <v>6983</v>
      </c>
      <c r="B927" s="3" t="s">
        <v>6991</v>
      </c>
      <c r="C927" s="3" t="s">
        <v>6985</v>
      </c>
      <c r="D927" s="3" t="s">
        <v>1138</v>
      </c>
      <c r="E927" s="3">
        <v>926</v>
      </c>
      <c r="F927" s="3" t="s">
        <v>5709</v>
      </c>
      <c r="G927" s="3" t="s">
        <v>16</v>
      </c>
      <c r="H927" s="3" t="s">
        <v>6939</v>
      </c>
    </row>
    <row r="928" spans="1:8" x14ac:dyDescent="0.25">
      <c r="A928" s="3" t="s">
        <v>6983</v>
      </c>
      <c r="B928" s="3" t="s">
        <v>6991</v>
      </c>
      <c r="C928" s="3" t="s">
        <v>6985</v>
      </c>
      <c r="D928" s="3" t="s">
        <v>1138</v>
      </c>
      <c r="E928" s="3">
        <v>927</v>
      </c>
      <c r="F928" s="3" t="s">
        <v>5710</v>
      </c>
      <c r="G928" s="3" t="s">
        <v>4</v>
      </c>
      <c r="H928" s="3" t="s">
        <v>6939</v>
      </c>
    </row>
    <row r="929" spans="1:8" x14ac:dyDescent="0.25">
      <c r="A929" s="3" t="s">
        <v>6983</v>
      </c>
      <c r="B929" s="3" t="s">
        <v>6991</v>
      </c>
      <c r="C929" s="3" t="s">
        <v>6985</v>
      </c>
      <c r="D929" s="3" t="s">
        <v>1138</v>
      </c>
      <c r="E929" s="3">
        <v>928</v>
      </c>
      <c r="F929" s="3" t="s">
        <v>5711</v>
      </c>
      <c r="G929" s="3" t="s">
        <v>5995</v>
      </c>
      <c r="H929" s="3" t="s">
        <v>6939</v>
      </c>
    </row>
    <row r="930" spans="1:8" x14ac:dyDescent="0.25">
      <c r="A930" s="3" t="s">
        <v>6983</v>
      </c>
      <c r="B930" s="3" t="s">
        <v>6991</v>
      </c>
      <c r="C930" s="3" t="s">
        <v>6985</v>
      </c>
      <c r="D930" s="3" t="s">
        <v>1138</v>
      </c>
      <c r="E930" s="3">
        <v>929</v>
      </c>
      <c r="F930" s="3" t="s">
        <v>5712</v>
      </c>
      <c r="G930" s="3" t="s">
        <v>5996</v>
      </c>
      <c r="H930" s="3" t="s">
        <v>6939</v>
      </c>
    </row>
    <row r="931" spans="1:8" x14ac:dyDescent="0.25">
      <c r="A931" s="3" t="s">
        <v>6983</v>
      </c>
      <c r="B931" s="3" t="s">
        <v>6991</v>
      </c>
      <c r="C931" s="3" t="s">
        <v>6985</v>
      </c>
      <c r="D931" s="3" t="s">
        <v>1138</v>
      </c>
      <c r="E931" s="3">
        <v>930</v>
      </c>
      <c r="F931" s="3" t="s">
        <v>5713</v>
      </c>
      <c r="G931" s="3" t="s">
        <v>5997</v>
      </c>
      <c r="H931" s="3" t="s">
        <v>6939</v>
      </c>
    </row>
    <row r="932" spans="1:8" x14ac:dyDescent="0.25">
      <c r="A932" s="3" t="s">
        <v>6983</v>
      </c>
      <c r="B932" s="3" t="s">
        <v>6991</v>
      </c>
      <c r="C932" s="3" t="s">
        <v>6985</v>
      </c>
      <c r="D932" s="3" t="s">
        <v>1138</v>
      </c>
      <c r="E932" s="3">
        <v>931</v>
      </c>
      <c r="F932" s="3" t="s">
        <v>5714</v>
      </c>
      <c r="G932" s="3" t="s">
        <v>8</v>
      </c>
      <c r="H932" s="3" t="s">
        <v>6939</v>
      </c>
    </row>
    <row r="933" spans="1:8" x14ac:dyDescent="0.25">
      <c r="A933" s="3" t="s">
        <v>6983</v>
      </c>
      <c r="B933" s="3" t="s">
        <v>6991</v>
      </c>
      <c r="C933" s="3" t="s">
        <v>6985</v>
      </c>
      <c r="D933" s="3" t="s">
        <v>1138</v>
      </c>
      <c r="E933" s="3">
        <v>932</v>
      </c>
      <c r="F933" s="3" t="s">
        <v>5715</v>
      </c>
      <c r="G933" s="3" t="s">
        <v>16</v>
      </c>
      <c r="H933" s="3" t="s">
        <v>6939</v>
      </c>
    </row>
    <row r="934" spans="1:8" x14ac:dyDescent="0.25">
      <c r="A934" s="3" t="s">
        <v>6983</v>
      </c>
      <c r="B934" s="3" t="s">
        <v>6991</v>
      </c>
      <c r="C934" s="3" t="s">
        <v>6985</v>
      </c>
      <c r="D934" s="3" t="s">
        <v>1138</v>
      </c>
      <c r="E934" s="3">
        <v>933</v>
      </c>
      <c r="F934" s="3" t="s">
        <v>5716</v>
      </c>
      <c r="G934" s="3" t="s">
        <v>5995</v>
      </c>
      <c r="H934" s="3" t="s">
        <v>6939</v>
      </c>
    </row>
    <row r="935" spans="1:8" x14ac:dyDescent="0.25">
      <c r="A935" s="3" t="s">
        <v>6983</v>
      </c>
      <c r="B935" s="3" t="s">
        <v>6991</v>
      </c>
      <c r="C935" s="3" t="s">
        <v>6985</v>
      </c>
      <c r="D935" s="3" t="s">
        <v>1138</v>
      </c>
      <c r="E935" s="3">
        <v>934</v>
      </c>
      <c r="F935" s="3" t="s">
        <v>5717</v>
      </c>
      <c r="G935" s="3" t="s">
        <v>5996</v>
      </c>
      <c r="H935" s="3" t="s">
        <v>6939</v>
      </c>
    </row>
    <row r="936" spans="1:8" x14ac:dyDescent="0.25">
      <c r="A936" s="3" t="s">
        <v>6983</v>
      </c>
      <c r="B936" s="3" t="s">
        <v>6991</v>
      </c>
      <c r="C936" s="3" t="s">
        <v>6985</v>
      </c>
      <c r="D936" s="3" t="s">
        <v>1138</v>
      </c>
      <c r="E936" s="3">
        <v>935</v>
      </c>
      <c r="F936" s="3" t="s">
        <v>5718</v>
      </c>
      <c r="G936" s="3" t="s">
        <v>5997</v>
      </c>
      <c r="H936" s="3" t="s">
        <v>6939</v>
      </c>
    </row>
    <row r="937" spans="1:8" x14ac:dyDescent="0.25">
      <c r="A937" s="3" t="s">
        <v>6983</v>
      </c>
      <c r="B937" s="3" t="s">
        <v>6991</v>
      </c>
      <c r="C937" s="3" t="s">
        <v>6985</v>
      </c>
      <c r="D937" s="3" t="s">
        <v>1138</v>
      </c>
      <c r="E937" s="3">
        <v>936</v>
      </c>
      <c r="F937" s="3" t="s">
        <v>5719</v>
      </c>
      <c r="G937" s="3" t="s">
        <v>5995</v>
      </c>
      <c r="H937" s="3" t="s">
        <v>6939</v>
      </c>
    </row>
    <row r="938" spans="1:8" x14ac:dyDescent="0.25">
      <c r="A938" s="3" t="s">
        <v>6983</v>
      </c>
      <c r="B938" s="3" t="s">
        <v>6991</v>
      </c>
      <c r="C938" s="3" t="s">
        <v>6985</v>
      </c>
      <c r="D938" s="3" t="s">
        <v>1138</v>
      </c>
      <c r="E938" s="3">
        <v>937</v>
      </c>
      <c r="F938" s="3" t="s">
        <v>5720</v>
      </c>
      <c r="G938" s="3" t="s">
        <v>5996</v>
      </c>
      <c r="H938" s="3" t="s">
        <v>6939</v>
      </c>
    </row>
    <row r="939" spans="1:8" x14ac:dyDescent="0.25">
      <c r="A939" s="3" t="s">
        <v>6983</v>
      </c>
      <c r="B939" s="3" t="s">
        <v>6991</v>
      </c>
      <c r="C939" s="3" t="s">
        <v>6985</v>
      </c>
      <c r="D939" s="3" t="s">
        <v>1138</v>
      </c>
      <c r="E939" s="3">
        <v>938</v>
      </c>
      <c r="F939" s="3" t="s">
        <v>5721</v>
      </c>
      <c r="G939" s="3" t="s">
        <v>5997</v>
      </c>
      <c r="H939" s="3" t="s">
        <v>6939</v>
      </c>
    </row>
    <row r="940" spans="1:8" x14ac:dyDescent="0.25">
      <c r="A940" s="3" t="s">
        <v>6983</v>
      </c>
      <c r="B940" s="3" t="s">
        <v>6991</v>
      </c>
      <c r="C940" s="3" t="s">
        <v>6985</v>
      </c>
      <c r="D940" s="3" t="s">
        <v>1138</v>
      </c>
      <c r="E940" s="3">
        <v>939</v>
      </c>
      <c r="F940" s="3" t="s">
        <v>5722</v>
      </c>
      <c r="G940" s="3" t="s">
        <v>16</v>
      </c>
      <c r="H940" s="3" t="s">
        <v>6939</v>
      </c>
    </row>
    <row r="941" spans="1:8" x14ac:dyDescent="0.25">
      <c r="A941" s="3" t="s">
        <v>6983</v>
      </c>
      <c r="B941" s="3" t="s">
        <v>6991</v>
      </c>
      <c r="C941" s="3" t="s">
        <v>6985</v>
      </c>
      <c r="D941" s="3" t="s">
        <v>1138</v>
      </c>
      <c r="E941" s="3">
        <v>940</v>
      </c>
      <c r="F941" s="3" t="s">
        <v>5723</v>
      </c>
      <c r="G941" s="3" t="s">
        <v>16</v>
      </c>
      <c r="H941" s="3" t="s">
        <v>6939</v>
      </c>
    </row>
    <row r="942" spans="1:8" x14ac:dyDescent="0.25">
      <c r="A942" s="3" t="s">
        <v>6983</v>
      </c>
      <c r="B942" s="3" t="s">
        <v>6991</v>
      </c>
      <c r="C942" s="3" t="s">
        <v>6985</v>
      </c>
      <c r="D942" s="3" t="s">
        <v>1138</v>
      </c>
      <c r="E942" s="3">
        <v>941</v>
      </c>
      <c r="F942" s="3" t="s">
        <v>5724</v>
      </c>
      <c r="G942" s="3" t="s">
        <v>4</v>
      </c>
      <c r="H942" s="3" t="s">
        <v>6939</v>
      </c>
    </row>
    <row r="943" spans="1:8" x14ac:dyDescent="0.25">
      <c r="A943" s="3" t="s">
        <v>6983</v>
      </c>
      <c r="B943" s="3" t="s">
        <v>6991</v>
      </c>
      <c r="C943" s="3" t="s">
        <v>6985</v>
      </c>
      <c r="D943" s="3" t="s">
        <v>1138</v>
      </c>
      <c r="E943" s="3">
        <v>942</v>
      </c>
      <c r="F943" s="3" t="s">
        <v>5725</v>
      </c>
      <c r="G943" s="3" t="s">
        <v>8</v>
      </c>
      <c r="H943" s="3" t="s">
        <v>6939</v>
      </c>
    </row>
    <row r="944" spans="1:8" x14ac:dyDescent="0.25">
      <c r="A944" s="3" t="s">
        <v>6983</v>
      </c>
      <c r="B944" s="3" t="s">
        <v>6991</v>
      </c>
      <c r="C944" s="3" t="s">
        <v>6985</v>
      </c>
      <c r="D944" s="3" t="s">
        <v>6267</v>
      </c>
      <c r="E944" s="3">
        <v>943</v>
      </c>
      <c r="F944" s="3" t="s">
        <v>5726</v>
      </c>
      <c r="G944" s="3" t="s">
        <v>9</v>
      </c>
      <c r="H944" s="4" t="s">
        <v>6940</v>
      </c>
    </row>
    <row r="945" spans="1:9" x14ac:dyDescent="0.25">
      <c r="A945" s="3" t="s">
        <v>6983</v>
      </c>
      <c r="B945" s="3" t="s">
        <v>6991</v>
      </c>
      <c r="C945" s="3" t="s">
        <v>6985</v>
      </c>
      <c r="D945" s="3" t="s">
        <v>6267</v>
      </c>
      <c r="E945" s="3">
        <v>944</v>
      </c>
      <c r="F945" s="3" t="s">
        <v>5727</v>
      </c>
      <c r="G945" s="3" t="s">
        <v>1104</v>
      </c>
      <c r="H945" s="3" t="s">
        <v>6941</v>
      </c>
    </row>
    <row r="946" spans="1:9" x14ac:dyDescent="0.25">
      <c r="A946" s="3" t="s">
        <v>6983</v>
      </c>
      <c r="B946" s="3" t="s">
        <v>6991</v>
      </c>
      <c r="C946" s="3" t="s">
        <v>6985</v>
      </c>
      <c r="D946" s="3" t="s">
        <v>6269</v>
      </c>
      <c r="E946" s="3">
        <v>945</v>
      </c>
      <c r="F946" s="3" t="s">
        <v>5728</v>
      </c>
      <c r="G946" s="3" t="s">
        <v>7</v>
      </c>
      <c r="H946" s="3" t="s">
        <v>6532</v>
      </c>
      <c r="I946" s="3" t="s">
        <v>6529</v>
      </c>
    </row>
    <row r="947" spans="1:9" x14ac:dyDescent="0.25">
      <c r="A947" s="3" t="s">
        <v>6983</v>
      </c>
      <c r="B947" s="3" t="s">
        <v>6991</v>
      </c>
      <c r="C947" s="3" t="s">
        <v>6985</v>
      </c>
      <c r="D947" s="3" t="s">
        <v>6269</v>
      </c>
      <c r="E947" s="3">
        <v>946</v>
      </c>
      <c r="F947" s="3" t="s">
        <v>5729</v>
      </c>
      <c r="G947" s="3" t="s">
        <v>7</v>
      </c>
      <c r="H947" s="3" t="s">
        <v>6533</v>
      </c>
      <c r="I947" s="3" t="s">
        <v>6529</v>
      </c>
    </row>
    <row r="948" spans="1:9" x14ac:dyDescent="0.25">
      <c r="A948" s="3" t="s">
        <v>6983</v>
      </c>
      <c r="B948" s="3" t="s">
        <v>6991</v>
      </c>
      <c r="C948" s="3" t="s">
        <v>6985</v>
      </c>
      <c r="D948" s="3" t="s">
        <v>6269</v>
      </c>
      <c r="E948" s="3">
        <v>947</v>
      </c>
      <c r="F948" s="3" t="s">
        <v>5730</v>
      </c>
      <c r="G948" s="3" t="s">
        <v>7</v>
      </c>
      <c r="H948" s="3" t="s">
        <v>6534</v>
      </c>
      <c r="I948" s="3" t="s">
        <v>6529</v>
      </c>
    </row>
    <row r="949" spans="1:9" x14ac:dyDescent="0.25">
      <c r="A949" s="3" t="s">
        <v>6983</v>
      </c>
      <c r="B949" s="3" t="s">
        <v>6991</v>
      </c>
      <c r="C949" s="3" t="s">
        <v>6985</v>
      </c>
      <c r="D949" s="3" t="s">
        <v>6269</v>
      </c>
      <c r="E949" s="3">
        <v>948</v>
      </c>
      <c r="F949" s="3" t="s">
        <v>5731</v>
      </c>
      <c r="G949" s="3" t="s">
        <v>7</v>
      </c>
      <c r="H949" s="3" t="s">
        <v>6412</v>
      </c>
      <c r="I949" s="3" t="s">
        <v>6529</v>
      </c>
    </row>
    <row r="950" spans="1:9" x14ac:dyDescent="0.25">
      <c r="A950" s="3" t="s">
        <v>6983</v>
      </c>
      <c r="B950" s="3" t="s">
        <v>6991</v>
      </c>
      <c r="C950" s="3" t="s">
        <v>6985</v>
      </c>
      <c r="D950" s="3" t="s">
        <v>6269</v>
      </c>
      <c r="E950" s="3">
        <v>949</v>
      </c>
      <c r="F950" s="3" t="s">
        <v>5732</v>
      </c>
      <c r="G950" s="3" t="s">
        <v>7</v>
      </c>
      <c r="H950" s="3" t="s">
        <v>6413</v>
      </c>
      <c r="I950" s="3" t="s">
        <v>6529</v>
      </c>
    </row>
    <row r="951" spans="1:9" x14ac:dyDescent="0.25">
      <c r="A951" s="3" t="s">
        <v>6983</v>
      </c>
      <c r="B951" s="3" t="s">
        <v>6991</v>
      </c>
      <c r="C951" s="3" t="s">
        <v>6985</v>
      </c>
      <c r="D951" s="3" t="s">
        <v>6269</v>
      </c>
      <c r="E951" s="3">
        <v>950</v>
      </c>
      <c r="F951" s="3" t="s">
        <v>5733</v>
      </c>
      <c r="G951" s="3" t="s">
        <v>7</v>
      </c>
      <c r="H951" s="3" t="s">
        <v>6414</v>
      </c>
      <c r="I951" s="3" t="s">
        <v>6529</v>
      </c>
    </row>
    <row r="952" spans="1:9" x14ac:dyDescent="0.25">
      <c r="A952" s="3" t="s">
        <v>6983</v>
      </c>
      <c r="B952" s="3" t="s">
        <v>6991</v>
      </c>
      <c r="C952" s="3" t="s">
        <v>6985</v>
      </c>
      <c r="D952" s="3" t="s">
        <v>6269</v>
      </c>
      <c r="E952" s="3">
        <v>951</v>
      </c>
      <c r="F952" s="4" t="s">
        <v>5734</v>
      </c>
      <c r="G952" s="3" t="s">
        <v>7</v>
      </c>
      <c r="H952" s="3" t="s">
        <v>7091</v>
      </c>
      <c r="I952" s="3" t="s">
        <v>6529</v>
      </c>
    </row>
    <row r="953" spans="1:9" x14ac:dyDescent="0.25">
      <c r="A953" s="3" t="s">
        <v>6983</v>
      </c>
      <c r="B953" s="3" t="s">
        <v>6991</v>
      </c>
      <c r="C953" s="3" t="s">
        <v>6985</v>
      </c>
      <c r="D953" s="3" t="s">
        <v>6269</v>
      </c>
      <c r="E953" s="3">
        <v>952</v>
      </c>
      <c r="F953" s="3" t="s">
        <v>53</v>
      </c>
      <c r="G953" s="3" t="s">
        <v>4</v>
      </c>
      <c r="H953" s="3" t="s">
        <v>6535</v>
      </c>
      <c r="I953" s="3" t="s">
        <v>6529</v>
      </c>
    </row>
    <row r="954" spans="1:9" x14ac:dyDescent="0.25">
      <c r="A954" s="3" t="s">
        <v>6983</v>
      </c>
      <c r="B954" s="3" t="s">
        <v>6991</v>
      </c>
      <c r="C954" s="3" t="s">
        <v>6985</v>
      </c>
      <c r="D954" s="3" t="s">
        <v>6269</v>
      </c>
      <c r="E954" s="3">
        <v>953</v>
      </c>
      <c r="F954" s="3" t="s">
        <v>54</v>
      </c>
      <c r="G954" s="3" t="s">
        <v>4</v>
      </c>
      <c r="H954" s="3" t="s">
        <v>6536</v>
      </c>
      <c r="I954" s="3" t="s">
        <v>6529</v>
      </c>
    </row>
    <row r="955" spans="1:9" x14ac:dyDescent="0.25">
      <c r="A955" s="3" t="s">
        <v>6983</v>
      </c>
      <c r="B955" s="3" t="s">
        <v>6991</v>
      </c>
      <c r="C955" s="3" t="s">
        <v>6985</v>
      </c>
      <c r="D955" s="3" t="s">
        <v>6269</v>
      </c>
      <c r="E955" s="3">
        <v>954</v>
      </c>
      <c r="F955" s="3" t="s">
        <v>5735</v>
      </c>
      <c r="G955" s="3" t="s">
        <v>4</v>
      </c>
      <c r="H955" s="4" t="s">
        <v>1401</v>
      </c>
      <c r="I955" s="3" t="s">
        <v>6529</v>
      </c>
    </row>
    <row r="956" spans="1:9" x14ac:dyDescent="0.25">
      <c r="A956" s="3" t="s">
        <v>6983</v>
      </c>
      <c r="B956" s="3" t="s">
        <v>6991</v>
      </c>
      <c r="C956" s="3" t="s">
        <v>6985</v>
      </c>
      <c r="D956" s="3" t="s">
        <v>6269</v>
      </c>
      <c r="E956" s="3">
        <v>955</v>
      </c>
      <c r="F956" s="3" t="s">
        <v>5736</v>
      </c>
      <c r="G956" s="3" t="s">
        <v>4</v>
      </c>
      <c r="H956" s="4" t="s">
        <v>1403</v>
      </c>
      <c r="I956" s="3" t="s">
        <v>6529</v>
      </c>
    </row>
    <row r="957" spans="1:9" x14ac:dyDescent="0.25">
      <c r="A957" s="3" t="s">
        <v>6983</v>
      </c>
      <c r="B957" s="3" t="s">
        <v>6991</v>
      </c>
      <c r="C957" s="3" t="s">
        <v>6985</v>
      </c>
      <c r="D957" s="3" t="s">
        <v>6269</v>
      </c>
      <c r="E957" s="3">
        <v>956</v>
      </c>
      <c r="F957" s="3" t="s">
        <v>5737</v>
      </c>
      <c r="G957" s="3" t="s">
        <v>4</v>
      </c>
      <c r="H957" s="4" t="s">
        <v>6852</v>
      </c>
      <c r="I957" s="3" t="s">
        <v>6529</v>
      </c>
    </row>
    <row r="958" spans="1:9" x14ac:dyDescent="0.25">
      <c r="A958" s="3" t="s">
        <v>6983</v>
      </c>
      <c r="B958" s="3" t="s">
        <v>6991</v>
      </c>
      <c r="C958" s="3" t="s">
        <v>6985</v>
      </c>
      <c r="D958" s="3" t="s">
        <v>6269</v>
      </c>
      <c r="E958" s="3">
        <v>957</v>
      </c>
      <c r="F958" s="3" t="s">
        <v>5738</v>
      </c>
      <c r="G958" s="3" t="s">
        <v>4</v>
      </c>
      <c r="H958" s="4" t="s">
        <v>6853</v>
      </c>
      <c r="I958" s="3" t="s">
        <v>6529</v>
      </c>
    </row>
    <row r="959" spans="1:9" ht="16.5" x14ac:dyDescent="0.25">
      <c r="A959" s="3" t="s">
        <v>6983</v>
      </c>
      <c r="B959" s="3" t="s">
        <v>6991</v>
      </c>
      <c r="C959" s="3" t="s">
        <v>6985</v>
      </c>
      <c r="D959" s="3" t="s">
        <v>6269</v>
      </c>
      <c r="E959" s="3">
        <v>958</v>
      </c>
      <c r="F959" s="3" t="s">
        <v>5739</v>
      </c>
      <c r="G959" s="3" t="s">
        <v>4</v>
      </c>
      <c r="H959" s="4" t="s">
        <v>6856</v>
      </c>
      <c r="I959" s="3" t="s">
        <v>6529</v>
      </c>
    </row>
    <row r="960" spans="1:9" ht="16.5" x14ac:dyDescent="0.25">
      <c r="A960" s="3" t="s">
        <v>6983</v>
      </c>
      <c r="B960" s="3" t="s">
        <v>6991</v>
      </c>
      <c r="C960" s="3" t="s">
        <v>6985</v>
      </c>
      <c r="D960" s="3" t="s">
        <v>6269</v>
      </c>
      <c r="E960" s="3">
        <v>959</v>
      </c>
      <c r="F960" s="3" t="s">
        <v>5740</v>
      </c>
      <c r="G960" s="3" t="s">
        <v>4</v>
      </c>
      <c r="H960" s="4" t="s">
        <v>6855</v>
      </c>
      <c r="I960" s="3" t="s">
        <v>6529</v>
      </c>
    </row>
    <row r="961" spans="1:10" x14ac:dyDescent="0.25">
      <c r="A961" s="3" t="s">
        <v>6983</v>
      </c>
      <c r="B961" s="3" t="s">
        <v>6991</v>
      </c>
      <c r="C961" s="3" t="s">
        <v>6985</v>
      </c>
      <c r="D961" s="3" t="s">
        <v>6269</v>
      </c>
      <c r="E961" s="3">
        <v>960</v>
      </c>
      <c r="F961" s="3" t="s">
        <v>5741</v>
      </c>
      <c r="G961" s="3" t="s">
        <v>4</v>
      </c>
      <c r="H961" s="4" t="s">
        <v>6537</v>
      </c>
      <c r="I961" s="3" t="s">
        <v>6529</v>
      </c>
    </row>
    <row r="962" spans="1:10" x14ac:dyDescent="0.25">
      <c r="A962" s="3" t="s">
        <v>6983</v>
      </c>
      <c r="B962" s="3" t="s">
        <v>6991</v>
      </c>
      <c r="C962" s="3" t="s">
        <v>6985</v>
      </c>
      <c r="D962" s="3" t="s">
        <v>6269</v>
      </c>
      <c r="E962" s="3">
        <v>961</v>
      </c>
      <c r="F962" s="3" t="s">
        <v>693</v>
      </c>
      <c r="G962" s="3" t="s">
        <v>10</v>
      </c>
      <c r="H962" s="4" t="s">
        <v>6538</v>
      </c>
      <c r="I962" s="3" t="s">
        <v>6529</v>
      </c>
    </row>
    <row r="963" spans="1:10" x14ac:dyDescent="0.25">
      <c r="A963" s="3" t="s">
        <v>6983</v>
      </c>
      <c r="B963" s="3" t="s">
        <v>6991</v>
      </c>
      <c r="C963" s="3" t="s">
        <v>6985</v>
      </c>
      <c r="D963" s="3" t="s">
        <v>6269</v>
      </c>
      <c r="E963" s="3">
        <v>962</v>
      </c>
      <c r="F963" s="3" t="s">
        <v>692</v>
      </c>
      <c r="G963" s="3" t="s">
        <v>5</v>
      </c>
      <c r="H963" s="4" t="s">
        <v>1141</v>
      </c>
      <c r="I963" s="3" t="s">
        <v>6529</v>
      </c>
    </row>
    <row r="964" spans="1:10" x14ac:dyDescent="0.25">
      <c r="A964" s="3" t="s">
        <v>6983</v>
      </c>
      <c r="B964" s="3" t="s">
        <v>6991</v>
      </c>
      <c r="C964" s="3" t="s">
        <v>6985</v>
      </c>
      <c r="D964" s="3" t="s">
        <v>6269</v>
      </c>
      <c r="E964" s="3">
        <v>963</v>
      </c>
      <c r="F964" s="3" t="s">
        <v>5742</v>
      </c>
      <c r="G964" s="3" t="s">
        <v>4</v>
      </c>
      <c r="H964" s="4" t="s">
        <v>1400</v>
      </c>
      <c r="I964" s="3" t="s">
        <v>6529</v>
      </c>
    </row>
    <row r="965" spans="1:10" x14ac:dyDescent="0.25">
      <c r="A965" s="3" t="s">
        <v>6983</v>
      </c>
      <c r="B965" s="3" t="s">
        <v>6991</v>
      </c>
      <c r="C965" s="3" t="s">
        <v>6985</v>
      </c>
      <c r="D965" s="3" t="s">
        <v>6269</v>
      </c>
      <c r="E965" s="3">
        <v>964</v>
      </c>
      <c r="F965" s="3" t="s">
        <v>5743</v>
      </c>
      <c r="G965" s="3" t="s">
        <v>4</v>
      </c>
      <c r="H965" s="4" t="s">
        <v>1401</v>
      </c>
      <c r="I965" s="3" t="s">
        <v>6529</v>
      </c>
    </row>
    <row r="966" spans="1:10" x14ac:dyDescent="0.25">
      <c r="A966" s="3" t="s">
        <v>6983</v>
      </c>
      <c r="B966" s="3" t="s">
        <v>6991</v>
      </c>
      <c r="C966" s="3" t="s">
        <v>6985</v>
      </c>
      <c r="D966" s="3" t="s">
        <v>6269</v>
      </c>
      <c r="E966" s="3">
        <v>965</v>
      </c>
      <c r="F966" s="3" t="s">
        <v>5744</v>
      </c>
      <c r="G966" s="3" t="s">
        <v>4</v>
      </c>
      <c r="H966" s="4" t="s">
        <v>1402</v>
      </c>
      <c r="I966" s="3" t="s">
        <v>6529</v>
      </c>
    </row>
    <row r="967" spans="1:10" x14ac:dyDescent="0.25">
      <c r="A967" s="3" t="s">
        <v>6983</v>
      </c>
      <c r="B967" s="3" t="s">
        <v>6991</v>
      </c>
      <c r="C967" s="3" t="s">
        <v>6985</v>
      </c>
      <c r="D967" s="3" t="s">
        <v>6269</v>
      </c>
      <c r="E967" s="3">
        <v>966</v>
      </c>
      <c r="F967" s="3" t="s">
        <v>5745</v>
      </c>
      <c r="G967" s="3" t="s">
        <v>4</v>
      </c>
      <c r="H967" s="4" t="s">
        <v>1403</v>
      </c>
      <c r="I967" s="3" t="s">
        <v>6529</v>
      </c>
    </row>
    <row r="968" spans="1:10" x14ac:dyDescent="0.25">
      <c r="A968" s="3" t="s">
        <v>6983</v>
      </c>
      <c r="B968" s="3" t="s">
        <v>6991</v>
      </c>
      <c r="C968" s="3" t="s">
        <v>6985</v>
      </c>
      <c r="D968" s="3" t="s">
        <v>6269</v>
      </c>
      <c r="E968" s="3">
        <v>967</v>
      </c>
      <c r="F968" s="3" t="s">
        <v>5746</v>
      </c>
      <c r="G968" s="3" t="s">
        <v>1096</v>
      </c>
      <c r="H968" s="4" t="s">
        <v>1245</v>
      </c>
      <c r="I968" s="3" t="s">
        <v>6529</v>
      </c>
    </row>
    <row r="969" spans="1:10" x14ac:dyDescent="0.25">
      <c r="A969" s="3" t="s">
        <v>6983</v>
      </c>
      <c r="B969" s="3" t="s">
        <v>6991</v>
      </c>
      <c r="C969" s="3" t="s">
        <v>6985</v>
      </c>
      <c r="D969" s="3" t="s">
        <v>6269</v>
      </c>
      <c r="E969" s="3">
        <v>968</v>
      </c>
      <c r="F969" s="4" t="s">
        <v>5747</v>
      </c>
      <c r="G969" s="3" t="s">
        <v>1096</v>
      </c>
      <c r="H969" s="4" t="s">
        <v>6697</v>
      </c>
      <c r="I969" s="3" t="s">
        <v>6529</v>
      </c>
    </row>
    <row r="970" spans="1:10" x14ac:dyDescent="0.25">
      <c r="A970" s="3" t="s">
        <v>6983</v>
      </c>
      <c r="B970" s="3" t="s">
        <v>6991</v>
      </c>
      <c r="C970" s="3" t="s">
        <v>6985</v>
      </c>
      <c r="D970" s="3" t="s">
        <v>1130</v>
      </c>
      <c r="E970" s="3">
        <v>969</v>
      </c>
      <c r="F970" s="3" t="s">
        <v>5748</v>
      </c>
      <c r="G970" s="3" t="s">
        <v>5</v>
      </c>
      <c r="H970" s="4" t="s">
        <v>6817</v>
      </c>
      <c r="J970" s="4"/>
    </row>
    <row r="971" spans="1:10" x14ac:dyDescent="0.25">
      <c r="A971" s="3" t="s">
        <v>6983</v>
      </c>
      <c r="B971" s="3" t="s">
        <v>6991</v>
      </c>
      <c r="C971" s="3" t="s">
        <v>6985</v>
      </c>
      <c r="D971" s="3" t="s">
        <v>1130</v>
      </c>
      <c r="E971" s="3">
        <v>970</v>
      </c>
      <c r="F971" s="3" t="s">
        <v>5749</v>
      </c>
      <c r="G971" s="3" t="s">
        <v>5</v>
      </c>
      <c r="H971" s="4" t="s">
        <v>6826</v>
      </c>
      <c r="J971" s="4"/>
    </row>
    <row r="972" spans="1:10" x14ac:dyDescent="0.25">
      <c r="A972" s="3" t="s">
        <v>6983</v>
      </c>
      <c r="B972" s="3" t="s">
        <v>6991</v>
      </c>
      <c r="C972" s="3" t="s">
        <v>6985</v>
      </c>
      <c r="D972" s="3" t="s">
        <v>1130</v>
      </c>
      <c r="E972" s="3">
        <v>971</v>
      </c>
      <c r="F972" s="3" t="s">
        <v>5750</v>
      </c>
      <c r="G972" s="3" t="s">
        <v>17</v>
      </c>
      <c r="H972" s="4" t="s">
        <v>6819</v>
      </c>
      <c r="J972" s="4"/>
    </row>
    <row r="973" spans="1:10" x14ac:dyDescent="0.25">
      <c r="A973" s="3" t="s">
        <v>6983</v>
      </c>
      <c r="B973" s="3" t="s">
        <v>6991</v>
      </c>
      <c r="C973" s="3" t="s">
        <v>6985</v>
      </c>
      <c r="D973" s="3" t="s">
        <v>1130</v>
      </c>
      <c r="E973" s="3">
        <v>972</v>
      </c>
      <c r="F973" s="3" t="s">
        <v>5751</v>
      </c>
      <c r="G973" s="3" t="s">
        <v>5</v>
      </c>
      <c r="H973" s="4" t="s">
        <v>6543</v>
      </c>
      <c r="J973" s="4"/>
    </row>
    <row r="974" spans="1:10" x14ac:dyDescent="0.25">
      <c r="A974" s="3" t="s">
        <v>6983</v>
      </c>
      <c r="B974" s="3" t="s">
        <v>6991</v>
      </c>
      <c r="C974" s="3" t="s">
        <v>6985</v>
      </c>
      <c r="D974" s="3" t="s">
        <v>1133</v>
      </c>
      <c r="E974" s="3">
        <v>973</v>
      </c>
      <c r="F974" s="3" t="s">
        <v>5752</v>
      </c>
      <c r="G974" s="3" t="s">
        <v>13</v>
      </c>
      <c r="H974" s="3" t="s">
        <v>7026</v>
      </c>
      <c r="J974" s="4"/>
    </row>
    <row r="975" spans="1:10" x14ac:dyDescent="0.25">
      <c r="A975" s="3" t="s">
        <v>6983</v>
      </c>
      <c r="B975" s="3" t="s">
        <v>6991</v>
      </c>
      <c r="C975" s="3" t="s">
        <v>6985</v>
      </c>
      <c r="D975" s="3" t="s">
        <v>1133</v>
      </c>
      <c r="E975" s="3">
        <v>974</v>
      </c>
      <c r="F975" s="3" t="s">
        <v>5753</v>
      </c>
      <c r="G975" s="3" t="s">
        <v>9</v>
      </c>
      <c r="H975" s="3" t="s">
        <v>7035</v>
      </c>
      <c r="J975" s="4"/>
    </row>
    <row r="976" spans="1:10" x14ac:dyDescent="0.25">
      <c r="A976" s="3" t="s">
        <v>6983</v>
      </c>
      <c r="B976" s="3" t="s">
        <v>6991</v>
      </c>
      <c r="C976" s="3" t="s">
        <v>6985</v>
      </c>
      <c r="D976" s="3" t="s">
        <v>1133</v>
      </c>
      <c r="E976" s="3">
        <v>975</v>
      </c>
      <c r="F976" s="3" t="s">
        <v>5754</v>
      </c>
      <c r="G976" s="3" t="s">
        <v>13</v>
      </c>
      <c r="H976" s="4" t="s">
        <v>6802</v>
      </c>
      <c r="J976" s="4"/>
    </row>
    <row r="977" spans="1:10" x14ac:dyDescent="0.25">
      <c r="A977" s="3" t="s">
        <v>6983</v>
      </c>
      <c r="B977" s="3" t="s">
        <v>6991</v>
      </c>
      <c r="C977" s="3" t="s">
        <v>6985</v>
      </c>
      <c r="D977" s="3" t="s">
        <v>1133</v>
      </c>
      <c r="E977" s="3">
        <v>976</v>
      </c>
      <c r="F977" s="3" t="s">
        <v>5755</v>
      </c>
      <c r="G977" s="3" t="s">
        <v>13</v>
      </c>
      <c r="H977" s="3" t="s">
        <v>6803</v>
      </c>
      <c r="J977" s="4"/>
    </row>
    <row r="978" spans="1:10" x14ac:dyDescent="0.25">
      <c r="A978" s="3" t="s">
        <v>6983</v>
      </c>
      <c r="B978" s="3" t="s">
        <v>6991</v>
      </c>
      <c r="C978" s="3" t="s">
        <v>6985</v>
      </c>
      <c r="D978" s="3" t="s">
        <v>1133</v>
      </c>
      <c r="E978" s="3">
        <v>977</v>
      </c>
      <c r="F978" s="3" t="s">
        <v>5756</v>
      </c>
      <c r="G978" s="3" t="s">
        <v>13</v>
      </c>
      <c r="H978" s="4" t="s">
        <v>6804</v>
      </c>
      <c r="J978" s="4"/>
    </row>
    <row r="979" spans="1:10" x14ac:dyDescent="0.25">
      <c r="A979" s="3" t="s">
        <v>6983</v>
      </c>
      <c r="B979" s="3" t="s">
        <v>6991</v>
      </c>
      <c r="C979" s="3" t="s">
        <v>6985</v>
      </c>
      <c r="D979" s="3" t="s">
        <v>1133</v>
      </c>
      <c r="E979" s="3">
        <v>978</v>
      </c>
      <c r="F979" s="3" t="s">
        <v>5757</v>
      </c>
      <c r="G979" s="3" t="s">
        <v>9</v>
      </c>
      <c r="H979" s="4" t="s">
        <v>6805</v>
      </c>
      <c r="J979" s="4"/>
    </row>
    <row r="980" spans="1:10" x14ac:dyDescent="0.25">
      <c r="A980" s="3" t="s">
        <v>6983</v>
      </c>
      <c r="B980" s="3" t="s">
        <v>6991</v>
      </c>
      <c r="C980" s="3" t="s">
        <v>6985</v>
      </c>
      <c r="D980" s="3" t="s">
        <v>1133</v>
      </c>
      <c r="E980" s="3">
        <v>979</v>
      </c>
      <c r="F980" s="3" t="s">
        <v>5758</v>
      </c>
      <c r="G980" s="3" t="s">
        <v>13</v>
      </c>
      <c r="H980" s="4" t="s">
        <v>6806</v>
      </c>
      <c r="J980" s="4"/>
    </row>
    <row r="981" spans="1:10" x14ac:dyDescent="0.25">
      <c r="A981" s="3" t="s">
        <v>6983</v>
      </c>
      <c r="B981" s="3" t="s">
        <v>6991</v>
      </c>
      <c r="C981" s="3" t="s">
        <v>6985</v>
      </c>
      <c r="D981" s="3" t="s">
        <v>1133</v>
      </c>
      <c r="E981" s="3">
        <v>980</v>
      </c>
      <c r="F981" s="3" t="s">
        <v>5759</v>
      </c>
      <c r="G981" s="3" t="s">
        <v>9</v>
      </c>
      <c r="H981" s="4" t="s">
        <v>6807</v>
      </c>
      <c r="J981" s="4"/>
    </row>
    <row r="982" spans="1:10" x14ac:dyDescent="0.25">
      <c r="A982" s="3" t="s">
        <v>6983</v>
      </c>
      <c r="B982" s="3" t="s">
        <v>6991</v>
      </c>
      <c r="C982" s="3" t="s">
        <v>6985</v>
      </c>
      <c r="D982" s="3" t="s">
        <v>1133</v>
      </c>
      <c r="E982" s="3">
        <v>981</v>
      </c>
      <c r="F982" s="3" t="s">
        <v>5760</v>
      </c>
      <c r="G982" s="3" t="s">
        <v>13</v>
      </c>
      <c r="H982" s="4" t="s">
        <v>6808</v>
      </c>
      <c r="J982" s="4"/>
    </row>
    <row r="983" spans="1:10" x14ac:dyDescent="0.25">
      <c r="A983" s="3" t="s">
        <v>6983</v>
      </c>
      <c r="B983" s="3" t="s">
        <v>6991</v>
      </c>
      <c r="C983" s="3" t="s">
        <v>6985</v>
      </c>
      <c r="D983" s="3" t="s">
        <v>1133</v>
      </c>
      <c r="E983" s="3">
        <v>982</v>
      </c>
      <c r="F983" s="3" t="s">
        <v>5761</v>
      </c>
      <c r="G983" s="3" t="s">
        <v>9</v>
      </c>
      <c r="H983" s="4" t="s">
        <v>6809</v>
      </c>
      <c r="J983" s="4"/>
    </row>
    <row r="984" spans="1:10" x14ac:dyDescent="0.25">
      <c r="A984" s="3" t="s">
        <v>6983</v>
      </c>
      <c r="B984" s="3" t="s">
        <v>6991</v>
      </c>
      <c r="C984" s="3" t="s">
        <v>6985</v>
      </c>
      <c r="D984" s="3" t="s">
        <v>1133</v>
      </c>
      <c r="E984" s="3">
        <v>983</v>
      </c>
      <c r="F984" s="3" t="s">
        <v>5762</v>
      </c>
      <c r="G984" s="3" t="s">
        <v>13</v>
      </c>
      <c r="H984" s="4" t="s">
        <v>6810</v>
      </c>
      <c r="J984" s="4"/>
    </row>
    <row r="985" spans="1:10" x14ac:dyDescent="0.25">
      <c r="A985" s="3" t="s">
        <v>6983</v>
      </c>
      <c r="B985" s="3" t="s">
        <v>6991</v>
      </c>
      <c r="C985" s="3" t="s">
        <v>6985</v>
      </c>
      <c r="D985" s="3" t="s">
        <v>1133</v>
      </c>
      <c r="E985" s="3">
        <v>984</v>
      </c>
      <c r="F985" s="3" t="s">
        <v>5763</v>
      </c>
      <c r="G985" s="3" t="s">
        <v>9</v>
      </c>
      <c r="H985" s="4" t="s">
        <v>6811</v>
      </c>
      <c r="J985" s="4"/>
    </row>
    <row r="986" spans="1:10" x14ac:dyDescent="0.25">
      <c r="A986" s="3" t="s">
        <v>6983</v>
      </c>
      <c r="B986" s="3" t="s">
        <v>6991</v>
      </c>
      <c r="C986" s="3" t="s">
        <v>6985</v>
      </c>
      <c r="D986" s="3" t="s">
        <v>1133</v>
      </c>
      <c r="E986" s="3">
        <v>985</v>
      </c>
      <c r="F986" s="3" t="s">
        <v>5764</v>
      </c>
      <c r="G986" s="3" t="s">
        <v>13</v>
      </c>
      <c r="H986" s="4" t="s">
        <v>6812</v>
      </c>
    </row>
    <row r="987" spans="1:10" x14ac:dyDescent="0.25">
      <c r="A987" s="3" t="s">
        <v>6983</v>
      </c>
      <c r="B987" s="3" t="s">
        <v>6991</v>
      </c>
      <c r="C987" s="3" t="s">
        <v>6985</v>
      </c>
      <c r="D987" s="3" t="s">
        <v>1133</v>
      </c>
      <c r="E987" s="3">
        <v>986</v>
      </c>
      <c r="F987" s="3" t="s">
        <v>5765</v>
      </c>
      <c r="G987" s="3" t="s">
        <v>13</v>
      </c>
      <c r="H987" s="4" t="s">
        <v>6813</v>
      </c>
    </row>
    <row r="988" spans="1:10" x14ac:dyDescent="0.25">
      <c r="A988" s="3" t="s">
        <v>6983</v>
      </c>
      <c r="B988" s="3" t="s">
        <v>6991</v>
      </c>
      <c r="C988" s="3" t="s">
        <v>6985</v>
      </c>
      <c r="D988" s="3" t="s">
        <v>1133</v>
      </c>
      <c r="E988" s="3">
        <v>987</v>
      </c>
      <c r="F988" s="3" t="s">
        <v>5766</v>
      </c>
      <c r="G988" s="3" t="s">
        <v>13</v>
      </c>
      <c r="H988" s="4" t="s">
        <v>6814</v>
      </c>
    </row>
    <row r="989" spans="1:10" x14ac:dyDescent="0.25">
      <c r="A989" s="3" t="s">
        <v>6983</v>
      </c>
      <c r="B989" s="3" t="s">
        <v>6991</v>
      </c>
      <c r="C989" s="3" t="s">
        <v>6985</v>
      </c>
      <c r="D989" s="3" t="s">
        <v>1133</v>
      </c>
      <c r="E989" s="3">
        <v>988</v>
      </c>
      <c r="F989" s="3" t="s">
        <v>5767</v>
      </c>
      <c r="G989" s="3" t="s">
        <v>13</v>
      </c>
      <c r="H989" s="4" t="s">
        <v>6815</v>
      </c>
    </row>
    <row r="990" spans="1:10" x14ac:dyDescent="0.25">
      <c r="A990" s="3" t="s">
        <v>6983</v>
      </c>
      <c r="B990" s="3" t="s">
        <v>6991</v>
      </c>
      <c r="C990" s="3" t="s">
        <v>6985</v>
      </c>
      <c r="D990" s="3" t="s">
        <v>1133</v>
      </c>
      <c r="E990" s="3">
        <v>989</v>
      </c>
      <c r="F990" s="3" t="s">
        <v>5768</v>
      </c>
      <c r="G990" s="3" t="s">
        <v>13</v>
      </c>
      <c r="H990" s="3" t="s">
        <v>7027</v>
      </c>
    </row>
    <row r="991" spans="1:10" x14ac:dyDescent="0.25">
      <c r="A991" s="3" t="s">
        <v>6983</v>
      </c>
      <c r="B991" s="3" t="s">
        <v>6991</v>
      </c>
      <c r="C991" s="3" t="s">
        <v>6985</v>
      </c>
      <c r="D991" s="3" t="s">
        <v>1133</v>
      </c>
      <c r="E991" s="3">
        <v>990</v>
      </c>
      <c r="F991" s="3" t="s">
        <v>5769</v>
      </c>
      <c r="G991" s="3" t="s">
        <v>9</v>
      </c>
      <c r="H991" s="3" t="s">
        <v>7036</v>
      </c>
    </row>
    <row r="992" spans="1:10" x14ac:dyDescent="0.25">
      <c r="A992" s="3" t="s">
        <v>6983</v>
      </c>
      <c r="B992" s="3" t="s">
        <v>6991</v>
      </c>
      <c r="C992" s="3" t="s">
        <v>6985</v>
      </c>
      <c r="D992" s="3" t="s">
        <v>1133</v>
      </c>
      <c r="E992" s="3">
        <v>991</v>
      </c>
      <c r="F992" s="3" t="s">
        <v>5770</v>
      </c>
      <c r="G992" s="3" t="s">
        <v>13</v>
      </c>
      <c r="H992" s="4" t="s">
        <v>6788</v>
      </c>
    </row>
    <row r="993" spans="1:8" x14ac:dyDescent="0.25">
      <c r="A993" s="3" t="s">
        <v>6983</v>
      </c>
      <c r="B993" s="3" t="s">
        <v>6991</v>
      </c>
      <c r="C993" s="3" t="s">
        <v>6985</v>
      </c>
      <c r="D993" s="3" t="s">
        <v>1133</v>
      </c>
      <c r="E993" s="3">
        <v>992</v>
      </c>
      <c r="F993" s="3" t="s">
        <v>5771</v>
      </c>
      <c r="G993" s="3" t="s">
        <v>13</v>
      </c>
      <c r="H993" s="3" t="s">
        <v>6789</v>
      </c>
    </row>
    <row r="994" spans="1:8" x14ac:dyDescent="0.25">
      <c r="A994" s="3" t="s">
        <v>6983</v>
      </c>
      <c r="B994" s="3" t="s">
        <v>6991</v>
      </c>
      <c r="C994" s="3" t="s">
        <v>6985</v>
      </c>
      <c r="D994" s="3" t="s">
        <v>1133</v>
      </c>
      <c r="E994" s="3">
        <v>993</v>
      </c>
      <c r="F994" s="3" t="s">
        <v>5772</v>
      </c>
      <c r="G994" s="3" t="s">
        <v>13</v>
      </c>
      <c r="H994" s="4" t="s">
        <v>6790</v>
      </c>
    </row>
    <row r="995" spans="1:8" x14ac:dyDescent="0.25">
      <c r="A995" s="3" t="s">
        <v>6983</v>
      </c>
      <c r="B995" s="3" t="s">
        <v>6991</v>
      </c>
      <c r="C995" s="3" t="s">
        <v>6985</v>
      </c>
      <c r="D995" s="3" t="s">
        <v>1133</v>
      </c>
      <c r="E995" s="3">
        <v>994</v>
      </c>
      <c r="F995" s="3" t="s">
        <v>5773</v>
      </c>
      <c r="G995" s="3" t="s">
        <v>9</v>
      </c>
      <c r="H995" s="4" t="s">
        <v>6791</v>
      </c>
    </row>
    <row r="996" spans="1:8" x14ac:dyDescent="0.25">
      <c r="A996" s="3" t="s">
        <v>6983</v>
      </c>
      <c r="B996" s="3" t="s">
        <v>6991</v>
      </c>
      <c r="C996" s="3" t="s">
        <v>6985</v>
      </c>
      <c r="D996" s="3" t="s">
        <v>1133</v>
      </c>
      <c r="E996" s="3">
        <v>995</v>
      </c>
      <c r="F996" s="3" t="s">
        <v>5774</v>
      </c>
      <c r="G996" s="3" t="s">
        <v>13</v>
      </c>
      <c r="H996" s="4" t="s">
        <v>6792</v>
      </c>
    </row>
    <row r="997" spans="1:8" x14ac:dyDescent="0.25">
      <c r="A997" s="3" t="s">
        <v>6983</v>
      </c>
      <c r="B997" s="3" t="s">
        <v>6991</v>
      </c>
      <c r="C997" s="3" t="s">
        <v>6985</v>
      </c>
      <c r="D997" s="3" t="s">
        <v>1133</v>
      </c>
      <c r="E997" s="3">
        <v>996</v>
      </c>
      <c r="F997" s="3" t="s">
        <v>5775</v>
      </c>
      <c r="G997" s="3" t="s">
        <v>9</v>
      </c>
      <c r="H997" s="4" t="s">
        <v>6793</v>
      </c>
    </row>
    <row r="998" spans="1:8" x14ac:dyDescent="0.25">
      <c r="A998" s="3" t="s">
        <v>6983</v>
      </c>
      <c r="B998" s="3" t="s">
        <v>6991</v>
      </c>
      <c r="C998" s="3" t="s">
        <v>6985</v>
      </c>
      <c r="D998" s="3" t="s">
        <v>1133</v>
      </c>
      <c r="E998" s="3">
        <v>997</v>
      </c>
      <c r="F998" s="3" t="s">
        <v>5776</v>
      </c>
      <c r="G998" s="3" t="s">
        <v>13</v>
      </c>
      <c r="H998" s="4" t="s">
        <v>6794</v>
      </c>
    </row>
    <row r="999" spans="1:8" x14ac:dyDescent="0.25">
      <c r="A999" s="3" t="s">
        <v>6983</v>
      </c>
      <c r="B999" s="3" t="s">
        <v>6991</v>
      </c>
      <c r="C999" s="3" t="s">
        <v>6985</v>
      </c>
      <c r="D999" s="3" t="s">
        <v>1133</v>
      </c>
      <c r="E999" s="3">
        <v>998</v>
      </c>
      <c r="F999" s="3" t="s">
        <v>5777</v>
      </c>
      <c r="G999" s="3" t="s">
        <v>9</v>
      </c>
      <c r="H999" s="4" t="s">
        <v>6795</v>
      </c>
    </row>
    <row r="1000" spans="1:8" x14ac:dyDescent="0.25">
      <c r="A1000" s="3" t="s">
        <v>6983</v>
      </c>
      <c r="B1000" s="3" t="s">
        <v>6991</v>
      </c>
      <c r="C1000" s="3" t="s">
        <v>6985</v>
      </c>
      <c r="D1000" s="3" t="s">
        <v>1133</v>
      </c>
      <c r="E1000" s="3">
        <v>999</v>
      </c>
      <c r="F1000" s="3" t="s">
        <v>5778</v>
      </c>
      <c r="G1000" s="3" t="s">
        <v>13</v>
      </c>
      <c r="H1000" s="4" t="s">
        <v>6796</v>
      </c>
    </row>
    <row r="1001" spans="1:8" x14ac:dyDescent="0.25">
      <c r="A1001" s="3" t="s">
        <v>6983</v>
      </c>
      <c r="B1001" s="3" t="s">
        <v>6991</v>
      </c>
      <c r="C1001" s="3" t="s">
        <v>6985</v>
      </c>
      <c r="D1001" s="3" t="s">
        <v>1133</v>
      </c>
      <c r="E1001" s="3">
        <v>1000</v>
      </c>
      <c r="F1001" s="3" t="s">
        <v>5779</v>
      </c>
      <c r="G1001" s="3" t="s">
        <v>9</v>
      </c>
      <c r="H1001" s="4" t="s">
        <v>6797</v>
      </c>
    </row>
    <row r="1002" spans="1:8" x14ac:dyDescent="0.25">
      <c r="A1002" s="3" t="s">
        <v>6983</v>
      </c>
      <c r="B1002" s="3" t="s">
        <v>6991</v>
      </c>
      <c r="C1002" s="3" t="s">
        <v>6985</v>
      </c>
      <c r="D1002" s="3" t="s">
        <v>1133</v>
      </c>
      <c r="E1002" s="3">
        <v>1001</v>
      </c>
      <c r="F1002" s="3" t="s">
        <v>5780</v>
      </c>
      <c r="G1002" s="3" t="s">
        <v>13</v>
      </c>
      <c r="H1002" s="4" t="s">
        <v>6798</v>
      </c>
    </row>
    <row r="1003" spans="1:8" x14ac:dyDescent="0.25">
      <c r="A1003" s="3" t="s">
        <v>6983</v>
      </c>
      <c r="B1003" s="3" t="s">
        <v>6991</v>
      </c>
      <c r="C1003" s="3" t="s">
        <v>6985</v>
      </c>
      <c r="D1003" s="3" t="s">
        <v>1133</v>
      </c>
      <c r="E1003" s="3">
        <v>1002</v>
      </c>
      <c r="F1003" s="3" t="s">
        <v>5781</v>
      </c>
      <c r="G1003" s="3" t="s">
        <v>13</v>
      </c>
      <c r="H1003" s="4" t="s">
        <v>6799</v>
      </c>
    </row>
    <row r="1004" spans="1:8" x14ac:dyDescent="0.25">
      <c r="A1004" s="3" t="s">
        <v>6983</v>
      </c>
      <c r="B1004" s="3" t="s">
        <v>6991</v>
      </c>
      <c r="C1004" s="3" t="s">
        <v>6985</v>
      </c>
      <c r="D1004" s="3" t="s">
        <v>1133</v>
      </c>
      <c r="E1004" s="3">
        <v>1003</v>
      </c>
      <c r="F1004" s="3" t="s">
        <v>5782</v>
      </c>
      <c r="G1004" s="3" t="s">
        <v>13</v>
      </c>
      <c r="H1004" s="4" t="s">
        <v>6800</v>
      </c>
    </row>
    <row r="1005" spans="1:8" x14ac:dyDescent="0.25">
      <c r="A1005" s="3" t="s">
        <v>6983</v>
      </c>
      <c r="B1005" s="3" t="s">
        <v>6991</v>
      </c>
      <c r="C1005" s="3" t="s">
        <v>6985</v>
      </c>
      <c r="D1005" s="3" t="s">
        <v>1133</v>
      </c>
      <c r="E1005" s="3">
        <v>1004</v>
      </c>
      <c r="F1005" s="3" t="s">
        <v>5783</v>
      </c>
      <c r="G1005" s="3" t="s">
        <v>13</v>
      </c>
      <c r="H1005" s="4" t="s">
        <v>6801</v>
      </c>
    </row>
    <row r="1006" spans="1:8" x14ac:dyDescent="0.25">
      <c r="A1006" s="3" t="s">
        <v>6983</v>
      </c>
      <c r="B1006" s="3" t="s">
        <v>6991</v>
      </c>
      <c r="C1006" s="3" t="s">
        <v>6985</v>
      </c>
      <c r="D1006" s="3" t="s">
        <v>1133</v>
      </c>
      <c r="E1006" s="3">
        <v>1005</v>
      </c>
      <c r="F1006" s="3" t="s">
        <v>5784</v>
      </c>
      <c r="G1006" s="3" t="s">
        <v>13</v>
      </c>
      <c r="H1006" s="3" t="s">
        <v>7028</v>
      </c>
    </row>
    <row r="1007" spans="1:8" x14ac:dyDescent="0.25">
      <c r="A1007" s="3" t="s">
        <v>6983</v>
      </c>
      <c r="B1007" s="3" t="s">
        <v>6991</v>
      </c>
      <c r="C1007" s="3" t="s">
        <v>6985</v>
      </c>
      <c r="D1007" s="3" t="s">
        <v>1133</v>
      </c>
      <c r="E1007" s="3">
        <v>1006</v>
      </c>
      <c r="F1007" s="3" t="s">
        <v>5785</v>
      </c>
      <c r="G1007" s="3" t="s">
        <v>9</v>
      </c>
      <c r="H1007" s="3" t="s">
        <v>7037</v>
      </c>
    </row>
    <row r="1008" spans="1:8" x14ac:dyDescent="0.25">
      <c r="A1008" s="3" t="s">
        <v>6983</v>
      </c>
      <c r="B1008" s="3" t="s">
        <v>6991</v>
      </c>
      <c r="C1008" s="3" t="s">
        <v>6985</v>
      </c>
      <c r="D1008" s="3" t="s">
        <v>1133</v>
      </c>
      <c r="E1008" s="3">
        <v>1007</v>
      </c>
      <c r="F1008" s="3" t="s">
        <v>5786</v>
      </c>
      <c r="G1008" s="3" t="s">
        <v>13</v>
      </c>
      <c r="H1008" s="4" t="s">
        <v>6777</v>
      </c>
    </row>
    <row r="1009" spans="1:8" x14ac:dyDescent="0.25">
      <c r="A1009" s="3" t="s">
        <v>6983</v>
      </c>
      <c r="B1009" s="3" t="s">
        <v>6991</v>
      </c>
      <c r="C1009" s="3" t="s">
        <v>6985</v>
      </c>
      <c r="D1009" s="3" t="s">
        <v>1133</v>
      </c>
      <c r="E1009" s="3">
        <v>1008</v>
      </c>
      <c r="F1009" s="3" t="s">
        <v>5787</v>
      </c>
      <c r="G1009" s="3" t="s">
        <v>13</v>
      </c>
      <c r="H1009" s="3" t="s">
        <v>6778</v>
      </c>
    </row>
    <row r="1010" spans="1:8" x14ac:dyDescent="0.25">
      <c r="A1010" s="3" t="s">
        <v>6983</v>
      </c>
      <c r="B1010" s="3" t="s">
        <v>6991</v>
      </c>
      <c r="C1010" s="3" t="s">
        <v>6985</v>
      </c>
      <c r="D1010" s="3" t="s">
        <v>1133</v>
      </c>
      <c r="E1010" s="3">
        <v>1009</v>
      </c>
      <c r="F1010" s="3" t="s">
        <v>5788</v>
      </c>
      <c r="G1010" s="3" t="s">
        <v>13</v>
      </c>
      <c r="H1010" s="4" t="s">
        <v>6779</v>
      </c>
    </row>
    <row r="1011" spans="1:8" x14ac:dyDescent="0.25">
      <c r="A1011" s="3" t="s">
        <v>6983</v>
      </c>
      <c r="B1011" s="3" t="s">
        <v>6991</v>
      </c>
      <c r="C1011" s="3" t="s">
        <v>6985</v>
      </c>
      <c r="D1011" s="3" t="s">
        <v>1133</v>
      </c>
      <c r="E1011" s="3">
        <v>1010</v>
      </c>
      <c r="F1011" s="3" t="s">
        <v>5789</v>
      </c>
      <c r="G1011" s="3" t="s">
        <v>9</v>
      </c>
      <c r="H1011" s="4" t="s">
        <v>6780</v>
      </c>
    </row>
    <row r="1012" spans="1:8" x14ac:dyDescent="0.25">
      <c r="A1012" s="3" t="s">
        <v>6983</v>
      </c>
      <c r="B1012" s="3" t="s">
        <v>6991</v>
      </c>
      <c r="C1012" s="3" t="s">
        <v>6985</v>
      </c>
      <c r="D1012" s="3" t="s">
        <v>1133</v>
      </c>
      <c r="E1012" s="3">
        <v>1011</v>
      </c>
      <c r="F1012" s="3" t="s">
        <v>5790</v>
      </c>
      <c r="G1012" s="3" t="s">
        <v>13</v>
      </c>
      <c r="H1012" s="4" t="s">
        <v>6781</v>
      </c>
    </row>
    <row r="1013" spans="1:8" x14ac:dyDescent="0.25">
      <c r="A1013" s="3" t="s">
        <v>6983</v>
      </c>
      <c r="B1013" s="3" t="s">
        <v>6991</v>
      </c>
      <c r="C1013" s="3" t="s">
        <v>6985</v>
      </c>
      <c r="D1013" s="3" t="s">
        <v>1133</v>
      </c>
      <c r="E1013" s="3">
        <v>1012</v>
      </c>
      <c r="F1013" s="3" t="s">
        <v>5791</v>
      </c>
      <c r="G1013" s="3" t="s">
        <v>9</v>
      </c>
      <c r="H1013" s="4" t="s">
        <v>6782</v>
      </c>
    </row>
    <row r="1014" spans="1:8" x14ac:dyDescent="0.25">
      <c r="A1014" s="3" t="s">
        <v>6983</v>
      </c>
      <c r="B1014" s="3" t="s">
        <v>6991</v>
      </c>
      <c r="C1014" s="3" t="s">
        <v>6985</v>
      </c>
      <c r="D1014" s="3" t="s">
        <v>1133</v>
      </c>
      <c r="E1014" s="3">
        <v>1013</v>
      </c>
      <c r="F1014" s="3" t="s">
        <v>5792</v>
      </c>
      <c r="G1014" s="3" t="s">
        <v>13</v>
      </c>
      <c r="H1014" s="4" t="s">
        <v>6783</v>
      </c>
    </row>
    <row r="1015" spans="1:8" x14ac:dyDescent="0.25">
      <c r="A1015" s="3" t="s">
        <v>6983</v>
      </c>
      <c r="B1015" s="3" t="s">
        <v>6991</v>
      </c>
      <c r="C1015" s="3" t="s">
        <v>6985</v>
      </c>
      <c r="D1015" s="3" t="s">
        <v>1133</v>
      </c>
      <c r="E1015" s="3">
        <v>1014</v>
      </c>
      <c r="F1015" s="3" t="s">
        <v>5793</v>
      </c>
      <c r="G1015" s="3" t="s">
        <v>9</v>
      </c>
      <c r="H1015" s="4" t="s">
        <v>6784</v>
      </c>
    </row>
    <row r="1016" spans="1:8" x14ac:dyDescent="0.25">
      <c r="A1016" s="3" t="s">
        <v>6983</v>
      </c>
      <c r="B1016" s="3" t="s">
        <v>6991</v>
      </c>
      <c r="C1016" s="3" t="s">
        <v>6985</v>
      </c>
      <c r="D1016" s="3" t="s">
        <v>1133</v>
      </c>
      <c r="E1016" s="3">
        <v>1015</v>
      </c>
      <c r="F1016" s="3" t="s">
        <v>5794</v>
      </c>
      <c r="G1016" s="3" t="s">
        <v>13</v>
      </c>
      <c r="H1016" s="4" t="s">
        <v>6785</v>
      </c>
    </row>
    <row r="1017" spans="1:8" x14ac:dyDescent="0.25">
      <c r="A1017" s="3" t="s">
        <v>6983</v>
      </c>
      <c r="B1017" s="3" t="s">
        <v>6991</v>
      </c>
      <c r="C1017" s="3" t="s">
        <v>6985</v>
      </c>
      <c r="D1017" s="3" t="s">
        <v>1133</v>
      </c>
      <c r="E1017" s="3">
        <v>1016</v>
      </c>
      <c r="F1017" s="3" t="s">
        <v>5795</v>
      </c>
      <c r="G1017" s="3" t="s">
        <v>9</v>
      </c>
      <c r="H1017" s="4" t="s">
        <v>6786</v>
      </c>
    </row>
    <row r="1018" spans="1:8" x14ac:dyDescent="0.25">
      <c r="A1018" s="3" t="s">
        <v>6983</v>
      </c>
      <c r="B1018" s="3" t="s">
        <v>6991</v>
      </c>
      <c r="C1018" s="3" t="s">
        <v>6985</v>
      </c>
      <c r="D1018" s="3" t="s">
        <v>1133</v>
      </c>
      <c r="E1018" s="3">
        <v>1017</v>
      </c>
      <c r="F1018" s="3" t="s">
        <v>5796</v>
      </c>
      <c r="G1018" s="3" t="s">
        <v>13</v>
      </c>
      <c r="H1018" s="4" t="s">
        <v>6774</v>
      </c>
    </row>
    <row r="1019" spans="1:8" x14ac:dyDescent="0.25">
      <c r="A1019" s="3" t="s">
        <v>6983</v>
      </c>
      <c r="B1019" s="3" t="s">
        <v>6991</v>
      </c>
      <c r="C1019" s="3" t="s">
        <v>6985</v>
      </c>
      <c r="D1019" s="3" t="s">
        <v>1133</v>
      </c>
      <c r="E1019" s="3">
        <v>1018</v>
      </c>
      <c r="F1019" s="3" t="s">
        <v>5797</v>
      </c>
      <c r="G1019" s="3" t="s">
        <v>13</v>
      </c>
      <c r="H1019" s="4" t="s">
        <v>6787</v>
      </c>
    </row>
    <row r="1020" spans="1:8" x14ac:dyDescent="0.25">
      <c r="A1020" s="3" t="s">
        <v>6983</v>
      </c>
      <c r="B1020" s="3" t="s">
        <v>6991</v>
      </c>
      <c r="C1020" s="3" t="s">
        <v>6985</v>
      </c>
      <c r="D1020" s="3" t="s">
        <v>1133</v>
      </c>
      <c r="E1020" s="3">
        <v>1019</v>
      </c>
      <c r="F1020" s="3" t="s">
        <v>5798</v>
      </c>
      <c r="G1020" s="3" t="s">
        <v>13</v>
      </c>
      <c r="H1020" s="4" t="s">
        <v>6775</v>
      </c>
    </row>
    <row r="1021" spans="1:8" x14ac:dyDescent="0.25">
      <c r="A1021" s="3" t="s">
        <v>6983</v>
      </c>
      <c r="B1021" s="3" t="s">
        <v>6991</v>
      </c>
      <c r="C1021" s="3" t="s">
        <v>6985</v>
      </c>
      <c r="D1021" s="3" t="s">
        <v>1133</v>
      </c>
      <c r="E1021" s="3">
        <v>1020</v>
      </c>
      <c r="F1021" s="3" t="s">
        <v>5799</v>
      </c>
      <c r="G1021" s="3" t="s">
        <v>13</v>
      </c>
      <c r="H1021" s="4" t="s">
        <v>6776</v>
      </c>
    </row>
    <row r="1022" spans="1:8" x14ac:dyDescent="0.25">
      <c r="A1022" s="3" t="s">
        <v>6983</v>
      </c>
      <c r="B1022" s="3" t="s">
        <v>6991</v>
      </c>
      <c r="C1022" s="3" t="s">
        <v>6985</v>
      </c>
      <c r="D1022" s="3" t="s">
        <v>1133</v>
      </c>
      <c r="E1022" s="3">
        <v>1021</v>
      </c>
      <c r="F1022" s="3" t="s">
        <v>5800</v>
      </c>
      <c r="G1022" s="3" t="s">
        <v>13</v>
      </c>
      <c r="H1022" s="4" t="s">
        <v>6519</v>
      </c>
    </row>
    <row r="1023" spans="1:8" x14ac:dyDescent="0.25">
      <c r="A1023" s="3" t="s">
        <v>6983</v>
      </c>
      <c r="B1023" s="3" t="s">
        <v>6991</v>
      </c>
      <c r="C1023" s="3" t="s">
        <v>6985</v>
      </c>
      <c r="D1023" s="3" t="s">
        <v>1133</v>
      </c>
      <c r="E1023" s="3">
        <v>1022</v>
      </c>
      <c r="F1023" s="3" t="s">
        <v>5801</v>
      </c>
      <c r="G1023" s="3" t="s">
        <v>9</v>
      </c>
      <c r="H1023" s="4" t="s">
        <v>6520</v>
      </c>
    </row>
    <row r="1024" spans="1:8" x14ac:dyDescent="0.25">
      <c r="A1024" s="3" t="s">
        <v>6983</v>
      </c>
      <c r="B1024" s="3" t="s">
        <v>6991</v>
      </c>
      <c r="C1024" s="3" t="s">
        <v>6985</v>
      </c>
      <c r="D1024" s="3" t="s">
        <v>1133</v>
      </c>
      <c r="E1024" s="3">
        <v>1023</v>
      </c>
      <c r="F1024" s="3" t="s">
        <v>5802</v>
      </c>
      <c r="G1024" s="3" t="s">
        <v>13</v>
      </c>
      <c r="H1024" s="4" t="s">
        <v>6766</v>
      </c>
    </row>
    <row r="1025" spans="1:9" x14ac:dyDescent="0.25">
      <c r="A1025" s="3" t="s">
        <v>6983</v>
      </c>
      <c r="B1025" s="3" t="s">
        <v>6991</v>
      </c>
      <c r="C1025" s="3" t="s">
        <v>6985</v>
      </c>
      <c r="D1025" s="3" t="s">
        <v>1133</v>
      </c>
      <c r="E1025" s="3">
        <v>1024</v>
      </c>
      <c r="F1025" s="3" t="s">
        <v>5803</v>
      </c>
      <c r="G1025" s="3" t="s">
        <v>13</v>
      </c>
      <c r="H1025" s="3" t="s">
        <v>6767</v>
      </c>
    </row>
    <row r="1026" spans="1:9" x14ac:dyDescent="0.25">
      <c r="A1026" s="3" t="s">
        <v>6983</v>
      </c>
      <c r="B1026" s="3" t="s">
        <v>6991</v>
      </c>
      <c r="C1026" s="3" t="s">
        <v>6985</v>
      </c>
      <c r="D1026" s="3" t="s">
        <v>1133</v>
      </c>
      <c r="E1026" s="3">
        <v>1025</v>
      </c>
      <c r="F1026" s="3" t="s">
        <v>5804</v>
      </c>
      <c r="G1026" s="3" t="s">
        <v>13</v>
      </c>
      <c r="H1026" s="4" t="s">
        <v>6768</v>
      </c>
    </row>
    <row r="1027" spans="1:9" x14ac:dyDescent="0.25">
      <c r="A1027" s="3" t="s">
        <v>6983</v>
      </c>
      <c r="B1027" s="3" t="s">
        <v>6991</v>
      </c>
      <c r="C1027" s="3" t="s">
        <v>6985</v>
      </c>
      <c r="D1027" s="3" t="s">
        <v>1133</v>
      </c>
      <c r="E1027" s="3">
        <v>1026</v>
      </c>
      <c r="F1027" s="3" t="s">
        <v>5805</v>
      </c>
      <c r="G1027" s="3" t="s">
        <v>9</v>
      </c>
      <c r="H1027" s="4" t="s">
        <v>6769</v>
      </c>
    </row>
    <row r="1028" spans="1:9" x14ac:dyDescent="0.25">
      <c r="A1028" s="3" t="s">
        <v>6983</v>
      </c>
      <c r="B1028" s="3" t="s">
        <v>6991</v>
      </c>
      <c r="C1028" s="3" t="s">
        <v>6985</v>
      </c>
      <c r="D1028" s="3" t="s">
        <v>1133</v>
      </c>
      <c r="E1028" s="3">
        <v>1027</v>
      </c>
      <c r="F1028" s="3" t="s">
        <v>5806</v>
      </c>
      <c r="G1028" s="3" t="s">
        <v>13</v>
      </c>
      <c r="H1028" s="4" t="s">
        <v>6770</v>
      </c>
    </row>
    <row r="1029" spans="1:9" x14ac:dyDescent="0.25">
      <c r="A1029" s="3" t="s">
        <v>6983</v>
      </c>
      <c r="B1029" s="3" t="s">
        <v>6991</v>
      </c>
      <c r="C1029" s="3" t="s">
        <v>6985</v>
      </c>
      <c r="D1029" s="3" t="s">
        <v>1133</v>
      </c>
      <c r="E1029" s="3">
        <v>1028</v>
      </c>
      <c r="F1029" s="3" t="s">
        <v>5807</v>
      </c>
      <c r="G1029" s="3" t="s">
        <v>9</v>
      </c>
      <c r="H1029" s="4" t="s">
        <v>6771</v>
      </c>
    </row>
    <row r="1030" spans="1:9" x14ac:dyDescent="0.25">
      <c r="A1030" s="3" t="s">
        <v>6983</v>
      </c>
      <c r="B1030" s="3" t="s">
        <v>6991</v>
      </c>
      <c r="C1030" s="3" t="s">
        <v>6985</v>
      </c>
      <c r="D1030" s="3" t="s">
        <v>1133</v>
      </c>
      <c r="E1030" s="3">
        <v>1029</v>
      </c>
      <c r="F1030" s="3" t="s">
        <v>5808</v>
      </c>
      <c r="G1030" s="3" t="s">
        <v>13</v>
      </c>
      <c r="H1030" s="4" t="s">
        <v>6764</v>
      </c>
    </row>
    <row r="1031" spans="1:9" x14ac:dyDescent="0.25">
      <c r="A1031" s="3" t="s">
        <v>6983</v>
      </c>
      <c r="B1031" s="3" t="s">
        <v>6991</v>
      </c>
      <c r="C1031" s="3" t="s">
        <v>6985</v>
      </c>
      <c r="D1031" s="3" t="s">
        <v>1133</v>
      </c>
      <c r="E1031" s="3">
        <v>1030</v>
      </c>
      <c r="F1031" s="3" t="s">
        <v>5809</v>
      </c>
      <c r="G1031" s="3" t="s">
        <v>9</v>
      </c>
      <c r="H1031" s="4" t="s">
        <v>6765</v>
      </c>
    </row>
    <row r="1032" spans="1:9" x14ac:dyDescent="0.25">
      <c r="A1032" s="3" t="s">
        <v>6983</v>
      </c>
      <c r="B1032" s="3" t="s">
        <v>6991</v>
      </c>
      <c r="C1032" s="3" t="s">
        <v>6985</v>
      </c>
      <c r="D1032" s="3" t="s">
        <v>1133</v>
      </c>
      <c r="E1032" s="3">
        <v>1031</v>
      </c>
      <c r="F1032" s="3" t="s">
        <v>5810</v>
      </c>
      <c r="G1032" s="3" t="s">
        <v>13</v>
      </c>
      <c r="H1032" s="4" t="s">
        <v>6772</v>
      </c>
    </row>
    <row r="1033" spans="1:9" x14ac:dyDescent="0.25">
      <c r="A1033" s="3" t="s">
        <v>6983</v>
      </c>
      <c r="B1033" s="3" t="s">
        <v>6991</v>
      </c>
      <c r="C1033" s="3" t="s">
        <v>6985</v>
      </c>
      <c r="D1033" s="3" t="s">
        <v>1133</v>
      </c>
      <c r="E1033" s="3">
        <v>1032</v>
      </c>
      <c r="F1033" s="3" t="s">
        <v>5811</v>
      </c>
      <c r="G1033" s="3" t="s">
        <v>9</v>
      </c>
      <c r="H1033" s="4" t="s">
        <v>6773</v>
      </c>
    </row>
    <row r="1034" spans="1:9" ht="15" customHeight="1" x14ac:dyDescent="0.25">
      <c r="A1034" s="3" t="s">
        <v>6983</v>
      </c>
      <c r="B1034" s="3" t="s">
        <v>6991</v>
      </c>
      <c r="C1034" s="3" t="s">
        <v>6985</v>
      </c>
      <c r="D1034" s="3" t="s">
        <v>2121</v>
      </c>
      <c r="E1034" s="3">
        <v>1033</v>
      </c>
      <c r="F1034" s="3" t="s">
        <v>5812</v>
      </c>
      <c r="G1034" s="3" t="s">
        <v>4</v>
      </c>
      <c r="H1034" s="4" t="s">
        <v>6582</v>
      </c>
      <c r="I1034" s="3" t="s">
        <v>1179</v>
      </c>
    </row>
    <row r="1035" spans="1:9" x14ac:dyDescent="0.25">
      <c r="A1035" s="3" t="s">
        <v>6983</v>
      </c>
      <c r="B1035" s="3" t="s">
        <v>6991</v>
      </c>
      <c r="C1035" s="3" t="s">
        <v>6985</v>
      </c>
      <c r="D1035" s="3" t="s">
        <v>2121</v>
      </c>
      <c r="E1035" s="3">
        <v>1034</v>
      </c>
      <c r="F1035" s="3" t="s">
        <v>5813</v>
      </c>
      <c r="G1035" s="3" t="s">
        <v>4</v>
      </c>
      <c r="H1035" s="4" t="s">
        <v>6583</v>
      </c>
      <c r="I1035" s="3" t="s">
        <v>1179</v>
      </c>
    </row>
    <row r="1036" spans="1:9" x14ac:dyDescent="0.25">
      <c r="A1036" s="3" t="s">
        <v>6983</v>
      </c>
      <c r="B1036" s="3" t="s">
        <v>6991</v>
      </c>
      <c r="C1036" s="3" t="s">
        <v>6985</v>
      </c>
      <c r="D1036" s="3" t="s">
        <v>2121</v>
      </c>
      <c r="E1036" s="3">
        <v>1035</v>
      </c>
      <c r="F1036" s="3" t="s">
        <v>5814</v>
      </c>
      <c r="G1036" s="3" t="s">
        <v>5</v>
      </c>
      <c r="H1036" s="4" t="s">
        <v>6584</v>
      </c>
      <c r="I1036" s="3" t="s">
        <v>1179</v>
      </c>
    </row>
    <row r="1037" spans="1:9" x14ac:dyDescent="0.25">
      <c r="A1037" s="3" t="s">
        <v>6983</v>
      </c>
      <c r="B1037" s="3" t="s">
        <v>6991</v>
      </c>
      <c r="C1037" s="3" t="s">
        <v>6985</v>
      </c>
      <c r="D1037" s="3" t="s">
        <v>2121</v>
      </c>
      <c r="E1037" s="3">
        <v>1036</v>
      </c>
      <c r="F1037" s="3" t="s">
        <v>5815</v>
      </c>
      <c r="G1037" s="3" t="s">
        <v>5</v>
      </c>
      <c r="H1037" s="4" t="s">
        <v>6585</v>
      </c>
      <c r="I1037" s="3" t="s">
        <v>1179</v>
      </c>
    </row>
    <row r="1038" spans="1:9" x14ac:dyDescent="0.25">
      <c r="A1038" s="3" t="s">
        <v>6983</v>
      </c>
      <c r="B1038" s="3" t="s">
        <v>6991</v>
      </c>
      <c r="C1038" s="3" t="s">
        <v>6985</v>
      </c>
      <c r="D1038" s="3" t="s">
        <v>2121</v>
      </c>
      <c r="E1038" s="3">
        <v>1037</v>
      </c>
      <c r="F1038" s="3" t="s">
        <v>5816</v>
      </c>
      <c r="G1038" s="3" t="s">
        <v>5</v>
      </c>
      <c r="H1038" s="4" t="s">
        <v>6586</v>
      </c>
      <c r="I1038" s="3" t="s">
        <v>1179</v>
      </c>
    </row>
    <row r="1039" spans="1:9" x14ac:dyDescent="0.25">
      <c r="A1039" s="3" t="s">
        <v>6983</v>
      </c>
      <c r="B1039" s="3" t="s">
        <v>6991</v>
      </c>
      <c r="C1039" s="3" t="s">
        <v>6985</v>
      </c>
      <c r="D1039" s="3" t="s">
        <v>2121</v>
      </c>
      <c r="E1039" s="3">
        <v>1038</v>
      </c>
      <c r="F1039" s="3" t="s">
        <v>5817</v>
      </c>
      <c r="G1039" s="3" t="s">
        <v>5</v>
      </c>
      <c r="H1039" s="4" t="s">
        <v>6587</v>
      </c>
      <c r="I1039" s="3" t="s">
        <v>1179</v>
      </c>
    </row>
    <row r="1040" spans="1:9" x14ac:dyDescent="0.25">
      <c r="A1040" s="3" t="s">
        <v>6983</v>
      </c>
      <c r="B1040" s="3" t="s">
        <v>6991</v>
      </c>
      <c r="C1040" s="3" t="s">
        <v>6985</v>
      </c>
      <c r="D1040" s="3" t="s">
        <v>2121</v>
      </c>
      <c r="E1040" s="3">
        <v>1039</v>
      </c>
      <c r="F1040" s="3" t="s">
        <v>5818</v>
      </c>
      <c r="G1040" s="3" t="s">
        <v>5</v>
      </c>
      <c r="H1040" s="4" t="s">
        <v>6588</v>
      </c>
      <c r="I1040" s="3" t="s">
        <v>1179</v>
      </c>
    </row>
    <row r="1041" spans="1:9" x14ac:dyDescent="0.25">
      <c r="A1041" s="3" t="s">
        <v>6983</v>
      </c>
      <c r="B1041" s="3" t="s">
        <v>6991</v>
      </c>
      <c r="C1041" s="3" t="s">
        <v>6985</v>
      </c>
      <c r="D1041" s="3" t="s">
        <v>2121</v>
      </c>
      <c r="E1041" s="3">
        <v>1040</v>
      </c>
      <c r="F1041" s="3" t="s">
        <v>5819</v>
      </c>
      <c r="G1041" s="3" t="s">
        <v>5</v>
      </c>
      <c r="H1041" s="4" t="s">
        <v>6589</v>
      </c>
      <c r="I1041" s="3" t="s">
        <v>1179</v>
      </c>
    </row>
    <row r="1042" spans="1:9" x14ac:dyDescent="0.25">
      <c r="A1042" s="3" t="s">
        <v>6983</v>
      </c>
      <c r="B1042" s="3" t="s">
        <v>6991</v>
      </c>
      <c r="C1042" s="3" t="s">
        <v>6985</v>
      </c>
      <c r="D1042" s="3" t="s">
        <v>2121</v>
      </c>
      <c r="E1042" s="3">
        <v>1041</v>
      </c>
      <c r="F1042" s="3" t="s">
        <v>5820</v>
      </c>
      <c r="G1042" s="3" t="s">
        <v>5</v>
      </c>
      <c r="H1042" s="4" t="s">
        <v>6590</v>
      </c>
      <c r="I1042" s="3" t="s">
        <v>1179</v>
      </c>
    </row>
    <row r="1043" spans="1:9" x14ac:dyDescent="0.25">
      <c r="A1043" s="3" t="s">
        <v>6983</v>
      </c>
      <c r="B1043" s="3" t="s">
        <v>6991</v>
      </c>
      <c r="C1043" s="3" t="s">
        <v>6985</v>
      </c>
      <c r="D1043" s="3" t="s">
        <v>2121</v>
      </c>
      <c r="E1043" s="3">
        <v>1042</v>
      </c>
      <c r="F1043" s="3" t="s">
        <v>5821</v>
      </c>
      <c r="G1043" s="3" t="s">
        <v>9</v>
      </c>
      <c r="H1043" s="4" t="s">
        <v>6591</v>
      </c>
      <c r="I1043" s="3" t="s">
        <v>1179</v>
      </c>
    </row>
    <row r="1044" spans="1:9" x14ac:dyDescent="0.25">
      <c r="A1044" s="3" t="s">
        <v>6983</v>
      </c>
      <c r="B1044" s="3" t="s">
        <v>6991</v>
      </c>
      <c r="C1044" s="3" t="s">
        <v>6985</v>
      </c>
      <c r="D1044" s="3" t="s">
        <v>2121</v>
      </c>
      <c r="E1044" s="3">
        <v>1043</v>
      </c>
      <c r="F1044" s="3" t="s">
        <v>5822</v>
      </c>
      <c r="G1044" s="3" t="s">
        <v>5</v>
      </c>
      <c r="H1044" s="4" t="s">
        <v>6592</v>
      </c>
      <c r="I1044" s="3" t="s">
        <v>1179</v>
      </c>
    </row>
    <row r="1045" spans="1:9" x14ac:dyDescent="0.25">
      <c r="A1045" s="3" t="s">
        <v>6983</v>
      </c>
      <c r="B1045" s="3" t="s">
        <v>6991</v>
      </c>
      <c r="C1045" s="3" t="s">
        <v>6985</v>
      </c>
      <c r="D1045" s="3" t="s">
        <v>2121</v>
      </c>
      <c r="E1045" s="3">
        <v>1044</v>
      </c>
      <c r="F1045" s="3" t="s">
        <v>5823</v>
      </c>
      <c r="G1045" s="3" t="s">
        <v>5</v>
      </c>
      <c r="H1045" s="4" t="s">
        <v>6593</v>
      </c>
      <c r="I1045" s="3" t="s">
        <v>1179</v>
      </c>
    </row>
    <row r="1046" spans="1:9" x14ac:dyDescent="0.25">
      <c r="A1046" s="3" t="s">
        <v>6983</v>
      </c>
      <c r="B1046" s="3" t="s">
        <v>6991</v>
      </c>
      <c r="C1046" s="3" t="s">
        <v>6985</v>
      </c>
      <c r="D1046" s="3" t="s">
        <v>2121</v>
      </c>
      <c r="E1046" s="3">
        <v>1045</v>
      </c>
      <c r="F1046" s="3" t="s">
        <v>5824</v>
      </c>
      <c r="G1046" s="3" t="s">
        <v>19</v>
      </c>
      <c r="H1046" s="4" t="s">
        <v>1190</v>
      </c>
      <c r="I1046" s="3" t="s">
        <v>1179</v>
      </c>
    </row>
    <row r="1047" spans="1:9" ht="15" customHeight="1" x14ac:dyDescent="0.25">
      <c r="A1047" s="3" t="s">
        <v>6983</v>
      </c>
      <c r="B1047" s="3" t="s">
        <v>6991</v>
      </c>
      <c r="C1047" s="3" t="s">
        <v>6985</v>
      </c>
      <c r="D1047" s="3" t="s">
        <v>2121</v>
      </c>
      <c r="E1047" s="3">
        <v>1046</v>
      </c>
      <c r="F1047" s="3" t="s">
        <v>5825</v>
      </c>
      <c r="G1047" s="3" t="s">
        <v>4</v>
      </c>
      <c r="H1047" s="4" t="s">
        <v>6555</v>
      </c>
      <c r="I1047" s="3" t="s">
        <v>1179</v>
      </c>
    </row>
    <row r="1048" spans="1:9" x14ac:dyDescent="0.25">
      <c r="A1048" s="3" t="s">
        <v>6983</v>
      </c>
      <c r="B1048" s="3" t="s">
        <v>6991</v>
      </c>
      <c r="C1048" s="3" t="s">
        <v>6985</v>
      </c>
      <c r="D1048" s="3" t="s">
        <v>2121</v>
      </c>
      <c r="E1048" s="3">
        <v>1047</v>
      </c>
      <c r="F1048" s="3" t="s">
        <v>5826</v>
      </c>
      <c r="G1048" s="3" t="s">
        <v>4</v>
      </c>
      <c r="H1048" s="4" t="s">
        <v>6556</v>
      </c>
      <c r="I1048" s="3" t="s">
        <v>1179</v>
      </c>
    </row>
    <row r="1049" spans="1:9" x14ac:dyDescent="0.25">
      <c r="A1049" s="3" t="s">
        <v>6983</v>
      </c>
      <c r="B1049" s="3" t="s">
        <v>6991</v>
      </c>
      <c r="C1049" s="3" t="s">
        <v>6985</v>
      </c>
      <c r="D1049" s="3" t="s">
        <v>2121</v>
      </c>
      <c r="E1049" s="3">
        <v>1048</v>
      </c>
      <c r="F1049" s="3" t="s">
        <v>5827</v>
      </c>
      <c r="G1049" s="3" t="s">
        <v>5</v>
      </c>
      <c r="H1049" s="4" t="s">
        <v>6557</v>
      </c>
      <c r="I1049" s="3" t="s">
        <v>1179</v>
      </c>
    </row>
    <row r="1050" spans="1:9" x14ac:dyDescent="0.25">
      <c r="A1050" s="3" t="s">
        <v>6983</v>
      </c>
      <c r="B1050" s="3" t="s">
        <v>6991</v>
      </c>
      <c r="C1050" s="3" t="s">
        <v>6985</v>
      </c>
      <c r="D1050" s="3" t="s">
        <v>2121</v>
      </c>
      <c r="E1050" s="3">
        <v>1049</v>
      </c>
      <c r="F1050" s="3" t="s">
        <v>5828</v>
      </c>
      <c r="G1050" s="3" t="s">
        <v>5</v>
      </c>
      <c r="H1050" s="4" t="s">
        <v>6558</v>
      </c>
      <c r="I1050" s="3" t="s">
        <v>1179</v>
      </c>
    </row>
    <row r="1051" spans="1:9" x14ac:dyDescent="0.25">
      <c r="A1051" s="3" t="s">
        <v>6983</v>
      </c>
      <c r="B1051" s="3" t="s">
        <v>6991</v>
      </c>
      <c r="C1051" s="3" t="s">
        <v>6985</v>
      </c>
      <c r="D1051" s="3" t="s">
        <v>2121</v>
      </c>
      <c r="E1051" s="3">
        <v>1050</v>
      </c>
      <c r="F1051" s="3" t="s">
        <v>5829</v>
      </c>
      <c r="G1051" s="3" t="s">
        <v>5</v>
      </c>
      <c r="H1051" s="4" t="s">
        <v>6559</v>
      </c>
      <c r="I1051" s="3" t="s">
        <v>1179</v>
      </c>
    </row>
    <row r="1052" spans="1:9" x14ac:dyDescent="0.25">
      <c r="A1052" s="3" t="s">
        <v>6983</v>
      </c>
      <c r="B1052" s="3" t="s">
        <v>6991</v>
      </c>
      <c r="C1052" s="3" t="s">
        <v>6985</v>
      </c>
      <c r="D1052" s="3" t="s">
        <v>2121</v>
      </c>
      <c r="E1052" s="3">
        <v>1051</v>
      </c>
      <c r="F1052" s="3" t="s">
        <v>5830</v>
      </c>
      <c r="G1052" s="3" t="s">
        <v>5</v>
      </c>
      <c r="H1052" s="4" t="s">
        <v>6560</v>
      </c>
      <c r="I1052" s="3" t="s">
        <v>1179</v>
      </c>
    </row>
    <row r="1053" spans="1:9" x14ac:dyDescent="0.25">
      <c r="A1053" s="3" t="s">
        <v>6983</v>
      </c>
      <c r="B1053" s="3" t="s">
        <v>6991</v>
      </c>
      <c r="C1053" s="3" t="s">
        <v>6985</v>
      </c>
      <c r="D1053" s="3" t="s">
        <v>2121</v>
      </c>
      <c r="E1053" s="3">
        <v>1052</v>
      </c>
      <c r="F1053" s="3" t="s">
        <v>5831</v>
      </c>
      <c r="G1053" s="3" t="s">
        <v>5</v>
      </c>
      <c r="H1053" s="4" t="s">
        <v>6561</v>
      </c>
      <c r="I1053" s="3" t="s">
        <v>1179</v>
      </c>
    </row>
    <row r="1054" spans="1:9" x14ac:dyDescent="0.25">
      <c r="A1054" s="3" t="s">
        <v>6983</v>
      </c>
      <c r="B1054" s="3" t="s">
        <v>6991</v>
      </c>
      <c r="C1054" s="3" t="s">
        <v>6985</v>
      </c>
      <c r="D1054" s="3" t="s">
        <v>2121</v>
      </c>
      <c r="E1054" s="3">
        <v>1053</v>
      </c>
      <c r="F1054" s="3" t="s">
        <v>5832</v>
      </c>
      <c r="G1054" s="3" t="s">
        <v>5</v>
      </c>
      <c r="H1054" s="4" t="s">
        <v>6562</v>
      </c>
      <c r="I1054" s="3" t="s">
        <v>1179</v>
      </c>
    </row>
    <row r="1055" spans="1:9" x14ac:dyDescent="0.25">
      <c r="A1055" s="3" t="s">
        <v>6983</v>
      </c>
      <c r="B1055" s="3" t="s">
        <v>6991</v>
      </c>
      <c r="C1055" s="3" t="s">
        <v>6985</v>
      </c>
      <c r="D1055" s="3" t="s">
        <v>2121</v>
      </c>
      <c r="E1055" s="3">
        <v>1054</v>
      </c>
      <c r="F1055" s="3" t="s">
        <v>5833</v>
      </c>
      <c r="G1055" s="3" t="s">
        <v>5</v>
      </c>
      <c r="H1055" s="4" t="s">
        <v>6563</v>
      </c>
      <c r="I1055" s="3" t="s">
        <v>1179</v>
      </c>
    </row>
    <row r="1056" spans="1:9" x14ac:dyDescent="0.25">
      <c r="A1056" s="3" t="s">
        <v>6983</v>
      </c>
      <c r="B1056" s="3" t="s">
        <v>6991</v>
      </c>
      <c r="C1056" s="3" t="s">
        <v>6985</v>
      </c>
      <c r="D1056" s="3" t="s">
        <v>2121</v>
      </c>
      <c r="E1056" s="3">
        <v>1055</v>
      </c>
      <c r="F1056" s="3" t="s">
        <v>5834</v>
      </c>
      <c r="G1056" s="3" t="s">
        <v>9</v>
      </c>
      <c r="H1056" s="4" t="s">
        <v>6564</v>
      </c>
      <c r="I1056" s="3" t="s">
        <v>1179</v>
      </c>
    </row>
    <row r="1057" spans="1:9" x14ac:dyDescent="0.25">
      <c r="A1057" s="3" t="s">
        <v>6983</v>
      </c>
      <c r="B1057" s="3" t="s">
        <v>6991</v>
      </c>
      <c r="C1057" s="3" t="s">
        <v>6985</v>
      </c>
      <c r="D1057" s="3" t="s">
        <v>2121</v>
      </c>
      <c r="E1057" s="3">
        <v>1056</v>
      </c>
      <c r="F1057" s="3" t="s">
        <v>5835</v>
      </c>
      <c r="G1057" s="3" t="s">
        <v>5</v>
      </c>
      <c r="H1057" s="4" t="s">
        <v>6565</v>
      </c>
      <c r="I1057" s="3" t="s">
        <v>1179</v>
      </c>
    </row>
    <row r="1058" spans="1:9" x14ac:dyDescent="0.25">
      <c r="A1058" s="3" t="s">
        <v>6983</v>
      </c>
      <c r="B1058" s="3" t="s">
        <v>6991</v>
      </c>
      <c r="C1058" s="3" t="s">
        <v>6985</v>
      </c>
      <c r="D1058" s="3" t="s">
        <v>2121</v>
      </c>
      <c r="E1058" s="3">
        <v>1057</v>
      </c>
      <c r="F1058" s="3" t="s">
        <v>5836</v>
      </c>
      <c r="G1058" s="3" t="s">
        <v>5</v>
      </c>
      <c r="H1058" s="4" t="s">
        <v>6566</v>
      </c>
      <c r="I1058" s="3" t="s">
        <v>1179</v>
      </c>
    </row>
    <row r="1059" spans="1:9" x14ac:dyDescent="0.25">
      <c r="A1059" s="3" t="s">
        <v>6983</v>
      </c>
      <c r="B1059" s="3" t="s">
        <v>6991</v>
      </c>
      <c r="C1059" s="3" t="s">
        <v>6985</v>
      </c>
      <c r="D1059" s="3" t="s">
        <v>2121</v>
      </c>
      <c r="E1059" s="3">
        <v>1058</v>
      </c>
      <c r="F1059" s="3" t="s">
        <v>5837</v>
      </c>
      <c r="G1059" s="3" t="s">
        <v>19</v>
      </c>
      <c r="H1059" s="4" t="s">
        <v>1190</v>
      </c>
      <c r="I1059" s="3" t="s">
        <v>1179</v>
      </c>
    </row>
    <row r="1060" spans="1:9" ht="15" customHeight="1" x14ac:dyDescent="0.25">
      <c r="A1060" s="3" t="s">
        <v>6983</v>
      </c>
      <c r="B1060" s="3" t="s">
        <v>6991</v>
      </c>
      <c r="C1060" s="3" t="s">
        <v>6985</v>
      </c>
      <c r="D1060" s="3" t="s">
        <v>2121</v>
      </c>
      <c r="E1060" s="3">
        <v>1059</v>
      </c>
      <c r="F1060" s="3" t="s">
        <v>5838</v>
      </c>
      <c r="G1060" s="3" t="s">
        <v>4</v>
      </c>
      <c r="H1060" s="4" t="s">
        <v>6567</v>
      </c>
      <c r="I1060" s="3" t="s">
        <v>1179</v>
      </c>
    </row>
    <row r="1061" spans="1:9" x14ac:dyDescent="0.25">
      <c r="A1061" s="3" t="s">
        <v>6983</v>
      </c>
      <c r="B1061" s="3" t="s">
        <v>6991</v>
      </c>
      <c r="C1061" s="3" t="s">
        <v>6985</v>
      </c>
      <c r="D1061" s="3" t="s">
        <v>2121</v>
      </c>
      <c r="E1061" s="3">
        <v>1060</v>
      </c>
      <c r="F1061" s="3" t="s">
        <v>5839</v>
      </c>
      <c r="G1061" s="3" t="s">
        <v>4</v>
      </c>
      <c r="H1061" s="4" t="s">
        <v>6568</v>
      </c>
      <c r="I1061" s="3" t="s">
        <v>1179</v>
      </c>
    </row>
    <row r="1062" spans="1:9" x14ac:dyDescent="0.25">
      <c r="A1062" s="3" t="s">
        <v>6983</v>
      </c>
      <c r="B1062" s="3" t="s">
        <v>6991</v>
      </c>
      <c r="C1062" s="3" t="s">
        <v>6985</v>
      </c>
      <c r="D1062" s="3" t="s">
        <v>2121</v>
      </c>
      <c r="E1062" s="3">
        <v>1061</v>
      </c>
      <c r="F1062" s="3" t="s">
        <v>5840</v>
      </c>
      <c r="G1062" s="3" t="s">
        <v>5</v>
      </c>
      <c r="H1062" s="4" t="s">
        <v>6569</v>
      </c>
      <c r="I1062" s="3" t="s">
        <v>1179</v>
      </c>
    </row>
    <row r="1063" spans="1:9" x14ac:dyDescent="0.25">
      <c r="A1063" s="3" t="s">
        <v>6983</v>
      </c>
      <c r="B1063" s="3" t="s">
        <v>6991</v>
      </c>
      <c r="C1063" s="3" t="s">
        <v>6985</v>
      </c>
      <c r="D1063" s="3" t="s">
        <v>2121</v>
      </c>
      <c r="E1063" s="3">
        <v>1062</v>
      </c>
      <c r="F1063" s="3" t="s">
        <v>5841</v>
      </c>
      <c r="G1063" s="3" t="s">
        <v>5</v>
      </c>
      <c r="H1063" s="4" t="s">
        <v>6570</v>
      </c>
      <c r="I1063" s="3" t="s">
        <v>1179</v>
      </c>
    </row>
    <row r="1064" spans="1:9" x14ac:dyDescent="0.25">
      <c r="A1064" s="3" t="s">
        <v>6983</v>
      </c>
      <c r="B1064" s="3" t="s">
        <v>6991</v>
      </c>
      <c r="C1064" s="3" t="s">
        <v>6985</v>
      </c>
      <c r="D1064" s="3" t="s">
        <v>2121</v>
      </c>
      <c r="E1064" s="3">
        <v>1063</v>
      </c>
      <c r="F1064" s="3" t="s">
        <v>5842</v>
      </c>
      <c r="G1064" s="3" t="s">
        <v>5</v>
      </c>
      <c r="H1064" s="4" t="s">
        <v>6571</v>
      </c>
      <c r="I1064" s="3" t="s">
        <v>1179</v>
      </c>
    </row>
    <row r="1065" spans="1:9" x14ac:dyDescent="0.25">
      <c r="A1065" s="3" t="s">
        <v>6983</v>
      </c>
      <c r="B1065" s="3" t="s">
        <v>6991</v>
      </c>
      <c r="C1065" s="3" t="s">
        <v>6985</v>
      </c>
      <c r="D1065" s="3" t="s">
        <v>2121</v>
      </c>
      <c r="E1065" s="3">
        <v>1064</v>
      </c>
      <c r="F1065" s="3" t="s">
        <v>5843</v>
      </c>
      <c r="G1065" s="3" t="s">
        <v>5</v>
      </c>
      <c r="H1065" s="4" t="s">
        <v>6572</v>
      </c>
      <c r="I1065" s="3" t="s">
        <v>1179</v>
      </c>
    </row>
    <row r="1066" spans="1:9" x14ac:dyDescent="0.25">
      <c r="A1066" s="3" t="s">
        <v>6983</v>
      </c>
      <c r="B1066" s="3" t="s">
        <v>6991</v>
      </c>
      <c r="C1066" s="3" t="s">
        <v>6985</v>
      </c>
      <c r="D1066" s="3" t="s">
        <v>2121</v>
      </c>
      <c r="E1066" s="3">
        <v>1065</v>
      </c>
      <c r="F1066" s="3" t="s">
        <v>5844</v>
      </c>
      <c r="G1066" s="3" t="s">
        <v>9</v>
      </c>
      <c r="H1066" s="4" t="s">
        <v>6573</v>
      </c>
      <c r="I1066" s="3" t="s">
        <v>1179</v>
      </c>
    </row>
    <row r="1067" spans="1:9" x14ac:dyDescent="0.25">
      <c r="A1067" s="3" t="s">
        <v>6983</v>
      </c>
      <c r="B1067" s="3" t="s">
        <v>6991</v>
      </c>
      <c r="C1067" s="3" t="s">
        <v>6985</v>
      </c>
      <c r="D1067" s="3" t="s">
        <v>2121</v>
      </c>
      <c r="E1067" s="3">
        <v>1066</v>
      </c>
      <c r="F1067" s="3" t="s">
        <v>5845</v>
      </c>
      <c r="G1067" s="3" t="s">
        <v>5</v>
      </c>
      <c r="H1067" s="4" t="s">
        <v>6574</v>
      </c>
      <c r="I1067" s="3" t="s">
        <v>1179</v>
      </c>
    </row>
    <row r="1068" spans="1:9" x14ac:dyDescent="0.25">
      <c r="A1068" s="3" t="s">
        <v>6983</v>
      </c>
      <c r="B1068" s="3" t="s">
        <v>6991</v>
      </c>
      <c r="C1068" s="3" t="s">
        <v>6985</v>
      </c>
      <c r="D1068" s="3" t="s">
        <v>2121</v>
      </c>
      <c r="E1068" s="3">
        <v>1067</v>
      </c>
      <c r="F1068" s="3" t="s">
        <v>5846</v>
      </c>
      <c r="G1068" s="3" t="s">
        <v>5</v>
      </c>
      <c r="H1068" s="4" t="s">
        <v>6575</v>
      </c>
      <c r="I1068" s="3" t="s">
        <v>1179</v>
      </c>
    </row>
    <row r="1069" spans="1:9" x14ac:dyDescent="0.25">
      <c r="A1069" s="3" t="s">
        <v>6983</v>
      </c>
      <c r="B1069" s="3" t="s">
        <v>6991</v>
      </c>
      <c r="C1069" s="3" t="s">
        <v>6985</v>
      </c>
      <c r="D1069" s="3" t="s">
        <v>2121</v>
      </c>
      <c r="E1069" s="3">
        <v>1068</v>
      </c>
      <c r="F1069" s="3" t="s">
        <v>5847</v>
      </c>
      <c r="G1069" s="3" t="s">
        <v>16</v>
      </c>
      <c r="H1069" s="4" t="s">
        <v>6576</v>
      </c>
      <c r="I1069" s="3" t="s">
        <v>1179</v>
      </c>
    </row>
    <row r="1070" spans="1:9" x14ac:dyDescent="0.25">
      <c r="A1070" s="3" t="s">
        <v>6983</v>
      </c>
      <c r="B1070" s="3" t="s">
        <v>6991</v>
      </c>
      <c r="C1070" s="3" t="s">
        <v>6985</v>
      </c>
      <c r="D1070" s="3" t="s">
        <v>2121</v>
      </c>
      <c r="E1070" s="3">
        <v>1069</v>
      </c>
      <c r="F1070" s="3" t="s">
        <v>5848</v>
      </c>
      <c r="G1070" s="3" t="s">
        <v>16</v>
      </c>
      <c r="H1070" s="4" t="s">
        <v>6577</v>
      </c>
      <c r="I1070" s="3" t="s">
        <v>1179</v>
      </c>
    </row>
    <row r="1071" spans="1:9" x14ac:dyDescent="0.25">
      <c r="A1071" s="3" t="s">
        <v>6983</v>
      </c>
      <c r="B1071" s="3" t="s">
        <v>6991</v>
      </c>
      <c r="C1071" s="3" t="s">
        <v>6985</v>
      </c>
      <c r="D1071" s="3" t="s">
        <v>2121</v>
      </c>
      <c r="E1071" s="3">
        <v>1070</v>
      </c>
      <c r="F1071" s="3" t="s">
        <v>5849</v>
      </c>
      <c r="G1071" s="3" t="s">
        <v>16</v>
      </c>
      <c r="H1071" s="4" t="s">
        <v>6578</v>
      </c>
      <c r="I1071" s="3" t="s">
        <v>1179</v>
      </c>
    </row>
    <row r="1072" spans="1:9" x14ac:dyDescent="0.25">
      <c r="A1072" s="3" t="s">
        <v>6983</v>
      </c>
      <c r="B1072" s="3" t="s">
        <v>6991</v>
      </c>
      <c r="C1072" s="3" t="s">
        <v>6985</v>
      </c>
      <c r="D1072" s="3" t="s">
        <v>2121</v>
      </c>
      <c r="E1072" s="3">
        <v>1071</v>
      </c>
      <c r="F1072" s="3" t="s">
        <v>5850</v>
      </c>
      <c r="G1072" s="3" t="s">
        <v>17</v>
      </c>
      <c r="H1072" s="4" t="s">
        <v>6579</v>
      </c>
      <c r="I1072" s="3" t="s">
        <v>1179</v>
      </c>
    </row>
    <row r="1073" spans="1:9" x14ac:dyDescent="0.25">
      <c r="A1073" s="3" t="s">
        <v>6983</v>
      </c>
      <c r="B1073" s="3" t="s">
        <v>6991</v>
      </c>
      <c r="C1073" s="3" t="s">
        <v>6985</v>
      </c>
      <c r="D1073" s="3" t="s">
        <v>2121</v>
      </c>
      <c r="E1073" s="3">
        <v>1072</v>
      </c>
      <c r="F1073" s="3" t="s">
        <v>5851</v>
      </c>
      <c r="G1073" s="3" t="s">
        <v>1104</v>
      </c>
      <c r="H1073" s="4" t="s">
        <v>6911</v>
      </c>
      <c r="I1073" s="3" t="s">
        <v>1179</v>
      </c>
    </row>
    <row r="1074" spans="1:9" x14ac:dyDescent="0.25">
      <c r="A1074" s="3" t="s">
        <v>6983</v>
      </c>
      <c r="B1074" s="3" t="s">
        <v>6991</v>
      </c>
      <c r="C1074" s="3" t="s">
        <v>6985</v>
      </c>
      <c r="D1074" s="3" t="s">
        <v>2121</v>
      </c>
      <c r="E1074" s="3">
        <v>1073</v>
      </c>
      <c r="F1074" s="3" t="s">
        <v>5852</v>
      </c>
      <c r="G1074" s="3" t="s">
        <v>5</v>
      </c>
      <c r="H1074" s="4" t="s">
        <v>6580</v>
      </c>
      <c r="I1074" s="3" t="s">
        <v>1179</v>
      </c>
    </row>
    <row r="1075" spans="1:9" x14ac:dyDescent="0.25">
      <c r="A1075" s="3" t="s">
        <v>6983</v>
      </c>
      <c r="B1075" s="3" t="s">
        <v>6991</v>
      </c>
      <c r="C1075" s="3" t="s">
        <v>6985</v>
      </c>
      <c r="D1075" s="3" t="s">
        <v>2121</v>
      </c>
      <c r="E1075" s="3">
        <v>1074</v>
      </c>
      <c r="F1075" s="3" t="s">
        <v>5853</v>
      </c>
      <c r="G1075" s="3" t="s">
        <v>9</v>
      </c>
      <c r="H1075" s="4" t="s">
        <v>6581</v>
      </c>
      <c r="I1075" s="3" t="s">
        <v>1179</v>
      </c>
    </row>
    <row r="1076" spans="1:9" x14ac:dyDescent="0.25">
      <c r="A1076" s="3" t="s">
        <v>6983</v>
      </c>
      <c r="B1076" s="3" t="s">
        <v>6991</v>
      </c>
      <c r="C1076" s="3" t="s">
        <v>6985</v>
      </c>
      <c r="D1076" s="3" t="s">
        <v>2121</v>
      </c>
      <c r="E1076" s="3">
        <v>1075</v>
      </c>
      <c r="F1076" s="3" t="s">
        <v>5854</v>
      </c>
      <c r="G1076" s="3" t="s">
        <v>5</v>
      </c>
      <c r="H1076" s="3" t="s">
        <v>6452</v>
      </c>
    </row>
    <row r="1077" spans="1:9" x14ac:dyDescent="0.25">
      <c r="A1077" s="3" t="s">
        <v>6983</v>
      </c>
      <c r="B1077" s="3" t="s">
        <v>6991</v>
      </c>
      <c r="C1077" s="3" t="s">
        <v>6985</v>
      </c>
      <c r="D1077" s="3" t="s">
        <v>2121</v>
      </c>
      <c r="E1077" s="3">
        <v>1076</v>
      </c>
      <c r="F1077" s="3" t="s">
        <v>5855</v>
      </c>
      <c r="G1077" s="3" t="s">
        <v>5</v>
      </c>
      <c r="H1077" s="3" t="s">
        <v>6452</v>
      </c>
    </row>
    <row r="1078" spans="1:9" x14ac:dyDescent="0.25">
      <c r="A1078" s="3" t="s">
        <v>6983</v>
      </c>
      <c r="B1078" s="3" t="s">
        <v>6991</v>
      </c>
      <c r="C1078" s="3" t="s">
        <v>6985</v>
      </c>
      <c r="D1078" s="3" t="s">
        <v>2121</v>
      </c>
      <c r="E1078" s="3">
        <v>1077</v>
      </c>
      <c r="F1078" s="3" t="s">
        <v>5856</v>
      </c>
      <c r="G1078" s="3" t="s">
        <v>5</v>
      </c>
      <c r="H1078" s="3" t="s">
        <v>6452</v>
      </c>
    </row>
    <row r="1079" spans="1:9" x14ac:dyDescent="0.25">
      <c r="A1079" s="3" t="s">
        <v>6983</v>
      </c>
      <c r="B1079" s="3" t="s">
        <v>6991</v>
      </c>
      <c r="C1079" s="3" t="s">
        <v>6985</v>
      </c>
      <c r="D1079" s="3" t="s">
        <v>2121</v>
      </c>
      <c r="E1079" s="3">
        <v>1078</v>
      </c>
      <c r="F1079" s="3" t="s">
        <v>5857</v>
      </c>
      <c r="G1079" s="3" t="s">
        <v>5</v>
      </c>
      <c r="H1079" s="3" t="s">
        <v>6452</v>
      </c>
    </row>
    <row r="1080" spans="1:9" x14ac:dyDescent="0.25">
      <c r="A1080" s="3" t="s">
        <v>6983</v>
      </c>
      <c r="B1080" s="3" t="s">
        <v>6991</v>
      </c>
      <c r="C1080" s="3" t="s">
        <v>6985</v>
      </c>
      <c r="D1080" s="3" t="s">
        <v>6270</v>
      </c>
      <c r="E1080" s="3">
        <v>1079</v>
      </c>
      <c r="F1080" s="3" t="s">
        <v>5858</v>
      </c>
      <c r="G1080" s="3" t="s">
        <v>5</v>
      </c>
      <c r="H1080" s="3" t="s">
        <v>6522</v>
      </c>
    </row>
    <row r="1081" spans="1:9" x14ac:dyDescent="0.25">
      <c r="A1081" s="3" t="s">
        <v>6983</v>
      </c>
      <c r="B1081" s="3" t="s">
        <v>6991</v>
      </c>
      <c r="C1081" s="3" t="s">
        <v>6985</v>
      </c>
      <c r="D1081" s="3" t="s">
        <v>6270</v>
      </c>
      <c r="E1081" s="3">
        <v>1080</v>
      </c>
      <c r="F1081" s="3" t="s">
        <v>5859</v>
      </c>
      <c r="G1081" s="3" t="s">
        <v>2099</v>
      </c>
      <c r="H1081" s="3" t="s">
        <v>6419</v>
      </c>
    </row>
    <row r="1082" spans="1:9" x14ac:dyDescent="0.25">
      <c r="A1082" s="3" t="s">
        <v>6983</v>
      </c>
      <c r="B1082" s="3" t="s">
        <v>6991</v>
      </c>
      <c r="C1082" s="3" t="s">
        <v>6985</v>
      </c>
      <c r="D1082" s="3" t="s">
        <v>6270</v>
      </c>
      <c r="E1082" s="3">
        <v>1081</v>
      </c>
      <c r="F1082" s="3" t="s">
        <v>5860</v>
      </c>
      <c r="G1082" s="3" t="s">
        <v>5978</v>
      </c>
      <c r="H1082" s="3" t="s">
        <v>6523</v>
      </c>
    </row>
    <row r="1083" spans="1:9" x14ac:dyDescent="0.25">
      <c r="A1083" s="3" t="s">
        <v>6983</v>
      </c>
      <c r="B1083" s="3" t="s">
        <v>6991</v>
      </c>
      <c r="C1083" s="3" t="s">
        <v>6985</v>
      </c>
      <c r="D1083" s="3" t="s">
        <v>6270</v>
      </c>
      <c r="E1083" s="3">
        <v>1082</v>
      </c>
      <c r="F1083" s="3" t="s">
        <v>5861</v>
      </c>
      <c r="G1083" s="3" t="s">
        <v>1095</v>
      </c>
      <c r="H1083" s="3" t="s">
        <v>6524</v>
      </c>
    </row>
    <row r="1084" spans="1:9" x14ac:dyDescent="0.25">
      <c r="A1084" s="3" t="s">
        <v>6983</v>
      </c>
      <c r="B1084" s="3" t="s">
        <v>6991</v>
      </c>
      <c r="C1084" s="3" t="s">
        <v>6985</v>
      </c>
      <c r="D1084" s="3" t="s">
        <v>6270</v>
      </c>
      <c r="E1084" s="3">
        <v>1083</v>
      </c>
      <c r="F1084" s="3" t="s">
        <v>5862</v>
      </c>
      <c r="G1084" s="3" t="s">
        <v>1095</v>
      </c>
      <c r="H1084" s="3" t="s">
        <v>6416</v>
      </c>
    </row>
    <row r="1085" spans="1:9" x14ac:dyDescent="0.25">
      <c r="A1085" s="3" t="s">
        <v>6983</v>
      </c>
      <c r="B1085" s="3" t="s">
        <v>6991</v>
      </c>
      <c r="C1085" s="3" t="s">
        <v>6985</v>
      </c>
      <c r="D1085" s="3" t="s">
        <v>6270</v>
      </c>
      <c r="E1085" s="3">
        <v>1084</v>
      </c>
      <c r="F1085" s="3" t="s">
        <v>5863</v>
      </c>
      <c r="G1085" s="3" t="s">
        <v>1096</v>
      </c>
      <c r="H1085" s="3" t="s">
        <v>6525</v>
      </c>
    </row>
    <row r="1086" spans="1:9" x14ac:dyDescent="0.25">
      <c r="A1086" s="3" t="s">
        <v>6983</v>
      </c>
      <c r="B1086" s="3" t="s">
        <v>6991</v>
      </c>
      <c r="C1086" s="3" t="s">
        <v>6985</v>
      </c>
      <c r="D1086" s="3" t="s">
        <v>6271</v>
      </c>
      <c r="E1086" s="3">
        <v>1085</v>
      </c>
      <c r="F1086" s="3" t="s">
        <v>5864</v>
      </c>
      <c r="G1086" s="3" t="s">
        <v>11</v>
      </c>
      <c r="H1086" s="3" t="s">
        <v>6469</v>
      </c>
    </row>
    <row r="1087" spans="1:9" x14ac:dyDescent="0.25">
      <c r="A1087" s="3" t="s">
        <v>6983</v>
      </c>
      <c r="B1087" s="3" t="s">
        <v>6991</v>
      </c>
      <c r="C1087" s="3" t="s">
        <v>6985</v>
      </c>
      <c r="D1087" s="3" t="s">
        <v>6271</v>
      </c>
      <c r="E1087" s="3">
        <v>1086</v>
      </c>
      <c r="F1087" s="3" t="s">
        <v>5865</v>
      </c>
      <c r="G1087" s="3" t="s">
        <v>1104</v>
      </c>
      <c r="H1087" s="4" t="s">
        <v>6924</v>
      </c>
    </row>
    <row r="1088" spans="1:9" x14ac:dyDescent="0.25">
      <c r="A1088" s="3" t="s">
        <v>6983</v>
      </c>
      <c r="B1088" s="3" t="s">
        <v>6991</v>
      </c>
      <c r="C1088" s="3" t="s">
        <v>6985</v>
      </c>
      <c r="D1088" s="3" t="s">
        <v>6271</v>
      </c>
      <c r="E1088" s="3">
        <v>1087</v>
      </c>
      <c r="F1088" s="3" t="s">
        <v>5866</v>
      </c>
      <c r="G1088" s="3" t="s">
        <v>5998</v>
      </c>
      <c r="H1088" s="3" t="s">
        <v>6504</v>
      </c>
    </row>
    <row r="1089" spans="1:8" x14ac:dyDescent="0.25">
      <c r="A1089" s="3" t="s">
        <v>6983</v>
      </c>
      <c r="B1089" s="3" t="s">
        <v>6991</v>
      </c>
      <c r="C1089" s="3" t="s">
        <v>6985</v>
      </c>
      <c r="D1089" s="3" t="s">
        <v>6271</v>
      </c>
      <c r="E1089" s="3">
        <v>1088</v>
      </c>
      <c r="F1089" s="3" t="s">
        <v>5867</v>
      </c>
      <c r="G1089" s="3" t="s">
        <v>5999</v>
      </c>
      <c r="H1089" s="3" t="s">
        <v>6467</v>
      </c>
    </row>
    <row r="1090" spans="1:8" x14ac:dyDescent="0.25">
      <c r="A1090" s="3" t="s">
        <v>6983</v>
      </c>
      <c r="B1090" s="3" t="s">
        <v>6991</v>
      </c>
      <c r="C1090" s="3" t="s">
        <v>6985</v>
      </c>
      <c r="D1090" s="3" t="s">
        <v>6271</v>
      </c>
      <c r="E1090" s="3">
        <v>1089</v>
      </c>
      <c r="F1090" s="3" t="s">
        <v>5868</v>
      </c>
      <c r="G1090" s="3" t="s">
        <v>5984</v>
      </c>
      <c r="H1090" s="3" t="s">
        <v>6470</v>
      </c>
    </row>
    <row r="1091" spans="1:8" x14ac:dyDescent="0.25">
      <c r="A1091" s="3" t="s">
        <v>6983</v>
      </c>
      <c r="B1091" s="3" t="s">
        <v>6991</v>
      </c>
      <c r="C1091" s="3" t="s">
        <v>6985</v>
      </c>
      <c r="D1091" s="3" t="s">
        <v>6271</v>
      </c>
      <c r="E1091" s="3">
        <v>1090</v>
      </c>
      <c r="F1091" s="3" t="s">
        <v>5869</v>
      </c>
      <c r="G1091" s="3" t="s">
        <v>5984</v>
      </c>
      <c r="H1091" s="3" t="s">
        <v>6471</v>
      </c>
    </row>
    <row r="1092" spans="1:8" x14ac:dyDescent="0.25">
      <c r="A1092" s="3" t="s">
        <v>6983</v>
      </c>
      <c r="B1092" s="3" t="s">
        <v>6991</v>
      </c>
      <c r="C1092" s="3" t="s">
        <v>6985</v>
      </c>
      <c r="D1092" s="3" t="s">
        <v>6271</v>
      </c>
      <c r="E1092" s="3">
        <v>1091</v>
      </c>
      <c r="F1092" s="3" t="s">
        <v>5870</v>
      </c>
      <c r="G1092" s="3" t="s">
        <v>5994</v>
      </c>
      <c r="H1092" s="3" t="s">
        <v>6468</v>
      </c>
    </row>
    <row r="1093" spans="1:8" x14ac:dyDescent="0.25">
      <c r="A1093" s="3" t="s">
        <v>6983</v>
      </c>
      <c r="B1093" s="3" t="s">
        <v>6991</v>
      </c>
      <c r="C1093" s="3" t="s">
        <v>6985</v>
      </c>
      <c r="D1093" s="3" t="s">
        <v>6271</v>
      </c>
      <c r="E1093" s="3">
        <v>1092</v>
      </c>
      <c r="F1093" s="3" t="s">
        <v>5871</v>
      </c>
      <c r="G1093" s="3" t="s">
        <v>5999</v>
      </c>
      <c r="H1093" s="3" t="s">
        <v>6472</v>
      </c>
    </row>
    <row r="1094" spans="1:8" x14ac:dyDescent="0.25">
      <c r="A1094" s="3" t="s">
        <v>6983</v>
      </c>
      <c r="B1094" s="3" t="s">
        <v>6991</v>
      </c>
      <c r="C1094" s="3" t="s">
        <v>6985</v>
      </c>
      <c r="D1094" s="3" t="s">
        <v>6271</v>
      </c>
      <c r="E1094" s="3">
        <v>1093</v>
      </c>
      <c r="F1094" s="3" t="s">
        <v>5872</v>
      </c>
      <c r="G1094" s="3" t="s">
        <v>5984</v>
      </c>
      <c r="H1094" s="3" t="s">
        <v>6473</v>
      </c>
    </row>
    <row r="1095" spans="1:8" x14ac:dyDescent="0.25">
      <c r="A1095" s="3" t="s">
        <v>6983</v>
      </c>
      <c r="B1095" s="3" t="s">
        <v>6991</v>
      </c>
      <c r="C1095" s="3" t="s">
        <v>6985</v>
      </c>
      <c r="D1095" s="3" t="s">
        <v>6271</v>
      </c>
      <c r="E1095" s="3">
        <v>1094</v>
      </c>
      <c r="F1095" s="3" t="s">
        <v>5873</v>
      </c>
      <c r="G1095" s="3" t="s">
        <v>5984</v>
      </c>
      <c r="H1095" s="3" t="s">
        <v>6474</v>
      </c>
    </row>
    <row r="1096" spans="1:8" x14ac:dyDescent="0.25">
      <c r="A1096" s="3" t="s">
        <v>6983</v>
      </c>
      <c r="B1096" s="3" t="s">
        <v>6991</v>
      </c>
      <c r="C1096" s="3" t="s">
        <v>6985</v>
      </c>
      <c r="D1096" s="3" t="s">
        <v>6271</v>
      </c>
      <c r="E1096" s="3">
        <v>1095</v>
      </c>
      <c r="F1096" s="3" t="s">
        <v>5874</v>
      </c>
      <c r="G1096" s="3" t="s">
        <v>5994</v>
      </c>
      <c r="H1096" s="3" t="s">
        <v>6475</v>
      </c>
    </row>
    <row r="1097" spans="1:8" x14ac:dyDescent="0.25">
      <c r="A1097" s="3" t="s">
        <v>6983</v>
      </c>
      <c r="B1097" s="3" t="s">
        <v>6991</v>
      </c>
      <c r="C1097" s="3" t="s">
        <v>6985</v>
      </c>
      <c r="D1097" s="3" t="s">
        <v>6271</v>
      </c>
      <c r="E1097" s="3">
        <v>1096</v>
      </c>
      <c r="F1097" s="3" t="s">
        <v>5875</v>
      </c>
      <c r="G1097" s="3" t="s">
        <v>5999</v>
      </c>
      <c r="H1097" s="3" t="s">
        <v>6476</v>
      </c>
    </row>
    <row r="1098" spans="1:8" x14ac:dyDescent="0.25">
      <c r="A1098" s="3" t="s">
        <v>6983</v>
      </c>
      <c r="B1098" s="3" t="s">
        <v>6991</v>
      </c>
      <c r="C1098" s="3" t="s">
        <v>6985</v>
      </c>
      <c r="D1098" s="3" t="s">
        <v>6271</v>
      </c>
      <c r="E1098" s="3">
        <v>1097</v>
      </c>
      <c r="F1098" s="3" t="s">
        <v>5876</v>
      </c>
      <c r="G1098" s="3" t="s">
        <v>5984</v>
      </c>
      <c r="H1098" s="3" t="s">
        <v>6477</v>
      </c>
    </row>
    <row r="1099" spans="1:8" x14ac:dyDescent="0.25">
      <c r="A1099" s="3" t="s">
        <v>6983</v>
      </c>
      <c r="B1099" s="3" t="s">
        <v>6991</v>
      </c>
      <c r="C1099" s="3" t="s">
        <v>6985</v>
      </c>
      <c r="D1099" s="3" t="s">
        <v>6271</v>
      </c>
      <c r="E1099" s="3">
        <v>1098</v>
      </c>
      <c r="F1099" s="3" t="s">
        <v>5877</v>
      </c>
      <c r="G1099" s="3" t="s">
        <v>5984</v>
      </c>
      <c r="H1099" s="3" t="s">
        <v>6478</v>
      </c>
    </row>
    <row r="1100" spans="1:8" x14ac:dyDescent="0.25">
      <c r="A1100" s="3" t="s">
        <v>6983</v>
      </c>
      <c r="B1100" s="3" t="s">
        <v>6991</v>
      </c>
      <c r="C1100" s="3" t="s">
        <v>6985</v>
      </c>
      <c r="D1100" s="3" t="s">
        <v>6271</v>
      </c>
      <c r="E1100" s="3">
        <v>1099</v>
      </c>
      <c r="F1100" s="3" t="s">
        <v>5878</v>
      </c>
      <c r="G1100" s="3" t="s">
        <v>5994</v>
      </c>
      <c r="H1100" s="3" t="s">
        <v>6479</v>
      </c>
    </row>
    <row r="1101" spans="1:8" x14ac:dyDescent="0.25">
      <c r="A1101" s="3" t="s">
        <v>6983</v>
      </c>
      <c r="B1101" s="3" t="s">
        <v>6991</v>
      </c>
      <c r="C1101" s="3" t="s">
        <v>6985</v>
      </c>
      <c r="D1101" s="3" t="s">
        <v>6271</v>
      </c>
      <c r="E1101" s="3">
        <v>1100</v>
      </c>
      <c r="F1101" s="3" t="s">
        <v>5879</v>
      </c>
      <c r="G1101" s="3" t="s">
        <v>5999</v>
      </c>
      <c r="H1101" s="3" t="s">
        <v>6480</v>
      </c>
    </row>
    <row r="1102" spans="1:8" x14ac:dyDescent="0.25">
      <c r="A1102" s="3" t="s">
        <v>6983</v>
      </c>
      <c r="B1102" s="3" t="s">
        <v>6991</v>
      </c>
      <c r="C1102" s="3" t="s">
        <v>6985</v>
      </c>
      <c r="D1102" s="3" t="s">
        <v>6271</v>
      </c>
      <c r="E1102" s="3">
        <v>1101</v>
      </c>
      <c r="F1102" s="3" t="s">
        <v>5880</v>
      </c>
      <c r="G1102" s="3" t="s">
        <v>5984</v>
      </c>
      <c r="H1102" s="3" t="s">
        <v>6482</v>
      </c>
    </row>
    <row r="1103" spans="1:8" x14ac:dyDescent="0.25">
      <c r="A1103" s="3" t="s">
        <v>6983</v>
      </c>
      <c r="B1103" s="3" t="s">
        <v>6991</v>
      </c>
      <c r="C1103" s="3" t="s">
        <v>6985</v>
      </c>
      <c r="D1103" s="3" t="s">
        <v>6271</v>
      </c>
      <c r="E1103" s="3">
        <v>1102</v>
      </c>
      <c r="F1103" s="3" t="s">
        <v>5881</v>
      </c>
      <c r="G1103" s="3" t="s">
        <v>5984</v>
      </c>
      <c r="H1103" s="3" t="s">
        <v>6483</v>
      </c>
    </row>
    <row r="1104" spans="1:8" x14ac:dyDescent="0.25">
      <c r="A1104" s="3" t="s">
        <v>6983</v>
      </c>
      <c r="B1104" s="3" t="s">
        <v>6991</v>
      </c>
      <c r="C1104" s="3" t="s">
        <v>6985</v>
      </c>
      <c r="D1104" s="3" t="s">
        <v>6271</v>
      </c>
      <c r="E1104" s="3">
        <v>1103</v>
      </c>
      <c r="F1104" s="3" t="s">
        <v>5882</v>
      </c>
      <c r="G1104" s="3" t="s">
        <v>5994</v>
      </c>
      <c r="H1104" s="3" t="s">
        <v>6481</v>
      </c>
    </row>
    <row r="1105" spans="1:8" x14ac:dyDescent="0.25">
      <c r="A1105" s="3" t="s">
        <v>6983</v>
      </c>
      <c r="B1105" s="3" t="s">
        <v>6991</v>
      </c>
      <c r="C1105" s="3" t="s">
        <v>6985</v>
      </c>
      <c r="D1105" s="3" t="s">
        <v>6271</v>
      </c>
      <c r="E1105" s="3">
        <v>1104</v>
      </c>
      <c r="F1105" s="3" t="s">
        <v>5883</v>
      </c>
      <c r="G1105" s="3" t="s">
        <v>5999</v>
      </c>
      <c r="H1105" s="3" t="s">
        <v>6484</v>
      </c>
    </row>
    <row r="1106" spans="1:8" x14ac:dyDescent="0.25">
      <c r="A1106" s="3" t="s">
        <v>6983</v>
      </c>
      <c r="B1106" s="3" t="s">
        <v>6991</v>
      </c>
      <c r="C1106" s="3" t="s">
        <v>6985</v>
      </c>
      <c r="D1106" s="3" t="s">
        <v>6271</v>
      </c>
      <c r="E1106" s="3">
        <v>1105</v>
      </c>
      <c r="F1106" s="3" t="s">
        <v>5884</v>
      </c>
      <c r="G1106" s="3" t="s">
        <v>5984</v>
      </c>
      <c r="H1106" s="3" t="s">
        <v>6486</v>
      </c>
    </row>
    <row r="1107" spans="1:8" x14ac:dyDescent="0.25">
      <c r="A1107" s="3" t="s">
        <v>6983</v>
      </c>
      <c r="B1107" s="3" t="s">
        <v>6991</v>
      </c>
      <c r="C1107" s="3" t="s">
        <v>6985</v>
      </c>
      <c r="D1107" s="3" t="s">
        <v>6271</v>
      </c>
      <c r="E1107" s="3">
        <v>1106</v>
      </c>
      <c r="F1107" s="3" t="s">
        <v>5885</v>
      </c>
      <c r="G1107" s="3" t="s">
        <v>5984</v>
      </c>
      <c r="H1107" s="3" t="s">
        <v>6487</v>
      </c>
    </row>
    <row r="1108" spans="1:8" x14ac:dyDescent="0.25">
      <c r="A1108" s="3" t="s">
        <v>6983</v>
      </c>
      <c r="B1108" s="3" t="s">
        <v>6991</v>
      </c>
      <c r="C1108" s="3" t="s">
        <v>6985</v>
      </c>
      <c r="D1108" s="3" t="s">
        <v>6271</v>
      </c>
      <c r="E1108" s="3">
        <v>1107</v>
      </c>
      <c r="F1108" s="3" t="s">
        <v>5886</v>
      </c>
      <c r="G1108" s="3" t="s">
        <v>5994</v>
      </c>
      <c r="H1108" s="3" t="s">
        <v>6485</v>
      </c>
    </row>
    <row r="1109" spans="1:8" x14ac:dyDescent="0.25">
      <c r="A1109" s="3" t="s">
        <v>6983</v>
      </c>
      <c r="B1109" s="3" t="s">
        <v>6991</v>
      </c>
      <c r="C1109" s="3" t="s">
        <v>6985</v>
      </c>
      <c r="D1109" s="3" t="s">
        <v>6271</v>
      </c>
      <c r="E1109" s="3">
        <v>1108</v>
      </c>
      <c r="F1109" s="3" t="s">
        <v>5887</v>
      </c>
      <c r="G1109" s="3" t="s">
        <v>5999</v>
      </c>
      <c r="H1109" s="3" t="s">
        <v>6488</v>
      </c>
    </row>
    <row r="1110" spans="1:8" x14ac:dyDescent="0.25">
      <c r="A1110" s="3" t="s">
        <v>6983</v>
      </c>
      <c r="B1110" s="3" t="s">
        <v>6991</v>
      </c>
      <c r="C1110" s="3" t="s">
        <v>6985</v>
      </c>
      <c r="D1110" s="3" t="s">
        <v>6271</v>
      </c>
      <c r="E1110" s="3">
        <v>1109</v>
      </c>
      <c r="F1110" s="3" t="s">
        <v>5888</v>
      </c>
      <c r="G1110" s="3" t="s">
        <v>5984</v>
      </c>
      <c r="H1110" s="3" t="s">
        <v>6490</v>
      </c>
    </row>
    <row r="1111" spans="1:8" x14ac:dyDescent="0.25">
      <c r="A1111" s="3" t="s">
        <v>6983</v>
      </c>
      <c r="B1111" s="3" t="s">
        <v>6991</v>
      </c>
      <c r="C1111" s="3" t="s">
        <v>6985</v>
      </c>
      <c r="D1111" s="3" t="s">
        <v>6271</v>
      </c>
      <c r="E1111" s="3">
        <v>1110</v>
      </c>
      <c r="F1111" s="3" t="s">
        <v>5889</v>
      </c>
      <c r="G1111" s="3" t="s">
        <v>5984</v>
      </c>
      <c r="H1111" s="3" t="s">
        <v>6491</v>
      </c>
    </row>
    <row r="1112" spans="1:8" x14ac:dyDescent="0.25">
      <c r="A1112" s="3" t="s">
        <v>6983</v>
      </c>
      <c r="B1112" s="3" t="s">
        <v>6991</v>
      </c>
      <c r="C1112" s="3" t="s">
        <v>6985</v>
      </c>
      <c r="D1112" s="3" t="s">
        <v>6271</v>
      </c>
      <c r="E1112" s="3">
        <v>1111</v>
      </c>
      <c r="F1112" s="3" t="s">
        <v>5890</v>
      </c>
      <c r="G1112" s="3" t="s">
        <v>5994</v>
      </c>
      <c r="H1112" s="3" t="s">
        <v>6489</v>
      </c>
    </row>
    <row r="1113" spans="1:8" x14ac:dyDescent="0.25">
      <c r="A1113" s="3" t="s">
        <v>6983</v>
      </c>
      <c r="B1113" s="3" t="s">
        <v>6991</v>
      </c>
      <c r="C1113" s="3" t="s">
        <v>6985</v>
      </c>
      <c r="D1113" s="3" t="s">
        <v>6271</v>
      </c>
      <c r="E1113" s="3">
        <v>1112</v>
      </c>
      <c r="F1113" s="3" t="s">
        <v>5891</v>
      </c>
      <c r="G1113" s="3" t="s">
        <v>5999</v>
      </c>
      <c r="H1113" s="3" t="s">
        <v>6492</v>
      </c>
    </row>
    <row r="1114" spans="1:8" x14ac:dyDescent="0.25">
      <c r="A1114" s="3" t="s">
        <v>6983</v>
      </c>
      <c r="B1114" s="3" t="s">
        <v>6991</v>
      </c>
      <c r="C1114" s="3" t="s">
        <v>6985</v>
      </c>
      <c r="D1114" s="3" t="s">
        <v>6271</v>
      </c>
      <c r="E1114" s="3">
        <v>1113</v>
      </c>
      <c r="F1114" s="3" t="s">
        <v>5892</v>
      </c>
      <c r="G1114" s="3" t="s">
        <v>5984</v>
      </c>
      <c r="H1114" s="3" t="s">
        <v>6494</v>
      </c>
    </row>
    <row r="1115" spans="1:8" x14ac:dyDescent="0.25">
      <c r="A1115" s="3" t="s">
        <v>6983</v>
      </c>
      <c r="B1115" s="3" t="s">
        <v>6991</v>
      </c>
      <c r="C1115" s="3" t="s">
        <v>6985</v>
      </c>
      <c r="D1115" s="3" t="s">
        <v>6271</v>
      </c>
      <c r="E1115" s="3">
        <v>1114</v>
      </c>
      <c r="F1115" s="3" t="s">
        <v>5893</v>
      </c>
      <c r="G1115" s="3" t="s">
        <v>5984</v>
      </c>
      <c r="H1115" s="3" t="s">
        <v>6495</v>
      </c>
    </row>
    <row r="1116" spans="1:8" x14ac:dyDescent="0.25">
      <c r="A1116" s="3" t="s">
        <v>6983</v>
      </c>
      <c r="B1116" s="3" t="s">
        <v>6991</v>
      </c>
      <c r="C1116" s="3" t="s">
        <v>6985</v>
      </c>
      <c r="D1116" s="3" t="s">
        <v>6271</v>
      </c>
      <c r="E1116" s="3">
        <v>1115</v>
      </c>
      <c r="F1116" s="3" t="s">
        <v>5894</v>
      </c>
      <c r="G1116" s="3" t="s">
        <v>5994</v>
      </c>
      <c r="H1116" s="3" t="s">
        <v>6493</v>
      </c>
    </row>
    <row r="1117" spans="1:8" x14ac:dyDescent="0.25">
      <c r="A1117" s="3" t="s">
        <v>6983</v>
      </c>
      <c r="B1117" s="3" t="s">
        <v>6991</v>
      </c>
      <c r="C1117" s="3" t="s">
        <v>6985</v>
      </c>
      <c r="D1117" s="3" t="s">
        <v>6271</v>
      </c>
      <c r="E1117" s="3">
        <v>1116</v>
      </c>
      <c r="F1117" s="3" t="s">
        <v>5895</v>
      </c>
      <c r="G1117" s="3" t="s">
        <v>5999</v>
      </c>
      <c r="H1117" s="3" t="s">
        <v>6496</v>
      </c>
    </row>
    <row r="1118" spans="1:8" x14ac:dyDescent="0.25">
      <c r="A1118" s="3" t="s">
        <v>6983</v>
      </c>
      <c r="B1118" s="3" t="s">
        <v>6991</v>
      </c>
      <c r="C1118" s="3" t="s">
        <v>6985</v>
      </c>
      <c r="D1118" s="3" t="s">
        <v>6271</v>
      </c>
      <c r="E1118" s="3">
        <v>1117</v>
      </c>
      <c r="F1118" s="3" t="s">
        <v>5896</v>
      </c>
      <c r="G1118" s="3" t="s">
        <v>5984</v>
      </c>
      <c r="H1118" s="3" t="s">
        <v>6498</v>
      </c>
    </row>
    <row r="1119" spans="1:8" x14ac:dyDescent="0.25">
      <c r="A1119" s="3" t="s">
        <v>6983</v>
      </c>
      <c r="B1119" s="3" t="s">
        <v>6991</v>
      </c>
      <c r="C1119" s="3" t="s">
        <v>6985</v>
      </c>
      <c r="D1119" s="3" t="s">
        <v>6271</v>
      </c>
      <c r="E1119" s="3">
        <v>1118</v>
      </c>
      <c r="F1119" s="3" t="s">
        <v>5897</v>
      </c>
      <c r="G1119" s="3" t="s">
        <v>5984</v>
      </c>
      <c r="H1119" s="3" t="s">
        <v>6499</v>
      </c>
    </row>
    <row r="1120" spans="1:8" x14ac:dyDescent="0.25">
      <c r="A1120" s="3" t="s">
        <v>6983</v>
      </c>
      <c r="B1120" s="3" t="s">
        <v>6991</v>
      </c>
      <c r="C1120" s="3" t="s">
        <v>6985</v>
      </c>
      <c r="D1120" s="3" t="s">
        <v>6271</v>
      </c>
      <c r="E1120" s="3">
        <v>1119</v>
      </c>
      <c r="F1120" s="3" t="s">
        <v>5898</v>
      </c>
      <c r="G1120" s="3" t="s">
        <v>5994</v>
      </c>
      <c r="H1120" s="3" t="s">
        <v>6497</v>
      </c>
    </row>
    <row r="1121" spans="1:10" x14ac:dyDescent="0.25">
      <c r="A1121" s="3" t="s">
        <v>6983</v>
      </c>
      <c r="B1121" s="3" t="s">
        <v>6991</v>
      </c>
      <c r="C1121" s="3" t="s">
        <v>6985</v>
      </c>
      <c r="D1121" s="3" t="s">
        <v>6271</v>
      </c>
      <c r="E1121" s="3">
        <v>1120</v>
      </c>
      <c r="F1121" s="3" t="s">
        <v>5899</v>
      </c>
      <c r="G1121" s="3" t="s">
        <v>5999</v>
      </c>
      <c r="H1121" s="3" t="s">
        <v>6500</v>
      </c>
    </row>
    <row r="1122" spans="1:10" x14ac:dyDescent="0.25">
      <c r="A1122" s="3" t="s">
        <v>6983</v>
      </c>
      <c r="B1122" s="3" t="s">
        <v>6991</v>
      </c>
      <c r="C1122" s="3" t="s">
        <v>6985</v>
      </c>
      <c r="D1122" s="3" t="s">
        <v>6271</v>
      </c>
      <c r="E1122" s="3">
        <v>1121</v>
      </c>
      <c r="F1122" s="3" t="s">
        <v>5900</v>
      </c>
      <c r="G1122" s="3" t="s">
        <v>5984</v>
      </c>
      <c r="H1122" s="3" t="s">
        <v>6502</v>
      </c>
    </row>
    <row r="1123" spans="1:10" x14ac:dyDescent="0.25">
      <c r="A1123" s="3" t="s">
        <v>6983</v>
      </c>
      <c r="B1123" s="3" t="s">
        <v>6991</v>
      </c>
      <c r="C1123" s="3" t="s">
        <v>6985</v>
      </c>
      <c r="D1123" s="3" t="s">
        <v>6271</v>
      </c>
      <c r="E1123" s="3">
        <v>1122</v>
      </c>
      <c r="F1123" s="3" t="s">
        <v>5901</v>
      </c>
      <c r="G1123" s="3" t="s">
        <v>5984</v>
      </c>
      <c r="H1123" s="3" t="s">
        <v>6503</v>
      </c>
    </row>
    <row r="1124" spans="1:10" x14ac:dyDescent="0.25">
      <c r="A1124" s="3" t="s">
        <v>6983</v>
      </c>
      <c r="B1124" s="3" t="s">
        <v>6991</v>
      </c>
      <c r="C1124" s="3" t="s">
        <v>6985</v>
      </c>
      <c r="D1124" s="3" t="s">
        <v>6271</v>
      </c>
      <c r="E1124" s="3">
        <v>1123</v>
      </c>
      <c r="F1124" s="3" t="s">
        <v>5902</v>
      </c>
      <c r="G1124" s="3" t="s">
        <v>5994</v>
      </c>
      <c r="H1124" s="3" t="s">
        <v>6501</v>
      </c>
    </row>
    <row r="1125" spans="1:10" x14ac:dyDescent="0.25">
      <c r="A1125" s="3" t="s">
        <v>6983</v>
      </c>
      <c r="B1125" s="3" t="s">
        <v>6991</v>
      </c>
      <c r="C1125" s="3" t="s">
        <v>6985</v>
      </c>
      <c r="D1125" s="3" t="s">
        <v>6271</v>
      </c>
      <c r="E1125" s="3">
        <v>1124</v>
      </c>
      <c r="F1125" s="3" t="s">
        <v>5903</v>
      </c>
      <c r="G1125" s="3" t="s">
        <v>5994</v>
      </c>
      <c r="H1125" s="3" t="s">
        <v>6505</v>
      </c>
      <c r="J1125" t="s">
        <v>6514</v>
      </c>
    </row>
    <row r="1126" spans="1:10" x14ac:dyDescent="0.25">
      <c r="A1126" s="3" t="s">
        <v>6983</v>
      </c>
      <c r="B1126" s="3" t="s">
        <v>6991</v>
      </c>
      <c r="C1126" s="3" t="s">
        <v>6985</v>
      </c>
      <c r="D1126" s="3" t="s">
        <v>6271</v>
      </c>
      <c r="E1126" s="3">
        <v>1125</v>
      </c>
      <c r="F1126" s="3" t="s">
        <v>5904</v>
      </c>
      <c r="G1126" s="3" t="s">
        <v>5994</v>
      </c>
      <c r="H1126" s="3" t="s">
        <v>6507</v>
      </c>
    </row>
    <row r="1127" spans="1:10" x14ac:dyDescent="0.25">
      <c r="A1127" s="3" t="s">
        <v>6983</v>
      </c>
      <c r="B1127" s="3" t="s">
        <v>6991</v>
      </c>
      <c r="C1127" s="3" t="s">
        <v>6985</v>
      </c>
      <c r="D1127" s="3" t="s">
        <v>6271</v>
      </c>
      <c r="E1127" s="3">
        <v>1126</v>
      </c>
      <c r="F1127" s="3" t="s">
        <v>5905</v>
      </c>
      <c r="G1127" s="3" t="s">
        <v>5994</v>
      </c>
      <c r="H1127" s="3" t="s">
        <v>6506</v>
      </c>
    </row>
    <row r="1128" spans="1:10" x14ac:dyDescent="0.25">
      <c r="A1128" s="3" t="s">
        <v>6983</v>
      </c>
      <c r="B1128" s="3" t="s">
        <v>6991</v>
      </c>
      <c r="C1128" s="3" t="s">
        <v>6985</v>
      </c>
      <c r="D1128" s="3" t="s">
        <v>6271</v>
      </c>
      <c r="E1128" s="3">
        <v>1127</v>
      </c>
      <c r="F1128" s="3" t="s">
        <v>5906</v>
      </c>
      <c r="G1128" s="3" t="s">
        <v>5994</v>
      </c>
      <c r="H1128" s="3" t="s">
        <v>6508</v>
      </c>
    </row>
    <row r="1129" spans="1:10" x14ac:dyDescent="0.25">
      <c r="A1129" s="3" t="s">
        <v>6983</v>
      </c>
      <c r="B1129" s="3" t="s">
        <v>6991</v>
      </c>
      <c r="C1129" s="3" t="s">
        <v>6985</v>
      </c>
      <c r="D1129" s="3" t="s">
        <v>6271</v>
      </c>
      <c r="E1129" s="3">
        <v>1128</v>
      </c>
      <c r="F1129" s="3" t="s">
        <v>5907</v>
      </c>
      <c r="G1129" s="3" t="s">
        <v>5994</v>
      </c>
      <c r="H1129" s="3" t="s">
        <v>6509</v>
      </c>
    </row>
    <row r="1130" spans="1:10" x14ac:dyDescent="0.25">
      <c r="A1130" s="3" t="s">
        <v>6983</v>
      </c>
      <c r="B1130" s="3" t="s">
        <v>6991</v>
      </c>
      <c r="C1130" s="3" t="s">
        <v>6985</v>
      </c>
      <c r="D1130" s="3" t="s">
        <v>6271</v>
      </c>
      <c r="E1130" s="3">
        <v>1129</v>
      </c>
      <c r="F1130" s="3" t="s">
        <v>5908</v>
      </c>
      <c r="G1130" s="3" t="s">
        <v>5994</v>
      </c>
      <c r="H1130" s="3" t="s">
        <v>6511</v>
      </c>
    </row>
    <row r="1131" spans="1:10" x14ac:dyDescent="0.25">
      <c r="A1131" s="3" t="s">
        <v>6983</v>
      </c>
      <c r="B1131" s="3" t="s">
        <v>6991</v>
      </c>
      <c r="C1131" s="3" t="s">
        <v>6985</v>
      </c>
      <c r="D1131" s="3" t="s">
        <v>6271</v>
      </c>
      <c r="E1131" s="3">
        <v>1130</v>
      </c>
      <c r="F1131" s="3" t="s">
        <v>5909</v>
      </c>
      <c r="G1131" s="3" t="s">
        <v>5994</v>
      </c>
      <c r="H1131" s="3" t="s">
        <v>6510</v>
      </c>
    </row>
    <row r="1132" spans="1:10" x14ac:dyDescent="0.25">
      <c r="A1132" s="3" t="s">
        <v>6983</v>
      </c>
      <c r="B1132" s="3" t="s">
        <v>6991</v>
      </c>
      <c r="C1132" s="3" t="s">
        <v>6985</v>
      </c>
      <c r="D1132" s="3" t="s">
        <v>6271</v>
      </c>
      <c r="E1132" s="3">
        <v>1131</v>
      </c>
      <c r="F1132" s="3" t="s">
        <v>5910</v>
      </c>
      <c r="G1132" s="3" t="s">
        <v>5994</v>
      </c>
      <c r="H1132" s="3" t="s">
        <v>6513</v>
      </c>
    </row>
    <row r="1133" spans="1:10" x14ac:dyDescent="0.25">
      <c r="A1133" s="3" t="s">
        <v>6983</v>
      </c>
      <c r="B1133" s="3" t="s">
        <v>6991</v>
      </c>
      <c r="C1133" s="3" t="s">
        <v>6985</v>
      </c>
      <c r="D1133" s="3" t="s">
        <v>6271</v>
      </c>
      <c r="E1133" s="3">
        <v>1132</v>
      </c>
      <c r="F1133" s="3" t="s">
        <v>5911</v>
      </c>
      <c r="G1133" s="3" t="s">
        <v>5994</v>
      </c>
      <c r="H1133" s="3" t="s">
        <v>6512</v>
      </c>
    </row>
    <row r="1134" spans="1:10" x14ac:dyDescent="0.25">
      <c r="A1134" s="3" t="s">
        <v>6983</v>
      </c>
      <c r="B1134" s="3" t="s">
        <v>6991</v>
      </c>
      <c r="C1134" s="3" t="s">
        <v>6985</v>
      </c>
      <c r="D1134" s="3" t="s">
        <v>6272</v>
      </c>
      <c r="E1134" s="3">
        <v>1133</v>
      </c>
      <c r="F1134" s="4" t="s">
        <v>5912</v>
      </c>
      <c r="G1134" s="3" t="s">
        <v>13</v>
      </c>
      <c r="H1134" s="3" t="s">
        <v>6913</v>
      </c>
      <c r="J1134" t="s">
        <v>6915</v>
      </c>
    </row>
    <row r="1135" spans="1:10" x14ac:dyDescent="0.25">
      <c r="A1135" s="3" t="s">
        <v>6983</v>
      </c>
      <c r="B1135" s="3" t="s">
        <v>6991</v>
      </c>
      <c r="C1135" s="3" t="s">
        <v>6985</v>
      </c>
      <c r="D1135" s="3" t="s">
        <v>6272</v>
      </c>
      <c r="E1135" s="3">
        <v>1134</v>
      </c>
      <c r="F1135" s="4" t="s">
        <v>5913</v>
      </c>
      <c r="G1135" s="3" t="s">
        <v>21</v>
      </c>
      <c r="H1135" s="3" t="s">
        <v>6912</v>
      </c>
    </row>
    <row r="1136" spans="1:10" x14ac:dyDescent="0.25">
      <c r="A1136" s="3" t="s">
        <v>6983</v>
      </c>
      <c r="B1136" s="3" t="s">
        <v>6991</v>
      </c>
      <c r="C1136" s="3" t="s">
        <v>6985</v>
      </c>
      <c r="D1136" s="3" t="s">
        <v>6272</v>
      </c>
      <c r="E1136" s="3">
        <v>1135</v>
      </c>
      <c r="F1136" s="4" t="s">
        <v>5914</v>
      </c>
      <c r="G1136" s="3" t="s">
        <v>4</v>
      </c>
      <c r="H1136" s="3" t="s">
        <v>6914</v>
      </c>
    </row>
    <row r="1137" spans="1:9" x14ac:dyDescent="0.25">
      <c r="A1137" s="3" t="s">
        <v>6983</v>
      </c>
      <c r="B1137" s="3" t="s">
        <v>6991</v>
      </c>
      <c r="C1137" s="3" t="s">
        <v>6985</v>
      </c>
      <c r="D1137" s="3" t="s">
        <v>6272</v>
      </c>
      <c r="E1137" s="3">
        <v>1136</v>
      </c>
      <c r="F1137" s="4" t="s">
        <v>5915</v>
      </c>
      <c r="G1137" s="3" t="s">
        <v>4</v>
      </c>
      <c r="H1137" s="4" t="s">
        <v>6917</v>
      </c>
      <c r="I1137" s="3" t="s">
        <v>6529</v>
      </c>
    </row>
    <row r="1138" spans="1:9" x14ac:dyDescent="0.25">
      <c r="A1138" s="3" t="s">
        <v>6983</v>
      </c>
      <c r="B1138" s="3" t="s">
        <v>6991</v>
      </c>
      <c r="C1138" s="3" t="s">
        <v>6985</v>
      </c>
      <c r="D1138" s="3" t="s">
        <v>6272</v>
      </c>
      <c r="E1138" s="3">
        <v>1137</v>
      </c>
      <c r="F1138" s="4" t="s">
        <v>5916</v>
      </c>
      <c r="G1138" s="3" t="s">
        <v>4</v>
      </c>
      <c r="H1138" s="4" t="s">
        <v>6918</v>
      </c>
      <c r="I1138" s="3" t="s">
        <v>6529</v>
      </c>
    </row>
    <row r="1139" spans="1:9" x14ac:dyDescent="0.25">
      <c r="A1139" s="3" t="s">
        <v>6983</v>
      </c>
      <c r="B1139" s="3" t="s">
        <v>6991</v>
      </c>
      <c r="C1139" s="3" t="s">
        <v>6985</v>
      </c>
      <c r="D1139" s="3" t="s">
        <v>6272</v>
      </c>
      <c r="E1139" s="3">
        <v>1138</v>
      </c>
      <c r="F1139" s="4" t="s">
        <v>5917</v>
      </c>
      <c r="G1139" s="3" t="s">
        <v>4</v>
      </c>
      <c r="H1139" s="4" t="s">
        <v>6919</v>
      </c>
      <c r="I1139" s="3" t="s">
        <v>6529</v>
      </c>
    </row>
    <row r="1140" spans="1:9" x14ac:dyDescent="0.25">
      <c r="A1140" s="3" t="s">
        <v>6983</v>
      </c>
      <c r="B1140" s="3" t="s">
        <v>6991</v>
      </c>
      <c r="C1140" s="3" t="s">
        <v>6985</v>
      </c>
      <c r="D1140" s="3" t="s">
        <v>6272</v>
      </c>
      <c r="E1140" s="3">
        <v>1139</v>
      </c>
      <c r="F1140" s="4" t="s">
        <v>5918</v>
      </c>
      <c r="G1140" s="3" t="s">
        <v>4</v>
      </c>
      <c r="H1140" s="4" t="s">
        <v>6920</v>
      </c>
      <c r="I1140" s="3" t="s">
        <v>6529</v>
      </c>
    </row>
    <row r="1141" spans="1:9" x14ac:dyDescent="0.25">
      <c r="A1141" s="3" t="s">
        <v>6983</v>
      </c>
      <c r="B1141" s="3" t="s">
        <v>6991</v>
      </c>
      <c r="C1141" s="3" t="s">
        <v>6985</v>
      </c>
      <c r="D1141" s="3" t="s">
        <v>6272</v>
      </c>
      <c r="E1141" s="3">
        <v>1140</v>
      </c>
      <c r="F1141" s="4" t="s">
        <v>5919</v>
      </c>
      <c r="G1141" s="3" t="s">
        <v>4</v>
      </c>
      <c r="H1141" s="4" t="s">
        <v>6539</v>
      </c>
      <c r="I1141" s="3" t="s">
        <v>6529</v>
      </c>
    </row>
    <row r="1142" spans="1:9" x14ac:dyDescent="0.25">
      <c r="A1142" s="3" t="s">
        <v>6983</v>
      </c>
      <c r="B1142" s="3" t="s">
        <v>6991</v>
      </c>
      <c r="C1142" s="3" t="s">
        <v>6985</v>
      </c>
      <c r="D1142" s="3" t="s">
        <v>6272</v>
      </c>
      <c r="E1142" s="3">
        <v>1141</v>
      </c>
      <c r="F1142" s="4" t="s">
        <v>5920</v>
      </c>
      <c r="G1142" s="3" t="s">
        <v>5</v>
      </c>
      <c r="H1142" s="4" t="s">
        <v>6540</v>
      </c>
      <c r="I1142" s="3" t="s">
        <v>6529</v>
      </c>
    </row>
    <row r="1143" spans="1:9" x14ac:dyDescent="0.25">
      <c r="A1143" s="3" t="s">
        <v>6983</v>
      </c>
      <c r="B1143" s="3" t="s">
        <v>6991</v>
      </c>
      <c r="C1143" s="3" t="s">
        <v>6985</v>
      </c>
      <c r="D1143" s="3" t="s">
        <v>6272</v>
      </c>
      <c r="E1143" s="3">
        <v>1142</v>
      </c>
      <c r="F1143" s="4" t="s">
        <v>5921</v>
      </c>
      <c r="G1143" s="3" t="s">
        <v>17</v>
      </c>
      <c r="H1143" s="4" t="s">
        <v>6541</v>
      </c>
      <c r="I1143" s="3" t="s">
        <v>6529</v>
      </c>
    </row>
    <row r="1144" spans="1:9" x14ac:dyDescent="0.25">
      <c r="A1144" s="3" t="s">
        <v>6983</v>
      </c>
      <c r="B1144" s="3" t="s">
        <v>6991</v>
      </c>
      <c r="C1144" s="3" t="s">
        <v>6985</v>
      </c>
      <c r="D1144" s="3" t="s">
        <v>6272</v>
      </c>
      <c r="E1144" s="3">
        <v>1143</v>
      </c>
      <c r="F1144" s="4" t="s">
        <v>5922</v>
      </c>
      <c r="G1144" s="3" t="s">
        <v>10</v>
      </c>
      <c r="H1144" s="4" t="s">
        <v>6542</v>
      </c>
      <c r="I1144" s="3" t="s">
        <v>6529</v>
      </c>
    </row>
    <row r="1145" spans="1:9" x14ac:dyDescent="0.25">
      <c r="A1145" s="3" t="s">
        <v>6983</v>
      </c>
      <c r="B1145" s="3" t="s">
        <v>6991</v>
      </c>
      <c r="C1145" s="3" t="s">
        <v>6985</v>
      </c>
      <c r="D1145" s="3" t="s">
        <v>6272</v>
      </c>
      <c r="E1145" s="3">
        <v>1144</v>
      </c>
      <c r="F1145" s="4" t="s">
        <v>5923</v>
      </c>
      <c r="G1145" s="3" t="s">
        <v>10</v>
      </c>
      <c r="H1145" s="3" t="s">
        <v>6916</v>
      </c>
      <c r="I1145" s="3" t="s">
        <v>6529</v>
      </c>
    </row>
    <row r="1146" spans="1:9" x14ac:dyDescent="0.25">
      <c r="A1146" s="3" t="s">
        <v>6983</v>
      </c>
      <c r="B1146" s="3" t="s">
        <v>6991</v>
      </c>
      <c r="C1146" s="3" t="s">
        <v>6985</v>
      </c>
      <c r="D1146" s="3" t="s">
        <v>6273</v>
      </c>
      <c r="E1146" s="3">
        <v>1145</v>
      </c>
      <c r="F1146" s="3" t="s">
        <v>5924</v>
      </c>
      <c r="G1146" s="3" t="s">
        <v>4</v>
      </c>
      <c r="H1146" s="4" t="s">
        <v>1400</v>
      </c>
      <c r="I1146" s="3" t="s">
        <v>6529</v>
      </c>
    </row>
    <row r="1147" spans="1:9" x14ac:dyDescent="0.25">
      <c r="A1147" s="3" t="s">
        <v>6983</v>
      </c>
      <c r="B1147" s="3" t="s">
        <v>6991</v>
      </c>
      <c r="C1147" s="3" t="s">
        <v>6985</v>
      </c>
      <c r="D1147" s="3" t="s">
        <v>6273</v>
      </c>
      <c r="E1147" s="3">
        <v>1146</v>
      </c>
      <c r="F1147" s="3" t="s">
        <v>5925</v>
      </c>
      <c r="G1147" s="3" t="s">
        <v>4</v>
      </c>
      <c r="H1147" s="4" t="s">
        <v>1401</v>
      </c>
      <c r="I1147" s="3" t="s">
        <v>6529</v>
      </c>
    </row>
    <row r="1148" spans="1:9" x14ac:dyDescent="0.25">
      <c r="A1148" s="3" t="s">
        <v>6983</v>
      </c>
      <c r="B1148" s="3" t="s">
        <v>6991</v>
      </c>
      <c r="C1148" s="3" t="s">
        <v>6985</v>
      </c>
      <c r="D1148" s="3" t="s">
        <v>6273</v>
      </c>
      <c r="E1148" s="3">
        <v>1147</v>
      </c>
      <c r="F1148" s="3" t="s">
        <v>5926</v>
      </c>
      <c r="G1148" s="3" t="s">
        <v>4</v>
      </c>
      <c r="H1148" s="4" t="s">
        <v>1402</v>
      </c>
      <c r="I1148" s="3" t="s">
        <v>6529</v>
      </c>
    </row>
    <row r="1149" spans="1:9" x14ac:dyDescent="0.25">
      <c r="A1149" s="3" t="s">
        <v>6983</v>
      </c>
      <c r="B1149" s="3" t="s">
        <v>6991</v>
      </c>
      <c r="C1149" s="3" t="s">
        <v>6985</v>
      </c>
      <c r="D1149" s="3" t="s">
        <v>6273</v>
      </c>
      <c r="E1149" s="3">
        <v>1148</v>
      </c>
      <c r="F1149" s="3" t="s">
        <v>5927</v>
      </c>
      <c r="G1149" s="3" t="s">
        <v>4</v>
      </c>
      <c r="H1149" s="4" t="s">
        <v>1403</v>
      </c>
      <c r="I1149" s="3" t="s">
        <v>6529</v>
      </c>
    </row>
    <row r="1150" spans="1:9" x14ac:dyDescent="0.25">
      <c r="A1150" s="3" t="s">
        <v>6983</v>
      </c>
      <c r="B1150" s="3" t="s">
        <v>6991</v>
      </c>
      <c r="C1150" s="3" t="s">
        <v>6985</v>
      </c>
      <c r="D1150" s="3" t="s">
        <v>6273</v>
      </c>
      <c r="E1150" s="3">
        <v>1149</v>
      </c>
      <c r="F1150" s="4" t="s">
        <v>5928</v>
      </c>
      <c r="G1150" s="3" t="s">
        <v>5</v>
      </c>
      <c r="H1150" s="4" t="s">
        <v>6922</v>
      </c>
      <c r="I1150" s="3" t="s">
        <v>6529</v>
      </c>
    </row>
    <row r="1151" spans="1:9" x14ac:dyDescent="0.25">
      <c r="A1151" s="3" t="s">
        <v>6983</v>
      </c>
      <c r="B1151" s="3" t="s">
        <v>6991</v>
      </c>
      <c r="C1151" s="3" t="s">
        <v>6985</v>
      </c>
      <c r="D1151" s="3" t="s">
        <v>6273</v>
      </c>
      <c r="E1151" s="3">
        <v>1150</v>
      </c>
      <c r="F1151" s="4" t="s">
        <v>5929</v>
      </c>
      <c r="G1151" s="3" t="s">
        <v>5</v>
      </c>
      <c r="H1151" s="4" t="s">
        <v>6923</v>
      </c>
      <c r="I1151" s="3" t="s">
        <v>6529</v>
      </c>
    </row>
    <row r="1152" spans="1:9" x14ac:dyDescent="0.25">
      <c r="A1152" s="3" t="s">
        <v>6983</v>
      </c>
      <c r="B1152" s="3" t="s">
        <v>6991</v>
      </c>
      <c r="C1152" s="3" t="s">
        <v>6985</v>
      </c>
      <c r="D1152" s="3" t="s">
        <v>6273</v>
      </c>
      <c r="E1152" s="3">
        <v>1151</v>
      </c>
      <c r="F1152" s="4" t="s">
        <v>5930</v>
      </c>
      <c r="G1152" s="3" t="s">
        <v>1104</v>
      </c>
      <c r="H1152" s="4" t="s">
        <v>6921</v>
      </c>
      <c r="I1152" s="3" t="s">
        <v>6529</v>
      </c>
    </row>
    <row r="1153" spans="1:9" x14ac:dyDescent="0.25">
      <c r="A1153" s="3" t="s">
        <v>6983</v>
      </c>
      <c r="B1153" s="3" t="s">
        <v>6991</v>
      </c>
      <c r="C1153" s="3" t="s">
        <v>6985</v>
      </c>
      <c r="D1153" s="3" t="s">
        <v>6274</v>
      </c>
      <c r="E1153" s="3">
        <v>1152</v>
      </c>
      <c r="F1153" s="3" t="s">
        <v>5931</v>
      </c>
      <c r="G1153" s="3" t="s">
        <v>6000</v>
      </c>
      <c r="H1153" s="5" t="s">
        <v>6925</v>
      </c>
    </row>
    <row r="1154" spans="1:9" x14ac:dyDescent="0.25">
      <c r="A1154" s="3" t="s">
        <v>6983</v>
      </c>
      <c r="B1154" s="3" t="s">
        <v>6991</v>
      </c>
      <c r="C1154" s="3" t="s">
        <v>6985</v>
      </c>
      <c r="D1154" s="3" t="s">
        <v>6274</v>
      </c>
      <c r="E1154" s="3">
        <v>1153</v>
      </c>
      <c r="F1154" s="3" t="s">
        <v>5932</v>
      </c>
      <c r="G1154" s="3" t="s">
        <v>5</v>
      </c>
      <c r="H1154" s="5" t="s">
        <v>6925</v>
      </c>
    </row>
    <row r="1155" spans="1:9" x14ac:dyDescent="0.25">
      <c r="A1155" s="3" t="s">
        <v>6983</v>
      </c>
      <c r="B1155" s="3" t="s">
        <v>6991</v>
      </c>
      <c r="C1155" s="3" t="s">
        <v>6985</v>
      </c>
      <c r="D1155" s="3" t="s">
        <v>6274</v>
      </c>
      <c r="E1155" s="3">
        <v>1154</v>
      </c>
      <c r="F1155" s="3" t="s">
        <v>5933</v>
      </c>
      <c r="G1155" s="3" t="s">
        <v>5</v>
      </c>
      <c r="H1155" s="5" t="s">
        <v>6925</v>
      </c>
    </row>
    <row r="1156" spans="1:9" x14ac:dyDescent="0.25">
      <c r="A1156" s="3" t="s">
        <v>6983</v>
      </c>
      <c r="B1156" s="3" t="s">
        <v>6991</v>
      </c>
      <c r="C1156" s="3" t="s">
        <v>6985</v>
      </c>
      <c r="D1156" s="3" t="s">
        <v>6274</v>
      </c>
      <c r="E1156" s="3">
        <v>1155</v>
      </c>
      <c r="F1156" s="3" t="s">
        <v>5934</v>
      </c>
      <c r="G1156" s="3" t="s">
        <v>5</v>
      </c>
      <c r="H1156" s="5" t="s">
        <v>6925</v>
      </c>
    </row>
    <row r="1157" spans="1:9" x14ac:dyDescent="0.25">
      <c r="A1157" s="3" t="s">
        <v>6983</v>
      </c>
      <c r="B1157" s="3" t="s">
        <v>6991</v>
      </c>
      <c r="C1157" s="3" t="s">
        <v>6985</v>
      </c>
      <c r="D1157" s="3" t="s">
        <v>6275</v>
      </c>
      <c r="E1157" s="3">
        <v>1156</v>
      </c>
      <c r="F1157" s="3" t="s">
        <v>5935</v>
      </c>
      <c r="G1157" s="3" t="s">
        <v>6000</v>
      </c>
      <c r="H1157" s="3" t="s">
        <v>6926</v>
      </c>
    </row>
    <row r="1158" spans="1:9" x14ac:dyDescent="0.25">
      <c r="A1158" s="3" t="s">
        <v>6983</v>
      </c>
      <c r="B1158" s="3" t="s">
        <v>6991</v>
      </c>
      <c r="C1158" s="3" t="s">
        <v>6985</v>
      </c>
      <c r="D1158" s="3" t="s">
        <v>6275</v>
      </c>
      <c r="E1158" s="3">
        <v>1157</v>
      </c>
      <c r="F1158" s="3" t="s">
        <v>5936</v>
      </c>
      <c r="G1158" s="3" t="s">
        <v>5</v>
      </c>
      <c r="H1158" s="3" t="s">
        <v>6926</v>
      </c>
    </row>
    <row r="1159" spans="1:9" x14ac:dyDescent="0.25">
      <c r="A1159" s="3" t="s">
        <v>6983</v>
      </c>
      <c r="B1159" s="3" t="s">
        <v>6991</v>
      </c>
      <c r="C1159" s="3" t="s">
        <v>6985</v>
      </c>
      <c r="D1159" s="3" t="s">
        <v>6275</v>
      </c>
      <c r="E1159" s="3">
        <v>1158</v>
      </c>
      <c r="F1159" s="3" t="s">
        <v>5937</v>
      </c>
      <c r="G1159" s="3" t="s">
        <v>5</v>
      </c>
      <c r="H1159" s="3" t="s">
        <v>6926</v>
      </c>
    </row>
    <row r="1160" spans="1:9" x14ac:dyDescent="0.25">
      <c r="A1160" s="3" t="s">
        <v>6983</v>
      </c>
      <c r="B1160" s="3" t="s">
        <v>6991</v>
      </c>
      <c r="C1160" s="3" t="s">
        <v>6985</v>
      </c>
      <c r="D1160" s="3" t="s">
        <v>6275</v>
      </c>
      <c r="E1160" s="3">
        <v>1159</v>
      </c>
      <c r="F1160" s="3" t="s">
        <v>5938</v>
      </c>
      <c r="G1160" s="3" t="s">
        <v>5</v>
      </c>
      <c r="H1160" s="3" t="s">
        <v>6926</v>
      </c>
    </row>
    <row r="1161" spans="1:9" x14ac:dyDescent="0.25">
      <c r="A1161" s="3" t="s">
        <v>6983</v>
      </c>
      <c r="B1161" s="3" t="s">
        <v>6991</v>
      </c>
      <c r="C1161" s="3" t="s">
        <v>6985</v>
      </c>
      <c r="D1161" s="3" t="s">
        <v>6275</v>
      </c>
      <c r="E1161" s="3">
        <v>1160</v>
      </c>
      <c r="F1161" s="3" t="s">
        <v>5939</v>
      </c>
      <c r="G1161" s="3" t="s">
        <v>5</v>
      </c>
      <c r="H1161" s="3" t="s">
        <v>6926</v>
      </c>
    </row>
    <row r="1162" spans="1:9" x14ac:dyDescent="0.25">
      <c r="A1162" s="3" t="s">
        <v>6983</v>
      </c>
      <c r="B1162" s="3" t="s">
        <v>6991</v>
      </c>
      <c r="C1162" s="3" t="s">
        <v>6985</v>
      </c>
      <c r="D1162" s="3" t="s">
        <v>6275</v>
      </c>
      <c r="E1162" s="3">
        <v>1161</v>
      </c>
      <c r="F1162" s="3" t="s">
        <v>5940</v>
      </c>
      <c r="G1162" s="3" t="s">
        <v>9</v>
      </c>
      <c r="H1162" s="3" t="s">
        <v>6926</v>
      </c>
    </row>
    <row r="1163" spans="1:9" x14ac:dyDescent="0.25">
      <c r="A1163" s="3" t="s">
        <v>6983</v>
      </c>
      <c r="B1163" s="3" t="s">
        <v>6991</v>
      </c>
      <c r="C1163" s="3" t="s">
        <v>6985</v>
      </c>
      <c r="D1163" s="3" t="s">
        <v>6275</v>
      </c>
      <c r="E1163" s="3">
        <v>1162</v>
      </c>
      <c r="F1163" s="3" t="s">
        <v>5941</v>
      </c>
      <c r="G1163" s="3" t="s">
        <v>6000</v>
      </c>
      <c r="H1163" s="3" t="s">
        <v>6927</v>
      </c>
    </row>
    <row r="1164" spans="1:9" x14ac:dyDescent="0.25">
      <c r="A1164" s="3" t="s">
        <v>6983</v>
      </c>
      <c r="B1164" s="3" t="s">
        <v>6991</v>
      </c>
      <c r="C1164" s="3" t="s">
        <v>6985</v>
      </c>
      <c r="D1164" s="3" t="s">
        <v>6275</v>
      </c>
      <c r="E1164" s="3">
        <v>1163</v>
      </c>
      <c r="F1164" s="3" t="s">
        <v>5942</v>
      </c>
      <c r="G1164" s="3" t="s">
        <v>5</v>
      </c>
      <c r="H1164" s="3" t="s">
        <v>6927</v>
      </c>
    </row>
    <row r="1165" spans="1:9" x14ac:dyDescent="0.25">
      <c r="A1165" s="3" t="s">
        <v>6983</v>
      </c>
      <c r="B1165" s="3" t="s">
        <v>6991</v>
      </c>
      <c r="C1165" s="3" t="s">
        <v>6985</v>
      </c>
      <c r="D1165" s="3" t="s">
        <v>6275</v>
      </c>
      <c r="E1165" s="3">
        <v>1164</v>
      </c>
      <c r="F1165" s="3" t="s">
        <v>5943</v>
      </c>
      <c r="G1165" s="3" t="s">
        <v>5</v>
      </c>
      <c r="H1165" s="3" t="s">
        <v>6927</v>
      </c>
      <c r="I1165" s="4"/>
    </row>
    <row r="1166" spans="1:9" x14ac:dyDescent="0.25">
      <c r="A1166" s="3" t="s">
        <v>6983</v>
      </c>
      <c r="B1166" s="3" t="s">
        <v>6991</v>
      </c>
      <c r="C1166" s="3" t="s">
        <v>6985</v>
      </c>
      <c r="D1166" s="3" t="s">
        <v>6275</v>
      </c>
      <c r="E1166" s="3">
        <v>1165</v>
      </c>
      <c r="F1166" s="3" t="s">
        <v>5944</v>
      </c>
      <c r="G1166" s="3" t="s">
        <v>5</v>
      </c>
      <c r="H1166" s="3" t="s">
        <v>6927</v>
      </c>
    </row>
    <row r="1167" spans="1:9" x14ac:dyDescent="0.25">
      <c r="A1167" s="3" t="s">
        <v>6983</v>
      </c>
      <c r="B1167" s="3" t="s">
        <v>6991</v>
      </c>
      <c r="C1167" s="3" t="s">
        <v>6985</v>
      </c>
      <c r="D1167" s="3" t="s">
        <v>6275</v>
      </c>
      <c r="E1167" s="3">
        <v>1166</v>
      </c>
      <c r="F1167" s="3" t="s">
        <v>5945</v>
      </c>
      <c r="G1167" s="3" t="s">
        <v>5</v>
      </c>
      <c r="H1167" s="3" t="s">
        <v>6927</v>
      </c>
    </row>
    <row r="1168" spans="1:9" x14ac:dyDescent="0.25">
      <c r="A1168" s="3" t="s">
        <v>6983</v>
      </c>
      <c r="B1168" s="3" t="s">
        <v>6991</v>
      </c>
      <c r="C1168" s="3" t="s">
        <v>6985</v>
      </c>
      <c r="D1168" s="3" t="s">
        <v>6275</v>
      </c>
      <c r="E1168" s="3">
        <v>1167</v>
      </c>
      <c r="F1168" s="3" t="s">
        <v>5946</v>
      </c>
      <c r="G1168" s="3" t="s">
        <v>9</v>
      </c>
      <c r="H1168" s="3" t="s">
        <v>6927</v>
      </c>
    </row>
    <row r="1169" spans="1:11" x14ac:dyDescent="0.25">
      <c r="A1169" s="3" t="s">
        <v>6983</v>
      </c>
      <c r="B1169" s="3" t="s">
        <v>6991</v>
      </c>
      <c r="C1169" s="3" t="s">
        <v>6985</v>
      </c>
      <c r="D1169" s="3" t="s">
        <v>6275</v>
      </c>
      <c r="E1169" s="3">
        <v>1168</v>
      </c>
      <c r="F1169" s="3" t="s">
        <v>5947</v>
      </c>
      <c r="G1169" s="3" t="s">
        <v>6000</v>
      </c>
      <c r="H1169" s="3" t="s">
        <v>6928</v>
      </c>
    </row>
    <row r="1170" spans="1:11" x14ac:dyDescent="0.25">
      <c r="A1170" s="3" t="s">
        <v>6983</v>
      </c>
      <c r="B1170" s="3" t="s">
        <v>6991</v>
      </c>
      <c r="C1170" s="3" t="s">
        <v>6985</v>
      </c>
      <c r="D1170" s="3" t="s">
        <v>6275</v>
      </c>
      <c r="E1170" s="3">
        <v>1169</v>
      </c>
      <c r="F1170" s="3" t="s">
        <v>5948</v>
      </c>
      <c r="G1170" s="3" t="s">
        <v>5</v>
      </c>
      <c r="H1170" s="3" t="s">
        <v>6928</v>
      </c>
    </row>
    <row r="1171" spans="1:11" x14ac:dyDescent="0.25">
      <c r="A1171" s="3" t="s">
        <v>6983</v>
      </c>
      <c r="B1171" s="3" t="s">
        <v>6991</v>
      </c>
      <c r="C1171" s="3" t="s">
        <v>6985</v>
      </c>
      <c r="D1171" s="3" t="s">
        <v>6275</v>
      </c>
      <c r="E1171" s="3">
        <v>1170</v>
      </c>
      <c r="F1171" s="3" t="s">
        <v>5949</v>
      </c>
      <c r="G1171" s="3" t="s">
        <v>5</v>
      </c>
      <c r="H1171" s="3" t="s">
        <v>6928</v>
      </c>
    </row>
    <row r="1172" spans="1:11" x14ac:dyDescent="0.25">
      <c r="A1172" s="3" t="s">
        <v>6983</v>
      </c>
      <c r="B1172" s="3" t="s">
        <v>6991</v>
      </c>
      <c r="C1172" s="3" t="s">
        <v>6985</v>
      </c>
      <c r="D1172" s="3" t="s">
        <v>6275</v>
      </c>
      <c r="E1172" s="3">
        <v>1171</v>
      </c>
      <c r="F1172" s="3" t="s">
        <v>5950</v>
      </c>
      <c r="G1172" s="3" t="s">
        <v>5</v>
      </c>
      <c r="H1172" s="3" t="s">
        <v>6928</v>
      </c>
    </row>
    <row r="1173" spans="1:11" x14ac:dyDescent="0.25">
      <c r="A1173" s="3" t="s">
        <v>6983</v>
      </c>
      <c r="B1173" s="3" t="s">
        <v>6991</v>
      </c>
      <c r="C1173" s="3" t="s">
        <v>6985</v>
      </c>
      <c r="D1173" s="3" t="s">
        <v>6275</v>
      </c>
      <c r="E1173" s="3">
        <v>1172</v>
      </c>
      <c r="F1173" s="3" t="s">
        <v>5951</v>
      </c>
      <c r="G1173" s="3" t="s">
        <v>5</v>
      </c>
      <c r="H1173" s="3" t="s">
        <v>6928</v>
      </c>
    </row>
    <row r="1174" spans="1:11" x14ac:dyDescent="0.25">
      <c r="A1174" s="3" t="s">
        <v>6983</v>
      </c>
      <c r="B1174" s="3" t="s">
        <v>6991</v>
      </c>
      <c r="C1174" s="3" t="s">
        <v>6985</v>
      </c>
      <c r="D1174" s="3" t="s">
        <v>6275</v>
      </c>
      <c r="E1174" s="3">
        <v>1173</v>
      </c>
      <c r="F1174" s="3" t="s">
        <v>5952</v>
      </c>
      <c r="G1174" s="3" t="s">
        <v>9</v>
      </c>
      <c r="H1174" s="3" t="s">
        <v>6928</v>
      </c>
    </row>
    <row r="1175" spans="1:11" x14ac:dyDescent="0.25">
      <c r="A1175" s="3" t="s">
        <v>6983</v>
      </c>
      <c r="B1175" s="3" t="s">
        <v>6991</v>
      </c>
      <c r="C1175" s="3" t="s">
        <v>6985</v>
      </c>
      <c r="D1175" s="3" t="s">
        <v>6276</v>
      </c>
      <c r="E1175" s="3">
        <v>1174</v>
      </c>
      <c r="F1175" s="3" t="s">
        <v>5953</v>
      </c>
      <c r="G1175" s="3" t="s">
        <v>7</v>
      </c>
      <c r="H1175" s="3" t="s">
        <v>6594</v>
      </c>
      <c r="I1175" s="3" t="s">
        <v>6529</v>
      </c>
    </row>
    <row r="1176" spans="1:11" x14ac:dyDescent="0.25">
      <c r="A1176" s="3" t="s">
        <v>6983</v>
      </c>
      <c r="B1176" s="3" t="s">
        <v>6991</v>
      </c>
      <c r="C1176" s="3" t="s">
        <v>6985</v>
      </c>
      <c r="D1176" s="3" t="s">
        <v>6276</v>
      </c>
      <c r="E1176" s="3">
        <v>1175</v>
      </c>
      <c r="F1176" s="3" t="s">
        <v>5954</v>
      </c>
      <c r="G1176" s="3" t="s">
        <v>7</v>
      </c>
      <c r="H1176" s="3" t="s">
        <v>6595</v>
      </c>
      <c r="I1176" s="3" t="s">
        <v>6529</v>
      </c>
    </row>
    <row r="1177" spans="1:11" x14ac:dyDescent="0.25">
      <c r="A1177" s="3" t="s">
        <v>6983</v>
      </c>
      <c r="B1177" s="3" t="s">
        <v>6991</v>
      </c>
      <c r="C1177" s="3" t="s">
        <v>6985</v>
      </c>
      <c r="D1177" s="3" t="s">
        <v>6276</v>
      </c>
      <c r="E1177" s="3">
        <v>1176</v>
      </c>
      <c r="F1177" s="3" t="s">
        <v>5955</v>
      </c>
      <c r="G1177" s="3" t="s">
        <v>7</v>
      </c>
      <c r="H1177" s="3" t="s">
        <v>6596</v>
      </c>
      <c r="I1177" s="3" t="s">
        <v>6529</v>
      </c>
    </row>
    <row r="1178" spans="1:11" x14ac:dyDescent="0.25">
      <c r="A1178" s="3" t="s">
        <v>6983</v>
      </c>
      <c r="B1178" s="3" t="s">
        <v>6991</v>
      </c>
      <c r="C1178" s="3" t="s">
        <v>6985</v>
      </c>
      <c r="D1178" s="3" t="s">
        <v>6276</v>
      </c>
      <c r="E1178" s="3">
        <v>1177</v>
      </c>
      <c r="F1178" s="3" t="s">
        <v>5956</v>
      </c>
      <c r="G1178" s="3" t="s">
        <v>6</v>
      </c>
      <c r="H1178" s="3" t="s">
        <v>6597</v>
      </c>
      <c r="I1178" s="3" t="s">
        <v>6529</v>
      </c>
    </row>
    <row r="1179" spans="1:11" x14ac:dyDescent="0.25">
      <c r="A1179" s="3" t="s">
        <v>6983</v>
      </c>
      <c r="B1179" s="3" t="s">
        <v>6991</v>
      </c>
      <c r="C1179" s="3" t="s">
        <v>6985</v>
      </c>
      <c r="D1179" s="3" t="s">
        <v>6276</v>
      </c>
      <c r="E1179" s="3">
        <v>1178</v>
      </c>
      <c r="F1179" s="3" t="s">
        <v>5957</v>
      </c>
      <c r="G1179" s="3" t="s">
        <v>6</v>
      </c>
      <c r="H1179" s="3" t="s">
        <v>6598</v>
      </c>
      <c r="I1179" s="3" t="s">
        <v>6529</v>
      </c>
    </row>
    <row r="1180" spans="1:11" x14ac:dyDescent="0.25">
      <c r="A1180" s="3" t="s">
        <v>6983</v>
      </c>
      <c r="B1180" s="3" t="s">
        <v>6991</v>
      </c>
      <c r="C1180" s="3" t="s">
        <v>6985</v>
      </c>
      <c r="D1180" s="3" t="s">
        <v>6276</v>
      </c>
      <c r="E1180" s="3">
        <v>1179</v>
      </c>
      <c r="F1180" s="3" t="s">
        <v>5958</v>
      </c>
      <c r="G1180" s="3" t="s">
        <v>6</v>
      </c>
      <c r="H1180" s="3" t="s">
        <v>6599</v>
      </c>
      <c r="I1180" s="3" t="s">
        <v>6529</v>
      </c>
    </row>
    <row r="1181" spans="1:11" x14ac:dyDescent="0.25">
      <c r="A1181" s="3" t="s">
        <v>6983</v>
      </c>
      <c r="B1181" s="3" t="s">
        <v>6991</v>
      </c>
      <c r="C1181" s="3" t="s">
        <v>6985</v>
      </c>
      <c r="D1181" s="3" t="s">
        <v>6276</v>
      </c>
      <c r="E1181" s="3">
        <v>1180</v>
      </c>
      <c r="F1181" s="3" t="s">
        <v>5959</v>
      </c>
      <c r="G1181" s="3" t="s">
        <v>4</v>
      </c>
      <c r="H1181" s="3" t="s">
        <v>6375</v>
      </c>
      <c r="I1181" s="3" t="s">
        <v>6529</v>
      </c>
    </row>
    <row r="1182" spans="1:11" x14ac:dyDescent="0.25">
      <c r="A1182" s="3" t="s">
        <v>6983</v>
      </c>
      <c r="B1182" s="3" t="s">
        <v>6991</v>
      </c>
      <c r="C1182" s="3" t="s">
        <v>6985</v>
      </c>
      <c r="D1182" s="3" t="s">
        <v>6276</v>
      </c>
      <c r="E1182" s="3">
        <v>1181</v>
      </c>
      <c r="F1182" s="3" t="s">
        <v>5960</v>
      </c>
      <c r="G1182" s="3" t="s">
        <v>4</v>
      </c>
      <c r="H1182" s="3" t="s">
        <v>6376</v>
      </c>
      <c r="I1182" s="3" t="s">
        <v>6529</v>
      </c>
      <c r="K1182" s="3"/>
    </row>
    <row r="1183" spans="1:11" x14ac:dyDescent="0.25">
      <c r="A1183" s="3" t="s">
        <v>6983</v>
      </c>
      <c r="B1183" s="3" t="s">
        <v>6991</v>
      </c>
      <c r="C1183" s="3" t="s">
        <v>6985</v>
      </c>
      <c r="D1183" s="3" t="s">
        <v>6276</v>
      </c>
      <c r="E1183" s="3">
        <v>1182</v>
      </c>
      <c r="F1183" s="3" t="s">
        <v>5961</v>
      </c>
      <c r="G1183" s="3" t="s">
        <v>5</v>
      </c>
      <c r="H1183" s="4" t="s">
        <v>6374</v>
      </c>
      <c r="I1183" s="3" t="s">
        <v>6529</v>
      </c>
      <c r="K1183" s="3"/>
    </row>
    <row r="1184" spans="1:11" x14ac:dyDescent="0.25">
      <c r="A1184" s="3" t="s">
        <v>6983</v>
      </c>
      <c r="B1184" s="3" t="s">
        <v>6991</v>
      </c>
      <c r="C1184" s="3" t="s">
        <v>6985</v>
      </c>
      <c r="D1184" s="3" t="s">
        <v>6276</v>
      </c>
      <c r="E1184" s="3">
        <v>1183</v>
      </c>
      <c r="F1184" s="3" t="s">
        <v>5962</v>
      </c>
      <c r="G1184" s="3" t="s">
        <v>4</v>
      </c>
      <c r="H1184" s="4" t="s">
        <v>1400</v>
      </c>
      <c r="I1184" s="3" t="s">
        <v>6529</v>
      </c>
      <c r="K1184" s="4"/>
    </row>
    <row r="1185" spans="1:11" x14ac:dyDescent="0.25">
      <c r="A1185" s="3" t="s">
        <v>6983</v>
      </c>
      <c r="B1185" s="3" t="s">
        <v>6991</v>
      </c>
      <c r="C1185" s="3" t="s">
        <v>6985</v>
      </c>
      <c r="D1185" s="3" t="s">
        <v>6276</v>
      </c>
      <c r="E1185" s="3">
        <v>1184</v>
      </c>
      <c r="F1185" s="3" t="s">
        <v>5963</v>
      </c>
      <c r="G1185" s="3" t="s">
        <v>4</v>
      </c>
      <c r="H1185" s="4" t="s">
        <v>1402</v>
      </c>
      <c r="I1185" s="3" t="s">
        <v>6529</v>
      </c>
      <c r="K1185" s="4"/>
    </row>
    <row r="1186" spans="1:11" x14ac:dyDescent="0.25">
      <c r="A1186" s="3" t="s">
        <v>6983</v>
      </c>
      <c r="B1186" s="3" t="s">
        <v>6991</v>
      </c>
      <c r="C1186" s="3" t="s">
        <v>6985</v>
      </c>
      <c r="D1186" s="3" t="s">
        <v>6276</v>
      </c>
      <c r="E1186" s="3">
        <v>1185</v>
      </c>
      <c r="F1186" s="3" t="s">
        <v>5964</v>
      </c>
      <c r="G1186" s="3" t="s">
        <v>4</v>
      </c>
      <c r="H1186" s="4" t="s">
        <v>6605</v>
      </c>
      <c r="I1186" s="3" t="s">
        <v>6529</v>
      </c>
      <c r="K1186" s="4"/>
    </row>
    <row r="1187" spans="1:11" x14ac:dyDescent="0.25">
      <c r="A1187" s="3" t="s">
        <v>6983</v>
      </c>
      <c r="B1187" s="3" t="s">
        <v>6991</v>
      </c>
      <c r="C1187" s="3" t="s">
        <v>6985</v>
      </c>
      <c r="D1187" s="3" t="s">
        <v>6276</v>
      </c>
      <c r="E1187" s="3">
        <v>1186</v>
      </c>
      <c r="F1187" s="3" t="s">
        <v>5965</v>
      </c>
      <c r="G1187" s="3" t="s">
        <v>9</v>
      </c>
      <c r="H1187" s="4" t="s">
        <v>6606</v>
      </c>
      <c r="I1187" s="3" t="s">
        <v>6529</v>
      </c>
      <c r="K1187" s="4"/>
    </row>
    <row r="1188" spans="1:11" x14ac:dyDescent="0.25">
      <c r="A1188" s="3" t="s">
        <v>6983</v>
      </c>
      <c r="B1188" s="3" t="s">
        <v>6991</v>
      </c>
      <c r="C1188" s="3" t="s">
        <v>6985</v>
      </c>
      <c r="D1188" s="3" t="s">
        <v>6276</v>
      </c>
      <c r="E1188" s="3">
        <v>1187</v>
      </c>
      <c r="F1188" s="3" t="s">
        <v>5966</v>
      </c>
      <c r="G1188" s="3" t="s">
        <v>4</v>
      </c>
      <c r="H1188" s="4" t="s">
        <v>6600</v>
      </c>
      <c r="I1188" s="3" t="s">
        <v>6529</v>
      </c>
      <c r="K1188" s="4"/>
    </row>
    <row r="1189" spans="1:11" x14ac:dyDescent="0.25">
      <c r="A1189" s="3" t="s">
        <v>6983</v>
      </c>
      <c r="B1189" s="3" t="s">
        <v>6991</v>
      </c>
      <c r="C1189" s="3" t="s">
        <v>6985</v>
      </c>
      <c r="D1189" s="3" t="s">
        <v>6276</v>
      </c>
      <c r="E1189" s="3">
        <v>1188</v>
      </c>
      <c r="F1189" s="3" t="s">
        <v>5967</v>
      </c>
      <c r="G1189" s="3" t="s">
        <v>4</v>
      </c>
      <c r="H1189" s="4" t="s">
        <v>6601</v>
      </c>
      <c r="I1189" s="3" t="s">
        <v>6529</v>
      </c>
      <c r="K1189" s="4"/>
    </row>
    <row r="1190" spans="1:11" x14ac:dyDescent="0.25">
      <c r="A1190" s="3" t="s">
        <v>6983</v>
      </c>
      <c r="B1190" s="3" t="s">
        <v>6991</v>
      </c>
      <c r="C1190" s="3" t="s">
        <v>6985</v>
      </c>
      <c r="D1190" s="3" t="s">
        <v>6276</v>
      </c>
      <c r="E1190" s="3">
        <v>1189</v>
      </c>
      <c r="F1190" s="3" t="s">
        <v>5968</v>
      </c>
      <c r="G1190" s="3" t="s">
        <v>7</v>
      </c>
      <c r="H1190" s="3" t="s">
        <v>6602</v>
      </c>
      <c r="I1190" s="3" t="s">
        <v>6529</v>
      </c>
      <c r="K1190" s="4"/>
    </row>
    <row r="1191" spans="1:11" x14ac:dyDescent="0.25">
      <c r="A1191" s="3" t="s">
        <v>6983</v>
      </c>
      <c r="B1191" s="3" t="s">
        <v>6991</v>
      </c>
      <c r="C1191" s="3" t="s">
        <v>6985</v>
      </c>
      <c r="D1191" s="3" t="s">
        <v>6276</v>
      </c>
      <c r="E1191" s="3">
        <v>1190</v>
      </c>
      <c r="F1191" s="3" t="s">
        <v>5969</v>
      </c>
      <c r="G1191" s="3" t="s">
        <v>7</v>
      </c>
      <c r="H1191" s="3" t="s">
        <v>6603</v>
      </c>
      <c r="I1191" s="3" t="s">
        <v>6529</v>
      </c>
      <c r="K1191" s="4"/>
    </row>
    <row r="1192" spans="1:11" x14ac:dyDescent="0.25">
      <c r="A1192" s="3" t="s">
        <v>6983</v>
      </c>
      <c r="B1192" s="3" t="s">
        <v>6991</v>
      </c>
      <c r="C1192" s="3" t="s">
        <v>6985</v>
      </c>
      <c r="D1192" s="3" t="s">
        <v>6276</v>
      </c>
      <c r="E1192" s="3">
        <v>1191</v>
      </c>
      <c r="F1192" s="3" t="s">
        <v>5970</v>
      </c>
      <c r="G1192" s="3" t="s">
        <v>7</v>
      </c>
      <c r="H1192" s="3" t="s">
        <v>6604</v>
      </c>
      <c r="I1192" s="3" t="s">
        <v>6529</v>
      </c>
      <c r="K1192" s="4"/>
    </row>
    <row r="1193" spans="1:11" x14ac:dyDescent="0.25">
      <c r="A1193" s="3" t="s">
        <v>6983</v>
      </c>
      <c r="B1193" s="3" t="s">
        <v>6991</v>
      </c>
      <c r="C1193" s="3" t="s">
        <v>6985</v>
      </c>
      <c r="D1193" s="3" t="s">
        <v>6276</v>
      </c>
      <c r="E1193" s="3">
        <v>1192</v>
      </c>
      <c r="F1193" s="3" t="s">
        <v>5971</v>
      </c>
      <c r="G1193" s="3" t="s">
        <v>4</v>
      </c>
      <c r="H1193" s="3" t="s">
        <v>7092</v>
      </c>
      <c r="I1193" s="3" t="s">
        <v>6529</v>
      </c>
      <c r="K1193" s="4"/>
    </row>
    <row r="1194" spans="1:11" x14ac:dyDescent="0.25">
      <c r="A1194" s="3" t="s">
        <v>6983</v>
      </c>
      <c r="B1194" s="3" t="s">
        <v>6991</v>
      </c>
      <c r="C1194" s="3" t="s">
        <v>6985</v>
      </c>
      <c r="D1194" s="3" t="s">
        <v>6277</v>
      </c>
      <c r="E1194" s="3">
        <v>1193</v>
      </c>
      <c r="F1194" s="3" t="s">
        <v>5972</v>
      </c>
      <c r="G1194" s="3" t="s">
        <v>13</v>
      </c>
      <c r="H1194" s="3" t="s">
        <v>6607</v>
      </c>
      <c r="K1194" s="4"/>
    </row>
    <row r="1195" spans="1:11" x14ac:dyDescent="0.25">
      <c r="A1195" s="3" t="s">
        <v>6983</v>
      </c>
      <c r="B1195" s="3" t="s">
        <v>6991</v>
      </c>
      <c r="C1195" s="3" t="s">
        <v>6985</v>
      </c>
      <c r="D1195" s="3" t="s">
        <v>6277</v>
      </c>
      <c r="E1195" s="3">
        <v>1194</v>
      </c>
      <c r="F1195" s="3" t="s">
        <v>5973</v>
      </c>
      <c r="G1195" s="3" t="s">
        <v>9</v>
      </c>
      <c r="H1195" s="3" t="s">
        <v>6607</v>
      </c>
      <c r="K1195" s="4"/>
    </row>
    <row r="1196" spans="1:11" x14ac:dyDescent="0.25">
      <c r="A1196" s="3" t="s">
        <v>6983</v>
      </c>
      <c r="B1196" s="3" t="s">
        <v>6991</v>
      </c>
      <c r="C1196" s="3" t="s">
        <v>6985</v>
      </c>
      <c r="D1196" s="3" t="s">
        <v>6277</v>
      </c>
      <c r="E1196" s="3">
        <v>1195</v>
      </c>
      <c r="F1196" s="3" t="s">
        <v>5974</v>
      </c>
      <c r="G1196" s="3" t="s">
        <v>13</v>
      </c>
      <c r="H1196" s="3" t="s">
        <v>6607</v>
      </c>
      <c r="K1196" s="4"/>
    </row>
    <row r="1197" spans="1:11" x14ac:dyDescent="0.25">
      <c r="A1197" s="3" t="s">
        <v>6983</v>
      </c>
      <c r="B1197" s="3" t="s">
        <v>6991</v>
      </c>
      <c r="C1197" s="3" t="s">
        <v>6985</v>
      </c>
      <c r="D1197" s="3" t="s">
        <v>6277</v>
      </c>
      <c r="E1197" s="3">
        <v>1196</v>
      </c>
      <c r="F1197" s="3" t="s">
        <v>5975</v>
      </c>
      <c r="G1197" s="3" t="s">
        <v>9</v>
      </c>
      <c r="H1197" s="3" t="s">
        <v>6607</v>
      </c>
      <c r="K1197" s="4"/>
    </row>
    <row r="1198" spans="1:11" x14ac:dyDescent="0.25">
      <c r="A1198" s="3" t="s">
        <v>6983</v>
      </c>
      <c r="B1198" s="3" t="s">
        <v>6991</v>
      </c>
      <c r="C1198" s="3" t="s">
        <v>6985</v>
      </c>
      <c r="D1198" s="3" t="s">
        <v>6277</v>
      </c>
      <c r="E1198" s="3">
        <v>1197</v>
      </c>
      <c r="F1198" s="3" t="s">
        <v>5976</v>
      </c>
      <c r="G1198" s="3" t="s">
        <v>13</v>
      </c>
      <c r="H1198" s="3" t="s">
        <v>6607</v>
      </c>
      <c r="I1198" s="5"/>
    </row>
    <row r="1199" spans="1:11" x14ac:dyDescent="0.25">
      <c r="A1199" s="3" t="s">
        <v>6983</v>
      </c>
      <c r="B1199" s="3" t="s">
        <v>6991</v>
      </c>
      <c r="C1199" s="3" t="s">
        <v>6985</v>
      </c>
      <c r="D1199" s="3" t="s">
        <v>6277</v>
      </c>
      <c r="E1199" s="3">
        <v>1198</v>
      </c>
      <c r="F1199" s="3" t="s">
        <v>5977</v>
      </c>
      <c r="G1199" s="3" t="s">
        <v>9</v>
      </c>
      <c r="H1199" s="3" t="s">
        <v>6607</v>
      </c>
    </row>
    <row r="1200" spans="1:11" x14ac:dyDescent="0.25">
      <c r="A1200" s="3" t="s">
        <v>6983</v>
      </c>
      <c r="B1200" s="3" t="s">
        <v>6991</v>
      </c>
      <c r="C1200" s="3" t="s">
        <v>6985</v>
      </c>
      <c r="D1200" s="3" t="s">
        <v>1138</v>
      </c>
      <c r="E1200" s="3">
        <v>1199</v>
      </c>
      <c r="F1200" s="3" t="s">
        <v>4700</v>
      </c>
      <c r="G1200" s="3" t="s">
        <v>1093</v>
      </c>
      <c r="H1200" s="4" t="s">
        <v>1221</v>
      </c>
    </row>
  </sheetData>
  <phoneticPr fontId="1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EC5C9-8E5E-4DB0-AE54-6F2F4A4168ED}">
  <dimension ref="A1:J499"/>
  <sheetViews>
    <sheetView topLeftCell="A472" zoomScaleNormal="100" workbookViewId="0">
      <selection activeCell="F484" sqref="F484"/>
    </sheetView>
  </sheetViews>
  <sheetFormatPr defaultRowHeight="15" x14ac:dyDescent="0.25"/>
  <cols>
    <col min="1" max="1" width="9.140625" style="3"/>
    <col min="2" max="2" width="6.5703125" style="3" customWidth="1"/>
    <col min="3" max="3" width="6" style="3" customWidth="1"/>
    <col min="4" max="4" width="9.140625" style="3"/>
    <col min="5" max="5" width="5.5703125" style="3" customWidth="1"/>
    <col min="6" max="6" width="23.140625" style="3" customWidth="1"/>
    <col min="7" max="7" width="12.7109375" style="3" customWidth="1"/>
    <col min="8" max="8" width="60.7109375" style="3" customWidth="1"/>
    <col min="9" max="10" width="20.85546875" style="3" customWidth="1"/>
    <col min="11" max="11" width="20.85546875" customWidth="1"/>
  </cols>
  <sheetData>
    <row r="1" spans="1:10" x14ac:dyDescent="0.25">
      <c r="A1" s="6" t="s">
        <v>6980</v>
      </c>
      <c r="B1" s="6" t="s">
        <v>6981</v>
      </c>
      <c r="C1" s="6" t="s">
        <v>6982</v>
      </c>
      <c r="D1" s="6" t="s">
        <v>0</v>
      </c>
      <c r="E1" s="6" t="s">
        <v>1</v>
      </c>
      <c r="F1" s="6" t="s">
        <v>2</v>
      </c>
      <c r="G1" s="6" t="s">
        <v>3</v>
      </c>
      <c r="H1" s="6" t="s">
        <v>22</v>
      </c>
      <c r="I1" s="6" t="s">
        <v>1139</v>
      </c>
      <c r="J1" s="6" t="s">
        <v>1269</v>
      </c>
    </row>
    <row r="2" spans="1:10" ht="15" customHeight="1" x14ac:dyDescent="0.25">
      <c r="A2" s="3" t="s">
        <v>6983</v>
      </c>
      <c r="B2" s="3" t="s">
        <v>6990</v>
      </c>
      <c r="C2" s="3" t="s">
        <v>6985</v>
      </c>
      <c r="D2" s="11" t="s">
        <v>2105</v>
      </c>
      <c r="E2" s="3">
        <v>1</v>
      </c>
      <c r="F2" s="3" t="s">
        <v>1435</v>
      </c>
      <c r="G2" s="3" t="s">
        <v>14</v>
      </c>
      <c r="H2" s="3" t="s">
        <v>6828</v>
      </c>
      <c r="I2" s="3" t="s">
        <v>1179</v>
      </c>
    </row>
    <row r="3" spans="1:10" x14ac:dyDescent="0.25">
      <c r="A3" s="3" t="s">
        <v>6983</v>
      </c>
      <c r="B3" s="3" t="s">
        <v>6990</v>
      </c>
      <c r="C3" s="3" t="s">
        <v>6985</v>
      </c>
      <c r="D3" s="3" t="s">
        <v>2105</v>
      </c>
      <c r="E3" s="3">
        <v>2</v>
      </c>
      <c r="F3" s="3" t="s">
        <v>1436</v>
      </c>
      <c r="G3" s="3" t="s">
        <v>15</v>
      </c>
      <c r="H3" s="3" t="s">
        <v>6829</v>
      </c>
      <c r="I3" s="3" t="s">
        <v>1179</v>
      </c>
    </row>
    <row r="4" spans="1:10" x14ac:dyDescent="0.25">
      <c r="A4" s="3" t="s">
        <v>6983</v>
      </c>
      <c r="B4" s="3" t="s">
        <v>6990</v>
      </c>
      <c r="C4" s="3" t="s">
        <v>6985</v>
      </c>
      <c r="D4" s="3" t="s">
        <v>2105</v>
      </c>
      <c r="E4" s="3">
        <v>3</v>
      </c>
      <c r="F4" s="3" t="s">
        <v>1437</v>
      </c>
      <c r="G4" s="3" t="s">
        <v>1091</v>
      </c>
      <c r="H4" s="3" t="s">
        <v>6830</v>
      </c>
      <c r="I4" s="3" t="s">
        <v>1179</v>
      </c>
    </row>
    <row r="5" spans="1:10" x14ac:dyDescent="0.25">
      <c r="A5" s="3" t="s">
        <v>6983</v>
      </c>
      <c r="B5" s="3" t="s">
        <v>6990</v>
      </c>
      <c r="C5" s="3" t="s">
        <v>6985</v>
      </c>
      <c r="D5" s="3" t="s">
        <v>2105</v>
      </c>
      <c r="E5" s="3">
        <v>4</v>
      </c>
      <c r="F5" s="3" t="s">
        <v>1438</v>
      </c>
      <c r="G5" s="3" t="s">
        <v>14</v>
      </c>
      <c r="H5" s="3" t="s">
        <v>6833</v>
      </c>
      <c r="I5" s="3" t="s">
        <v>1179</v>
      </c>
    </row>
    <row r="6" spans="1:10" x14ac:dyDescent="0.25">
      <c r="A6" s="3" t="s">
        <v>6983</v>
      </c>
      <c r="B6" s="3" t="s">
        <v>6990</v>
      </c>
      <c r="C6" s="3" t="s">
        <v>6985</v>
      </c>
      <c r="D6" s="3" t="s">
        <v>2105</v>
      </c>
      <c r="E6" s="3">
        <v>5</v>
      </c>
      <c r="F6" s="3" t="s">
        <v>1439</v>
      </c>
      <c r="G6" s="3" t="s">
        <v>15</v>
      </c>
      <c r="H6" s="3" t="s">
        <v>6831</v>
      </c>
      <c r="I6" s="3" t="s">
        <v>1179</v>
      </c>
    </row>
    <row r="7" spans="1:10" x14ac:dyDescent="0.25">
      <c r="A7" s="3" t="s">
        <v>6983</v>
      </c>
      <c r="B7" s="3" t="s">
        <v>6990</v>
      </c>
      <c r="C7" s="3" t="s">
        <v>6985</v>
      </c>
      <c r="D7" s="3" t="s">
        <v>2105</v>
      </c>
      <c r="E7" s="3">
        <v>6</v>
      </c>
      <c r="F7" s="3" t="s">
        <v>1440</v>
      </c>
      <c r="G7" s="3" t="s">
        <v>1091</v>
      </c>
      <c r="H7" s="3" t="s">
        <v>6832</v>
      </c>
      <c r="I7" s="3" t="s">
        <v>1179</v>
      </c>
    </row>
    <row r="8" spans="1:10" x14ac:dyDescent="0.25">
      <c r="A8" s="3" t="s">
        <v>6983</v>
      </c>
      <c r="B8" s="3" t="s">
        <v>6990</v>
      </c>
      <c r="C8" s="3" t="s">
        <v>6985</v>
      </c>
      <c r="D8" s="3" t="s">
        <v>2105</v>
      </c>
      <c r="E8" s="3">
        <v>7</v>
      </c>
      <c r="F8" s="3" t="s">
        <v>1441</v>
      </c>
      <c r="G8" s="3" t="s">
        <v>5</v>
      </c>
      <c r="H8" s="3" t="s">
        <v>35</v>
      </c>
      <c r="I8" s="3" t="s">
        <v>1179</v>
      </c>
    </row>
    <row r="9" spans="1:10" x14ac:dyDescent="0.25">
      <c r="A9" s="3" t="s">
        <v>6983</v>
      </c>
      <c r="B9" s="3" t="s">
        <v>6990</v>
      </c>
      <c r="C9" s="3" t="s">
        <v>6985</v>
      </c>
      <c r="D9" s="3" t="s">
        <v>2105</v>
      </c>
      <c r="E9" s="3">
        <v>8</v>
      </c>
      <c r="F9" s="3" t="s">
        <v>1442</v>
      </c>
      <c r="G9" s="3" t="s">
        <v>1092</v>
      </c>
      <c r="H9" s="3" t="s">
        <v>36</v>
      </c>
      <c r="I9" s="3" t="s">
        <v>1179</v>
      </c>
    </row>
    <row r="10" spans="1:10" x14ac:dyDescent="0.25">
      <c r="A10" s="3" t="s">
        <v>6983</v>
      </c>
      <c r="B10" s="3" t="s">
        <v>6990</v>
      </c>
      <c r="C10" s="3" t="s">
        <v>6985</v>
      </c>
      <c r="D10" s="3" t="s">
        <v>2105</v>
      </c>
      <c r="E10" s="3">
        <v>9</v>
      </c>
      <c r="F10" s="3" t="s">
        <v>1443</v>
      </c>
      <c r="G10" s="3" t="s">
        <v>16</v>
      </c>
      <c r="H10" s="3" t="s">
        <v>1143</v>
      </c>
      <c r="I10" s="3" t="s">
        <v>1179</v>
      </c>
    </row>
    <row r="11" spans="1:10" x14ac:dyDescent="0.25">
      <c r="A11" s="3" t="s">
        <v>6983</v>
      </c>
      <c r="B11" s="3" t="s">
        <v>6990</v>
      </c>
      <c r="C11" s="3" t="s">
        <v>6985</v>
      </c>
      <c r="D11" s="3" t="s">
        <v>2105</v>
      </c>
      <c r="E11" s="3">
        <v>10</v>
      </c>
      <c r="F11" s="3" t="s">
        <v>1444</v>
      </c>
      <c r="G11" s="3" t="s">
        <v>16</v>
      </c>
      <c r="H11" s="3" t="s">
        <v>37</v>
      </c>
      <c r="I11" s="3" t="s">
        <v>1179</v>
      </c>
    </row>
    <row r="12" spans="1:10" x14ac:dyDescent="0.25">
      <c r="A12" s="3" t="s">
        <v>6983</v>
      </c>
      <c r="B12" s="3" t="s">
        <v>6990</v>
      </c>
      <c r="C12" s="3" t="s">
        <v>6985</v>
      </c>
      <c r="D12" s="3" t="s">
        <v>2105</v>
      </c>
      <c r="E12" s="3">
        <v>11</v>
      </c>
      <c r="F12" s="3" t="s">
        <v>1445</v>
      </c>
      <c r="G12" s="3" t="s">
        <v>16</v>
      </c>
      <c r="H12" s="3" t="s">
        <v>1142</v>
      </c>
      <c r="I12" s="3" t="s">
        <v>1179</v>
      </c>
    </row>
    <row r="13" spans="1:10" x14ac:dyDescent="0.25">
      <c r="A13" s="3" t="s">
        <v>6983</v>
      </c>
      <c r="B13" s="3" t="s">
        <v>6990</v>
      </c>
      <c r="C13" s="3" t="s">
        <v>6985</v>
      </c>
      <c r="D13" s="3" t="s">
        <v>2105</v>
      </c>
      <c r="E13" s="3">
        <v>12</v>
      </c>
      <c r="F13" s="3" t="s">
        <v>1446</v>
      </c>
      <c r="G13" s="3" t="s">
        <v>17</v>
      </c>
      <c r="H13" s="3" t="s">
        <v>38</v>
      </c>
      <c r="I13" s="3" t="s">
        <v>1179</v>
      </c>
    </row>
    <row r="14" spans="1:10" x14ac:dyDescent="0.25">
      <c r="A14" s="3" t="s">
        <v>6983</v>
      </c>
      <c r="B14" s="3" t="s">
        <v>6990</v>
      </c>
      <c r="C14" s="3" t="s">
        <v>6985</v>
      </c>
      <c r="D14" s="3" t="s">
        <v>2106</v>
      </c>
      <c r="E14" s="3">
        <v>13</v>
      </c>
      <c r="F14" s="3" t="s">
        <v>2165</v>
      </c>
      <c r="G14" s="3" t="s">
        <v>2098</v>
      </c>
      <c r="H14" s="3" t="str">
        <f>_xlfn.CONCAT("Output ",F14, " from TIS.")</f>
        <v>Output NE Tendon 2 Bending from TIS.</v>
      </c>
    </row>
    <row r="15" spans="1:10" x14ac:dyDescent="0.25">
      <c r="A15" s="3" t="s">
        <v>6983</v>
      </c>
      <c r="B15" s="3" t="s">
        <v>6990</v>
      </c>
      <c r="C15" s="3" t="s">
        <v>6985</v>
      </c>
      <c r="D15" s="3" t="s">
        <v>2106</v>
      </c>
      <c r="E15" s="3">
        <v>14</v>
      </c>
      <c r="F15" s="3" t="s">
        <v>2166</v>
      </c>
      <c r="G15" s="3" t="s">
        <v>1100</v>
      </c>
      <c r="H15" s="3" t="str">
        <f t="shared" ref="H15:H30" si="0">_xlfn.CONCAT("Output ",F15, " from TIS.")</f>
        <v>Output NE Tendon 2 Tension from TIS.</v>
      </c>
    </row>
    <row r="16" spans="1:10" x14ac:dyDescent="0.25">
      <c r="A16" s="3" t="s">
        <v>6983</v>
      </c>
      <c r="B16" s="3" t="s">
        <v>6990</v>
      </c>
      <c r="C16" s="3" t="s">
        <v>6985</v>
      </c>
      <c r="D16" s="3" t="s">
        <v>2106</v>
      </c>
      <c r="E16" s="3">
        <v>15</v>
      </c>
      <c r="F16" s="3" t="s">
        <v>2167</v>
      </c>
      <c r="G16" s="3" t="s">
        <v>4</v>
      </c>
      <c r="H16" s="3" t="str">
        <f t="shared" si="0"/>
        <v>Output NE Tendon 2 Angle from TIS.</v>
      </c>
    </row>
    <row r="17" spans="1:8" x14ac:dyDescent="0.25">
      <c r="A17" s="3" t="s">
        <v>6983</v>
      </c>
      <c r="B17" s="3" t="s">
        <v>6990</v>
      </c>
      <c r="C17" s="3" t="s">
        <v>6985</v>
      </c>
      <c r="D17" s="3" t="s">
        <v>2106</v>
      </c>
      <c r="E17" s="3">
        <v>16</v>
      </c>
      <c r="F17" s="3" t="s">
        <v>2168</v>
      </c>
      <c r="G17" s="3" t="s">
        <v>1104</v>
      </c>
      <c r="H17" s="3" t="str">
        <f t="shared" si="0"/>
        <v>Output NE Tendon 2 Status from TIS.</v>
      </c>
    </row>
    <row r="18" spans="1:8" x14ac:dyDescent="0.25">
      <c r="A18" s="3" t="s">
        <v>6983</v>
      </c>
      <c r="B18" s="3" t="s">
        <v>6990</v>
      </c>
      <c r="C18" s="3" t="s">
        <v>6985</v>
      </c>
      <c r="D18" s="3" t="s">
        <v>2106</v>
      </c>
      <c r="E18" s="3">
        <v>17</v>
      </c>
      <c r="F18" s="3" t="s">
        <v>6001</v>
      </c>
      <c r="G18" s="3" t="s">
        <v>2098</v>
      </c>
      <c r="H18" s="3" t="str">
        <f t="shared" si="0"/>
        <v>Output SE Tendon 7 Bending from TIS.</v>
      </c>
    </row>
    <row r="19" spans="1:8" x14ac:dyDescent="0.25">
      <c r="A19" s="3" t="s">
        <v>6983</v>
      </c>
      <c r="B19" s="3" t="s">
        <v>6990</v>
      </c>
      <c r="C19" s="3" t="s">
        <v>6985</v>
      </c>
      <c r="D19" s="3" t="s">
        <v>2106</v>
      </c>
      <c r="E19" s="3">
        <v>18</v>
      </c>
      <c r="F19" s="3" t="s">
        <v>6002</v>
      </c>
      <c r="G19" s="3" t="s">
        <v>1100</v>
      </c>
      <c r="H19" s="3" t="str">
        <f t="shared" si="0"/>
        <v>Output SE Tendon 7 Tension from TIS.</v>
      </c>
    </row>
    <row r="20" spans="1:8" x14ac:dyDescent="0.25">
      <c r="A20" s="3" t="s">
        <v>6983</v>
      </c>
      <c r="B20" s="3" t="s">
        <v>6990</v>
      </c>
      <c r="C20" s="3" t="s">
        <v>6985</v>
      </c>
      <c r="D20" s="3" t="s">
        <v>2106</v>
      </c>
      <c r="E20" s="3">
        <v>19</v>
      </c>
      <c r="F20" s="3" t="s">
        <v>6003</v>
      </c>
      <c r="G20" s="3" t="s">
        <v>4</v>
      </c>
      <c r="H20" s="3" t="str">
        <f t="shared" si="0"/>
        <v>Output SE Tendon 7 Angle from TIS.</v>
      </c>
    </row>
    <row r="21" spans="1:8" x14ac:dyDescent="0.25">
      <c r="A21" s="3" t="s">
        <v>6983</v>
      </c>
      <c r="B21" s="3" t="s">
        <v>6990</v>
      </c>
      <c r="C21" s="3" t="s">
        <v>6985</v>
      </c>
      <c r="D21" s="3" t="s">
        <v>2106</v>
      </c>
      <c r="E21" s="3">
        <v>20</v>
      </c>
      <c r="F21" s="3" t="s">
        <v>6004</v>
      </c>
      <c r="G21" s="3" t="s">
        <v>1104</v>
      </c>
      <c r="H21" s="3" t="str">
        <f t="shared" si="0"/>
        <v>Output SE Tendon 7 Status from TIS.</v>
      </c>
    </row>
    <row r="22" spans="1:8" x14ac:dyDescent="0.25">
      <c r="A22" s="3" t="s">
        <v>6983</v>
      </c>
      <c r="B22" s="3" t="s">
        <v>6990</v>
      </c>
      <c r="C22" s="3" t="s">
        <v>6985</v>
      </c>
      <c r="D22" s="3" t="s">
        <v>2106</v>
      </c>
      <c r="E22" s="3">
        <v>21</v>
      </c>
      <c r="F22" s="3" t="s">
        <v>6005</v>
      </c>
      <c r="G22" s="3" t="s">
        <v>2098</v>
      </c>
      <c r="H22" s="3" t="str">
        <f t="shared" si="0"/>
        <v>Output SW Tendon 10 Bending from TIS.</v>
      </c>
    </row>
    <row r="23" spans="1:8" x14ac:dyDescent="0.25">
      <c r="A23" s="3" t="s">
        <v>6983</v>
      </c>
      <c r="B23" s="3" t="s">
        <v>6990</v>
      </c>
      <c r="C23" s="3" t="s">
        <v>6985</v>
      </c>
      <c r="D23" s="3" t="s">
        <v>2106</v>
      </c>
      <c r="E23" s="3">
        <v>22</v>
      </c>
      <c r="F23" s="3" t="s">
        <v>6006</v>
      </c>
      <c r="G23" s="3" t="s">
        <v>1100</v>
      </c>
      <c r="H23" s="3" t="str">
        <f t="shared" si="0"/>
        <v>Output SW Tendon 10 Tension from TIS.</v>
      </c>
    </row>
    <row r="24" spans="1:8" x14ac:dyDescent="0.25">
      <c r="A24" s="3" t="s">
        <v>6983</v>
      </c>
      <c r="B24" s="3" t="s">
        <v>6990</v>
      </c>
      <c r="C24" s="3" t="s">
        <v>6985</v>
      </c>
      <c r="D24" s="3" t="s">
        <v>2106</v>
      </c>
      <c r="E24" s="3">
        <v>23</v>
      </c>
      <c r="F24" s="3" t="s">
        <v>6007</v>
      </c>
      <c r="G24" s="3" t="s">
        <v>4</v>
      </c>
      <c r="H24" s="3" t="str">
        <f t="shared" si="0"/>
        <v>Output SW Tendon 10 Angle from TIS.</v>
      </c>
    </row>
    <row r="25" spans="1:8" x14ac:dyDescent="0.25">
      <c r="A25" s="3" t="s">
        <v>6983</v>
      </c>
      <c r="B25" s="3" t="s">
        <v>6990</v>
      </c>
      <c r="C25" s="3" t="s">
        <v>6985</v>
      </c>
      <c r="D25" s="3" t="s">
        <v>2106</v>
      </c>
      <c r="E25" s="3">
        <v>24</v>
      </c>
      <c r="F25" s="3" t="s">
        <v>6008</v>
      </c>
      <c r="G25" s="3" t="s">
        <v>1104</v>
      </c>
      <c r="H25" s="3" t="str">
        <f t="shared" si="0"/>
        <v>Output SW Tendon 10 Status from TIS.</v>
      </c>
    </row>
    <row r="26" spans="1:8" x14ac:dyDescent="0.25">
      <c r="A26" s="3" t="s">
        <v>6983</v>
      </c>
      <c r="B26" s="3" t="s">
        <v>6990</v>
      </c>
      <c r="C26" s="3" t="s">
        <v>6985</v>
      </c>
      <c r="D26" s="3" t="s">
        <v>2106</v>
      </c>
      <c r="E26" s="3">
        <v>25</v>
      </c>
      <c r="F26" s="3" t="s">
        <v>6009</v>
      </c>
      <c r="G26" s="3" t="s">
        <v>2098</v>
      </c>
      <c r="H26" s="3" t="str">
        <f t="shared" si="0"/>
        <v>Output NW Tendon 15 Bending from TIS.</v>
      </c>
    </row>
    <row r="27" spans="1:8" x14ac:dyDescent="0.25">
      <c r="A27" s="3" t="s">
        <v>6983</v>
      </c>
      <c r="B27" s="3" t="s">
        <v>6990</v>
      </c>
      <c r="C27" s="3" t="s">
        <v>6985</v>
      </c>
      <c r="D27" s="3" t="s">
        <v>2106</v>
      </c>
      <c r="E27" s="3">
        <v>26</v>
      </c>
      <c r="F27" s="3" t="s">
        <v>6010</v>
      </c>
      <c r="G27" s="3" t="s">
        <v>1100</v>
      </c>
      <c r="H27" s="3" t="str">
        <f>_xlfn.CONCAT("Output ",F27, " from TIS.")</f>
        <v>Output NW Tendon 15 Tension from TIS.</v>
      </c>
    </row>
    <row r="28" spans="1:8" x14ac:dyDescent="0.25">
      <c r="A28" s="3" t="s">
        <v>6983</v>
      </c>
      <c r="B28" s="3" t="s">
        <v>6990</v>
      </c>
      <c r="C28" s="3" t="s">
        <v>6985</v>
      </c>
      <c r="D28" s="3" t="s">
        <v>2106</v>
      </c>
      <c r="E28" s="3">
        <v>27</v>
      </c>
      <c r="F28" s="3" t="s">
        <v>6011</v>
      </c>
      <c r="G28" s="3" t="s">
        <v>4</v>
      </c>
      <c r="H28" s="3" t="str">
        <f t="shared" si="0"/>
        <v>Output NW Tendon 15 Angle from TIS.</v>
      </c>
    </row>
    <row r="29" spans="1:8" x14ac:dyDescent="0.25">
      <c r="A29" s="3" t="s">
        <v>6983</v>
      </c>
      <c r="B29" s="3" t="s">
        <v>6990</v>
      </c>
      <c r="C29" s="3" t="s">
        <v>6985</v>
      </c>
      <c r="D29" s="3" t="s">
        <v>2106</v>
      </c>
      <c r="E29" s="3">
        <v>28</v>
      </c>
      <c r="F29" s="3" t="s">
        <v>6012</v>
      </c>
      <c r="G29" s="3" t="s">
        <v>1104</v>
      </c>
      <c r="H29" s="3" t="str">
        <f t="shared" si="0"/>
        <v>Output NW Tendon 15 Status from TIS.</v>
      </c>
    </row>
    <row r="30" spans="1:8" x14ac:dyDescent="0.25">
      <c r="A30" s="3" t="s">
        <v>6983</v>
      </c>
      <c r="B30" s="3" t="s">
        <v>6990</v>
      </c>
      <c r="C30" s="3" t="s">
        <v>6985</v>
      </c>
      <c r="D30" s="3" t="s">
        <v>2106</v>
      </c>
      <c r="E30" s="3">
        <v>29</v>
      </c>
      <c r="F30" s="3" t="s">
        <v>2181</v>
      </c>
      <c r="G30" s="3" t="s">
        <v>1104</v>
      </c>
      <c r="H30" s="3" t="str">
        <f t="shared" si="0"/>
        <v>Output TIS Status from TIS.</v>
      </c>
    </row>
    <row r="31" spans="1:8" x14ac:dyDescent="0.25">
      <c r="A31" s="3" t="s">
        <v>6983</v>
      </c>
      <c r="B31" s="3" t="s">
        <v>6990</v>
      </c>
      <c r="C31" s="3" t="s">
        <v>6985</v>
      </c>
      <c r="D31" s="3" t="s">
        <v>2107</v>
      </c>
      <c r="E31" s="3">
        <v>30</v>
      </c>
      <c r="F31" s="4" t="s">
        <v>1499</v>
      </c>
      <c r="G31" s="3" t="s">
        <v>19</v>
      </c>
      <c r="H31" s="3" t="s">
        <v>6953</v>
      </c>
    </row>
    <row r="32" spans="1:8" x14ac:dyDescent="0.25">
      <c r="A32" s="3" t="s">
        <v>6983</v>
      </c>
      <c r="B32" s="3" t="s">
        <v>6990</v>
      </c>
      <c r="C32" s="3" t="s">
        <v>6985</v>
      </c>
      <c r="D32" s="3" t="s">
        <v>2107</v>
      </c>
      <c r="E32" s="3">
        <v>31</v>
      </c>
      <c r="F32" s="4" t="s">
        <v>1498</v>
      </c>
      <c r="G32" s="3" t="s">
        <v>1093</v>
      </c>
      <c r="H32" s="3" t="s">
        <v>6948</v>
      </c>
    </row>
    <row r="33" spans="1:8" x14ac:dyDescent="0.25">
      <c r="A33" s="3" t="s">
        <v>6983</v>
      </c>
      <c r="B33" s="3" t="s">
        <v>6990</v>
      </c>
      <c r="C33" s="3" t="s">
        <v>6985</v>
      </c>
      <c r="D33" s="3" t="s">
        <v>2107</v>
      </c>
      <c r="E33" s="3">
        <v>32</v>
      </c>
      <c r="F33" s="3" t="s">
        <v>1504</v>
      </c>
      <c r="G33" s="3" t="s">
        <v>2099</v>
      </c>
      <c r="H33" s="3" t="s">
        <v>1233</v>
      </c>
    </row>
    <row r="34" spans="1:8" x14ac:dyDescent="0.25">
      <c r="A34" s="3" t="s">
        <v>6983</v>
      </c>
      <c r="B34" s="3" t="s">
        <v>6990</v>
      </c>
      <c r="C34" s="3" t="s">
        <v>6985</v>
      </c>
      <c r="D34" s="3" t="s">
        <v>2107</v>
      </c>
      <c r="E34" s="3">
        <v>33</v>
      </c>
      <c r="F34" s="3" t="s">
        <v>1505</v>
      </c>
      <c r="G34" s="3" t="s">
        <v>1094</v>
      </c>
      <c r="H34" s="3" t="s">
        <v>1242</v>
      </c>
    </row>
    <row r="35" spans="1:8" x14ac:dyDescent="0.25">
      <c r="A35" s="3" t="s">
        <v>6983</v>
      </c>
      <c r="B35" s="3" t="s">
        <v>6990</v>
      </c>
      <c r="C35" s="3" t="s">
        <v>6985</v>
      </c>
      <c r="D35" s="3" t="s">
        <v>2107</v>
      </c>
      <c r="E35" s="3">
        <v>34</v>
      </c>
      <c r="F35" s="3" t="s">
        <v>1513</v>
      </c>
      <c r="G35" s="3" t="s">
        <v>19</v>
      </c>
      <c r="H35" s="3" t="s">
        <v>1243</v>
      </c>
    </row>
    <row r="36" spans="1:8" x14ac:dyDescent="0.25">
      <c r="A36" s="3" t="s">
        <v>6983</v>
      </c>
      <c r="B36" s="3" t="s">
        <v>6990</v>
      </c>
      <c r="C36" s="3" t="s">
        <v>6985</v>
      </c>
      <c r="D36" s="3" t="s">
        <v>2107</v>
      </c>
      <c r="E36" s="3">
        <v>35</v>
      </c>
      <c r="F36" s="3" t="s">
        <v>1514</v>
      </c>
      <c r="G36" s="3" t="s">
        <v>19</v>
      </c>
      <c r="H36" s="3" t="s">
        <v>1243</v>
      </c>
    </row>
    <row r="37" spans="1:8" x14ac:dyDescent="0.25">
      <c r="A37" s="3" t="s">
        <v>6983</v>
      </c>
      <c r="B37" s="3" t="s">
        <v>6990</v>
      </c>
      <c r="C37" s="3" t="s">
        <v>6985</v>
      </c>
      <c r="D37" s="3" t="s">
        <v>2107</v>
      </c>
      <c r="E37" s="3">
        <v>36</v>
      </c>
      <c r="F37" s="3" t="s">
        <v>1506</v>
      </c>
      <c r="G37" s="3" t="s">
        <v>1095</v>
      </c>
      <c r="H37" s="3" t="s">
        <v>32</v>
      </c>
    </row>
    <row r="38" spans="1:8" x14ac:dyDescent="0.25">
      <c r="A38" s="3" t="s">
        <v>6983</v>
      </c>
      <c r="B38" s="3" t="s">
        <v>6990</v>
      </c>
      <c r="C38" s="3" t="s">
        <v>6985</v>
      </c>
      <c r="D38" s="3" t="s">
        <v>2107</v>
      </c>
      <c r="E38" s="3">
        <v>37</v>
      </c>
      <c r="F38" s="3" t="s">
        <v>1507</v>
      </c>
      <c r="G38" s="3" t="s">
        <v>1095</v>
      </c>
      <c r="H38" s="3" t="s">
        <v>1144</v>
      </c>
    </row>
    <row r="39" spans="1:8" x14ac:dyDescent="0.25">
      <c r="A39" s="3" t="s">
        <v>6983</v>
      </c>
      <c r="B39" s="3" t="s">
        <v>6990</v>
      </c>
      <c r="C39" s="3" t="s">
        <v>6985</v>
      </c>
      <c r="D39" s="3" t="s">
        <v>2107</v>
      </c>
      <c r="E39" s="3">
        <v>38</v>
      </c>
      <c r="F39" s="3" t="s">
        <v>4823</v>
      </c>
      <c r="G39" s="3" t="s">
        <v>4</v>
      </c>
      <c r="H39" s="3" t="s">
        <v>7029</v>
      </c>
    </row>
    <row r="40" spans="1:8" x14ac:dyDescent="0.25">
      <c r="A40" s="3" t="s">
        <v>6983</v>
      </c>
      <c r="B40" s="3" t="s">
        <v>6990</v>
      </c>
      <c r="C40" s="3" t="s">
        <v>6985</v>
      </c>
      <c r="D40" s="3" t="s">
        <v>2107</v>
      </c>
      <c r="E40" s="3">
        <v>39</v>
      </c>
      <c r="F40" s="3" t="s">
        <v>4824</v>
      </c>
      <c r="G40" s="3" t="s">
        <v>3843</v>
      </c>
      <c r="H40" s="3" t="s">
        <v>6610</v>
      </c>
    </row>
    <row r="41" spans="1:8" x14ac:dyDescent="0.25">
      <c r="A41" s="3" t="s">
        <v>6983</v>
      </c>
      <c r="B41" s="3" t="s">
        <v>6990</v>
      </c>
      <c r="C41" s="3" t="s">
        <v>6985</v>
      </c>
      <c r="D41" s="3" t="s">
        <v>2107</v>
      </c>
      <c r="E41" s="3">
        <v>40</v>
      </c>
      <c r="F41" s="3" t="s">
        <v>6013</v>
      </c>
      <c r="G41" s="3" t="s">
        <v>3843</v>
      </c>
      <c r="H41" s="3" t="s">
        <v>6611</v>
      </c>
    </row>
    <row r="42" spans="1:8" x14ac:dyDescent="0.25">
      <c r="A42" s="3" t="s">
        <v>6983</v>
      </c>
      <c r="B42" s="3" t="s">
        <v>6990</v>
      </c>
      <c r="C42" s="3" t="s">
        <v>6985</v>
      </c>
      <c r="D42" s="3" t="s">
        <v>2107</v>
      </c>
      <c r="E42" s="3">
        <v>41</v>
      </c>
      <c r="F42" s="3" t="s">
        <v>1512</v>
      </c>
      <c r="G42" s="3" t="s">
        <v>2100</v>
      </c>
      <c r="H42" s="3" t="s">
        <v>1244</v>
      </c>
    </row>
    <row r="43" spans="1:8" x14ac:dyDescent="0.25">
      <c r="A43" s="3" t="s">
        <v>6983</v>
      </c>
      <c r="B43" s="3" t="s">
        <v>6990</v>
      </c>
      <c r="C43" s="3" t="s">
        <v>6985</v>
      </c>
      <c r="D43" s="3" t="s">
        <v>2107</v>
      </c>
      <c r="E43" s="3">
        <v>42</v>
      </c>
      <c r="F43" s="3" t="s">
        <v>4826</v>
      </c>
      <c r="G43" s="3" t="s">
        <v>19</v>
      </c>
      <c r="H43" s="3" t="s">
        <v>6612</v>
      </c>
    </row>
    <row r="44" spans="1:8" x14ac:dyDescent="0.25">
      <c r="A44" s="3" t="s">
        <v>6983</v>
      </c>
      <c r="B44" s="3" t="s">
        <v>6990</v>
      </c>
      <c r="C44" s="3" t="s">
        <v>6985</v>
      </c>
      <c r="D44" s="3" t="s">
        <v>2112</v>
      </c>
      <c r="E44" s="3">
        <v>43</v>
      </c>
      <c r="F44" s="3" t="s">
        <v>1522</v>
      </c>
      <c r="G44" s="3" t="s">
        <v>13</v>
      </c>
      <c r="H44" s="3" t="s">
        <v>6613</v>
      </c>
    </row>
    <row r="45" spans="1:8" x14ac:dyDescent="0.25">
      <c r="A45" s="3" t="s">
        <v>6983</v>
      </c>
      <c r="B45" s="3" t="s">
        <v>6990</v>
      </c>
      <c r="C45" s="3" t="s">
        <v>6985</v>
      </c>
      <c r="D45" s="3" t="s">
        <v>2112</v>
      </c>
      <c r="E45" s="3">
        <v>44</v>
      </c>
      <c r="F45" s="3" t="s">
        <v>1523</v>
      </c>
      <c r="G45" s="3" t="s">
        <v>9</v>
      </c>
      <c r="H45" s="4" t="s">
        <v>7030</v>
      </c>
    </row>
    <row r="46" spans="1:8" x14ac:dyDescent="0.25">
      <c r="A46" s="3" t="s">
        <v>6983</v>
      </c>
      <c r="B46" s="3" t="s">
        <v>6990</v>
      </c>
      <c r="C46" s="3" t="s">
        <v>6985</v>
      </c>
      <c r="D46" s="3" t="s">
        <v>2112</v>
      </c>
      <c r="E46" s="3">
        <v>45</v>
      </c>
      <c r="F46" s="3" t="s">
        <v>1524</v>
      </c>
      <c r="G46" s="3" t="s">
        <v>1095</v>
      </c>
      <c r="H46" s="3" t="s">
        <v>1524</v>
      </c>
    </row>
    <row r="47" spans="1:8" x14ac:dyDescent="0.25">
      <c r="A47" s="3" t="s">
        <v>6983</v>
      </c>
      <c r="B47" s="3" t="s">
        <v>6990</v>
      </c>
      <c r="C47" s="3" t="s">
        <v>6985</v>
      </c>
      <c r="D47" s="3" t="s">
        <v>6300</v>
      </c>
      <c r="E47" s="3">
        <v>46</v>
      </c>
      <c r="F47" s="3" t="s">
        <v>6014</v>
      </c>
      <c r="G47" s="3" t="s">
        <v>1093</v>
      </c>
      <c r="H47" s="4" t="str">
        <f>_xlfn.CONCAT("Output ",F47, " from 3rd party Tanks &amp; Drafts.")</f>
        <v>Output ABJ-SE4-51 Level from 3rd party Tanks &amp; Drafts.</v>
      </c>
    </row>
    <row r="48" spans="1:8" x14ac:dyDescent="0.25">
      <c r="A48" s="3" t="s">
        <v>6983</v>
      </c>
      <c r="B48" s="3" t="s">
        <v>6990</v>
      </c>
      <c r="C48" s="3" t="s">
        <v>6985</v>
      </c>
      <c r="D48" s="3" t="s">
        <v>6300</v>
      </c>
      <c r="E48" s="3">
        <v>47</v>
      </c>
      <c r="F48" s="3" t="s">
        <v>6015</v>
      </c>
      <c r="G48" s="3" t="s">
        <v>1093</v>
      </c>
      <c r="H48" s="3" t="str">
        <f t="shared" ref="H48:H90" si="1">_xlfn.CONCAT("Output ",F48, " from 3rd party Tanks &amp; Drafts.")</f>
        <v>Output ABJ-SE4-61 Level from 3rd party Tanks &amp; Drafts.</v>
      </c>
    </row>
    <row r="49" spans="1:8" x14ac:dyDescent="0.25">
      <c r="A49" s="3" t="s">
        <v>6983</v>
      </c>
      <c r="B49" s="3" t="s">
        <v>6990</v>
      </c>
      <c r="C49" s="3" t="s">
        <v>6985</v>
      </c>
      <c r="D49" s="3" t="s">
        <v>6300</v>
      </c>
      <c r="E49" s="3">
        <v>48</v>
      </c>
      <c r="F49" s="3" t="s">
        <v>2185</v>
      </c>
      <c r="G49" s="3" t="s">
        <v>1093</v>
      </c>
      <c r="H49" s="3" t="str">
        <f t="shared" si="1"/>
        <v>Output BAL-EPN Level from 3rd party Tanks &amp; Drafts.</v>
      </c>
    </row>
    <row r="50" spans="1:8" x14ac:dyDescent="0.25">
      <c r="A50" s="3" t="s">
        <v>6983</v>
      </c>
      <c r="B50" s="3" t="s">
        <v>6990</v>
      </c>
      <c r="C50" s="3" t="s">
        <v>6985</v>
      </c>
      <c r="D50" s="3" t="s">
        <v>6300</v>
      </c>
      <c r="E50" s="3">
        <v>49</v>
      </c>
      <c r="F50" s="3" t="s">
        <v>2186</v>
      </c>
      <c r="G50" s="3" t="s">
        <v>1093</v>
      </c>
      <c r="H50" s="3" t="str">
        <f t="shared" si="1"/>
        <v>Output BAL-EPS Level from 3rd party Tanks &amp; Drafts.</v>
      </c>
    </row>
    <row r="51" spans="1:8" x14ac:dyDescent="0.25">
      <c r="A51" s="3" t="s">
        <v>6983</v>
      </c>
      <c r="B51" s="3" t="s">
        <v>6990</v>
      </c>
      <c r="C51" s="3" t="s">
        <v>6985</v>
      </c>
      <c r="D51" s="3" t="s">
        <v>6300</v>
      </c>
      <c r="E51" s="3">
        <v>50</v>
      </c>
      <c r="F51" s="3" t="s">
        <v>2188</v>
      </c>
      <c r="G51" s="3" t="s">
        <v>1093</v>
      </c>
      <c r="H51" s="3" t="str">
        <f t="shared" si="1"/>
        <v>Output BAL-NE0-BN Level from 3rd party Tanks &amp; Drafts.</v>
      </c>
    </row>
    <row r="52" spans="1:8" x14ac:dyDescent="0.25">
      <c r="A52" s="3" t="s">
        <v>6983</v>
      </c>
      <c r="B52" s="3" t="s">
        <v>6990</v>
      </c>
      <c r="C52" s="3" t="s">
        <v>6985</v>
      </c>
      <c r="D52" s="3" t="s">
        <v>6300</v>
      </c>
      <c r="E52" s="3">
        <v>51</v>
      </c>
      <c r="F52" s="3" t="s">
        <v>6016</v>
      </c>
      <c r="G52" s="3" t="s">
        <v>1093</v>
      </c>
      <c r="H52" s="3" t="str">
        <f t="shared" si="1"/>
        <v>Output BAL-NE0-BS Level from 3rd party Tanks &amp; Drafts.</v>
      </c>
    </row>
    <row r="53" spans="1:8" x14ac:dyDescent="0.25">
      <c r="A53" s="3" t="s">
        <v>6983</v>
      </c>
      <c r="B53" s="3" t="s">
        <v>6990</v>
      </c>
      <c r="C53" s="3" t="s">
        <v>6985</v>
      </c>
      <c r="D53" s="3" t="s">
        <v>6300</v>
      </c>
      <c r="E53" s="3">
        <v>52</v>
      </c>
      <c r="F53" s="3" t="s">
        <v>6017</v>
      </c>
      <c r="G53" s="3" t="s">
        <v>1093</v>
      </c>
      <c r="H53" s="3" t="str">
        <f t="shared" si="1"/>
        <v>Output BAL-NE1-TE Level from 3rd party Tanks &amp; Drafts.</v>
      </c>
    </row>
    <row r="54" spans="1:8" x14ac:dyDescent="0.25">
      <c r="A54" s="3" t="s">
        <v>6983</v>
      </c>
      <c r="B54" s="3" t="s">
        <v>6990</v>
      </c>
      <c r="C54" s="3" t="s">
        <v>6985</v>
      </c>
      <c r="D54" s="3" t="s">
        <v>6300</v>
      </c>
      <c r="E54" s="3">
        <v>53</v>
      </c>
      <c r="F54" s="3" t="s">
        <v>6018</v>
      </c>
      <c r="G54" s="3" t="s">
        <v>1093</v>
      </c>
      <c r="H54" s="3" t="str">
        <f t="shared" si="1"/>
        <v>Output BAL-NE1-TN Level from 3rd party Tanks &amp; Drafts.</v>
      </c>
    </row>
    <row r="55" spans="1:8" x14ac:dyDescent="0.25">
      <c r="A55" s="3" t="s">
        <v>6983</v>
      </c>
      <c r="B55" s="3" t="s">
        <v>6990</v>
      </c>
      <c r="C55" s="3" t="s">
        <v>6985</v>
      </c>
      <c r="D55" s="3" t="s">
        <v>6300</v>
      </c>
      <c r="E55" s="3">
        <v>54</v>
      </c>
      <c r="F55" s="3" t="s">
        <v>6019</v>
      </c>
      <c r="G55" s="3" t="s">
        <v>1093</v>
      </c>
      <c r="H55" s="3" t="str">
        <f t="shared" si="1"/>
        <v>Output BAL-NE1-TS Level from 3rd party Tanks &amp; Drafts.</v>
      </c>
    </row>
    <row r="56" spans="1:8" x14ac:dyDescent="0.25">
      <c r="A56" s="3" t="s">
        <v>6983</v>
      </c>
      <c r="B56" s="3" t="s">
        <v>6990</v>
      </c>
      <c r="C56" s="3" t="s">
        <v>6985</v>
      </c>
      <c r="D56" s="3" t="s">
        <v>6300</v>
      </c>
      <c r="E56" s="3">
        <v>55</v>
      </c>
      <c r="F56" s="3" t="s">
        <v>6020</v>
      </c>
      <c r="G56" s="3" t="s">
        <v>1093</v>
      </c>
      <c r="H56" s="3" t="str">
        <f t="shared" si="1"/>
        <v>Output BAL-NE1-TW Level from 3rd party Tanks &amp; Drafts.</v>
      </c>
    </row>
    <row r="57" spans="1:8" x14ac:dyDescent="0.25">
      <c r="A57" s="3" t="s">
        <v>6983</v>
      </c>
      <c r="B57" s="3" t="s">
        <v>6990</v>
      </c>
      <c r="C57" s="3" t="s">
        <v>6985</v>
      </c>
      <c r="D57" s="3" t="s">
        <v>6300</v>
      </c>
      <c r="E57" s="3">
        <v>56</v>
      </c>
      <c r="F57" s="3" t="s">
        <v>2184</v>
      </c>
      <c r="G57" s="3" t="s">
        <v>1093</v>
      </c>
      <c r="H57" s="3" t="str">
        <f t="shared" si="1"/>
        <v>Output BAL-NPE Level from 3rd party Tanks &amp; Drafts.</v>
      </c>
    </row>
    <row r="58" spans="1:8" x14ac:dyDescent="0.25">
      <c r="A58" s="3" t="s">
        <v>6983</v>
      </c>
      <c r="B58" s="3" t="s">
        <v>6990</v>
      </c>
      <c r="C58" s="3" t="s">
        <v>6985</v>
      </c>
      <c r="D58" s="3" t="s">
        <v>6300</v>
      </c>
      <c r="E58" s="3">
        <v>57</v>
      </c>
      <c r="F58" s="3" t="s">
        <v>6021</v>
      </c>
      <c r="G58" s="3" t="s">
        <v>1093</v>
      </c>
      <c r="H58" s="3" t="str">
        <f t="shared" si="1"/>
        <v>Output BAL-SE0-BN Level from 3rd party Tanks &amp; Drafts.</v>
      </c>
    </row>
    <row r="59" spans="1:8" x14ac:dyDescent="0.25">
      <c r="A59" s="3" t="s">
        <v>6983</v>
      </c>
      <c r="B59" s="3" t="s">
        <v>6990</v>
      </c>
      <c r="C59" s="3" t="s">
        <v>6985</v>
      </c>
      <c r="D59" s="3" t="s">
        <v>6300</v>
      </c>
      <c r="E59" s="3">
        <v>58</v>
      </c>
      <c r="F59" s="3" t="s">
        <v>2191</v>
      </c>
      <c r="G59" s="3" t="s">
        <v>1093</v>
      </c>
      <c r="H59" s="3" t="str">
        <f t="shared" si="1"/>
        <v>Output BAL-SE0-BS Level from 3rd party Tanks &amp; Drafts.</v>
      </c>
    </row>
    <row r="60" spans="1:8" x14ac:dyDescent="0.25">
      <c r="A60" s="3" t="s">
        <v>6983</v>
      </c>
      <c r="B60" s="3" t="s">
        <v>6990</v>
      </c>
      <c r="C60" s="3" t="s">
        <v>6985</v>
      </c>
      <c r="D60" s="3" t="s">
        <v>6300</v>
      </c>
      <c r="E60" s="3">
        <v>59</v>
      </c>
      <c r="F60" s="3" t="s">
        <v>6022</v>
      </c>
      <c r="G60" s="3" t="s">
        <v>1093</v>
      </c>
      <c r="H60" s="3" t="str">
        <f t="shared" si="1"/>
        <v>Output BAL-SE1-TE Level from 3rd party Tanks &amp; Drafts.</v>
      </c>
    </row>
    <row r="61" spans="1:8" x14ac:dyDescent="0.25">
      <c r="A61" s="3" t="s">
        <v>6983</v>
      </c>
      <c r="B61" s="3" t="s">
        <v>6990</v>
      </c>
      <c r="C61" s="3" t="s">
        <v>6985</v>
      </c>
      <c r="D61" s="3" t="s">
        <v>6300</v>
      </c>
      <c r="E61" s="3">
        <v>60</v>
      </c>
      <c r="F61" s="3" t="s">
        <v>6023</v>
      </c>
      <c r="G61" s="3" t="s">
        <v>1093</v>
      </c>
      <c r="H61" s="3" t="str">
        <f t="shared" si="1"/>
        <v>Output BAL-SE1-TN Level from 3rd party Tanks &amp; Drafts.</v>
      </c>
    </row>
    <row r="62" spans="1:8" x14ac:dyDescent="0.25">
      <c r="A62" s="3" t="s">
        <v>6983</v>
      </c>
      <c r="B62" s="3" t="s">
        <v>6990</v>
      </c>
      <c r="C62" s="3" t="s">
        <v>6985</v>
      </c>
      <c r="D62" s="3" t="s">
        <v>6300</v>
      </c>
      <c r="E62" s="3">
        <v>61</v>
      </c>
      <c r="F62" s="3" t="s">
        <v>6024</v>
      </c>
      <c r="G62" s="3" t="s">
        <v>1093</v>
      </c>
      <c r="H62" s="3" t="str">
        <f t="shared" si="1"/>
        <v>Output BAL-SE1-TS Level from 3rd party Tanks &amp; Drafts.</v>
      </c>
    </row>
    <row r="63" spans="1:8" x14ac:dyDescent="0.25">
      <c r="A63" s="3" t="s">
        <v>6983</v>
      </c>
      <c r="B63" s="3" t="s">
        <v>6990</v>
      </c>
      <c r="C63" s="3" t="s">
        <v>6985</v>
      </c>
      <c r="D63" s="3" t="s">
        <v>6300</v>
      </c>
      <c r="E63" s="3">
        <v>62</v>
      </c>
      <c r="F63" s="3" t="s">
        <v>6025</v>
      </c>
      <c r="G63" s="3" t="s">
        <v>1093</v>
      </c>
      <c r="H63" s="3" t="str">
        <f t="shared" si="1"/>
        <v>Output BAL-SE1-TW Level from 3rd party Tanks &amp; Drafts.</v>
      </c>
    </row>
    <row r="64" spans="1:8" x14ac:dyDescent="0.25">
      <c r="A64" s="3" t="s">
        <v>6983</v>
      </c>
      <c r="B64" s="3" t="s">
        <v>6990</v>
      </c>
      <c r="C64" s="3" t="s">
        <v>6985</v>
      </c>
      <c r="D64" s="3" t="s">
        <v>6300</v>
      </c>
      <c r="E64" s="3">
        <v>63</v>
      </c>
      <c r="F64" s="3" t="s">
        <v>2187</v>
      </c>
      <c r="G64" s="3" t="s">
        <v>1093</v>
      </c>
      <c r="H64" s="3" t="str">
        <f t="shared" si="1"/>
        <v>Output BAL-SPE Level from 3rd party Tanks &amp; Drafts.</v>
      </c>
    </row>
    <row r="65" spans="1:8" x14ac:dyDescent="0.25">
      <c r="A65" s="3" t="s">
        <v>6983</v>
      </c>
      <c r="B65" s="3" t="s">
        <v>6990</v>
      </c>
      <c r="C65" s="3" t="s">
        <v>6985</v>
      </c>
      <c r="D65" s="3" t="s">
        <v>6300</v>
      </c>
      <c r="E65" s="3">
        <v>64</v>
      </c>
      <c r="F65" s="3" t="s">
        <v>6026</v>
      </c>
      <c r="G65" s="3" t="s">
        <v>1093</v>
      </c>
      <c r="H65" s="3" t="str">
        <f t="shared" si="1"/>
        <v>Output SE Draft from 3rd party Tanks &amp; Drafts.</v>
      </c>
    </row>
    <row r="66" spans="1:8" x14ac:dyDescent="0.25">
      <c r="A66" s="3" t="s">
        <v>6983</v>
      </c>
      <c r="B66" s="3" t="s">
        <v>6990</v>
      </c>
      <c r="C66" s="3" t="s">
        <v>6985</v>
      </c>
      <c r="D66" s="3" t="s">
        <v>6301</v>
      </c>
      <c r="E66" s="3">
        <v>65</v>
      </c>
      <c r="F66" s="3" t="s">
        <v>6027</v>
      </c>
      <c r="G66" s="3" t="s">
        <v>2101</v>
      </c>
      <c r="H66" s="3" t="str">
        <f t="shared" si="1"/>
        <v>Output ABJ-SE4-51 Vol from 3rd party Tanks &amp; Drafts.</v>
      </c>
    </row>
    <row r="67" spans="1:8" x14ac:dyDescent="0.25">
      <c r="A67" s="3" t="s">
        <v>6983</v>
      </c>
      <c r="B67" s="3" t="s">
        <v>6990</v>
      </c>
      <c r="C67" s="3" t="s">
        <v>6985</v>
      </c>
      <c r="D67" s="3" t="s">
        <v>6301</v>
      </c>
      <c r="E67" s="3">
        <v>66</v>
      </c>
      <c r="F67" s="3" t="s">
        <v>6028</v>
      </c>
      <c r="G67" s="3" t="s">
        <v>2463</v>
      </c>
      <c r="H67" s="3" t="str">
        <f t="shared" si="1"/>
        <v>Output ABJ-SE4-61 Vol from 3rd party Tanks &amp; Drafts.</v>
      </c>
    </row>
    <row r="68" spans="1:8" x14ac:dyDescent="0.25">
      <c r="A68" s="3" t="s">
        <v>6983</v>
      </c>
      <c r="B68" s="3" t="s">
        <v>6990</v>
      </c>
      <c r="C68" s="3" t="s">
        <v>6985</v>
      </c>
      <c r="D68" s="3" t="s">
        <v>6301</v>
      </c>
      <c r="E68" s="3">
        <v>67</v>
      </c>
      <c r="F68" s="3" t="s">
        <v>6029</v>
      </c>
      <c r="G68" s="3" t="s">
        <v>1093</v>
      </c>
      <c r="H68" s="3" t="str">
        <f t="shared" si="1"/>
        <v>Output ABJ-SW4-01 Level from 3rd party Tanks &amp; Drafts.</v>
      </c>
    </row>
    <row r="69" spans="1:8" x14ac:dyDescent="0.25">
      <c r="A69" s="3" t="s">
        <v>6983</v>
      </c>
      <c r="B69" s="3" t="s">
        <v>6990</v>
      </c>
      <c r="C69" s="3" t="s">
        <v>6985</v>
      </c>
      <c r="D69" s="3" t="s">
        <v>6301</v>
      </c>
      <c r="E69" s="3">
        <v>68</v>
      </c>
      <c r="F69" s="3" t="s">
        <v>6030</v>
      </c>
      <c r="G69" s="3" t="s">
        <v>1093</v>
      </c>
      <c r="H69" s="3" t="str">
        <f t="shared" si="1"/>
        <v>Output ABJ-SW4-02 Level from 3rd party Tanks &amp; Drafts.</v>
      </c>
    </row>
    <row r="70" spans="1:8" x14ac:dyDescent="0.25">
      <c r="A70" s="3" t="s">
        <v>6983</v>
      </c>
      <c r="B70" s="3" t="s">
        <v>6990</v>
      </c>
      <c r="C70" s="3" t="s">
        <v>6985</v>
      </c>
      <c r="D70" s="3" t="s">
        <v>6301</v>
      </c>
      <c r="E70" s="3">
        <v>69</v>
      </c>
      <c r="F70" s="3" t="s">
        <v>6031</v>
      </c>
      <c r="G70" s="3" t="s">
        <v>1093</v>
      </c>
      <c r="H70" s="3" t="str">
        <f t="shared" si="1"/>
        <v>Output ABJ-SW4-03 Level from 3rd party Tanks &amp; Drafts.</v>
      </c>
    </row>
    <row r="71" spans="1:8" x14ac:dyDescent="0.25">
      <c r="A71" s="3" t="s">
        <v>6983</v>
      </c>
      <c r="B71" s="3" t="s">
        <v>6990</v>
      </c>
      <c r="C71" s="3" t="s">
        <v>6985</v>
      </c>
      <c r="D71" s="3" t="s">
        <v>6301</v>
      </c>
      <c r="E71" s="3">
        <v>70</v>
      </c>
      <c r="F71" s="3" t="s">
        <v>2197</v>
      </c>
      <c r="G71" s="3" t="s">
        <v>1093</v>
      </c>
      <c r="H71" s="3" t="str">
        <f t="shared" si="1"/>
        <v>Output BAL-NPW Level from 3rd party Tanks &amp; Drafts.</v>
      </c>
    </row>
    <row r="72" spans="1:8" x14ac:dyDescent="0.25">
      <c r="A72" s="3" t="s">
        <v>6983</v>
      </c>
      <c r="B72" s="3" t="s">
        <v>6990</v>
      </c>
      <c r="C72" s="3" t="s">
        <v>6985</v>
      </c>
      <c r="D72" s="3" t="s">
        <v>6301</v>
      </c>
      <c r="E72" s="3">
        <v>71</v>
      </c>
      <c r="F72" s="3" t="s">
        <v>2201</v>
      </c>
      <c r="G72" s="3" t="s">
        <v>1093</v>
      </c>
      <c r="H72" s="3" t="str">
        <f t="shared" si="1"/>
        <v>Output BAL-NW0-BN Level from 3rd party Tanks &amp; Drafts.</v>
      </c>
    </row>
    <row r="73" spans="1:8" x14ac:dyDescent="0.25">
      <c r="A73" s="3" t="s">
        <v>6983</v>
      </c>
      <c r="B73" s="3" t="s">
        <v>6990</v>
      </c>
      <c r="C73" s="3" t="s">
        <v>6985</v>
      </c>
      <c r="D73" s="3" t="s">
        <v>6301</v>
      </c>
      <c r="E73" s="3">
        <v>72</v>
      </c>
      <c r="F73" s="3" t="s">
        <v>6032</v>
      </c>
      <c r="G73" s="3" t="s">
        <v>1093</v>
      </c>
      <c r="H73" s="3" t="str">
        <f t="shared" si="1"/>
        <v>Output BAL-NW0-BS Level from 3rd party Tanks &amp; Drafts.</v>
      </c>
    </row>
    <row r="74" spans="1:8" x14ac:dyDescent="0.25">
      <c r="A74" s="3" t="s">
        <v>6983</v>
      </c>
      <c r="B74" s="3" t="s">
        <v>6990</v>
      </c>
      <c r="C74" s="3" t="s">
        <v>6985</v>
      </c>
      <c r="D74" s="3" t="s">
        <v>6301</v>
      </c>
      <c r="E74" s="3">
        <v>73</v>
      </c>
      <c r="F74" s="3" t="s">
        <v>6033</v>
      </c>
      <c r="G74" s="3" t="s">
        <v>1093</v>
      </c>
      <c r="H74" s="3" t="str">
        <f t="shared" si="1"/>
        <v>Output BAL-NW1-TE Level from 3rd party Tanks &amp; Drafts.</v>
      </c>
    </row>
    <row r="75" spans="1:8" x14ac:dyDescent="0.25">
      <c r="A75" s="3" t="s">
        <v>6983</v>
      </c>
      <c r="B75" s="3" t="s">
        <v>6990</v>
      </c>
      <c r="C75" s="3" t="s">
        <v>6985</v>
      </c>
      <c r="D75" s="3" t="s">
        <v>6301</v>
      </c>
      <c r="E75" s="3">
        <v>74</v>
      </c>
      <c r="F75" s="3" t="s">
        <v>6034</v>
      </c>
      <c r="G75" s="3" t="s">
        <v>1093</v>
      </c>
      <c r="H75" s="3" t="str">
        <f t="shared" si="1"/>
        <v>Output BAL-NW1-TN Level from 3rd party Tanks &amp; Drafts.</v>
      </c>
    </row>
    <row r="76" spans="1:8" x14ac:dyDescent="0.25">
      <c r="A76" s="3" t="s">
        <v>6983</v>
      </c>
      <c r="B76" s="3" t="s">
        <v>6990</v>
      </c>
      <c r="C76" s="3" t="s">
        <v>6985</v>
      </c>
      <c r="D76" s="3" t="s">
        <v>6301</v>
      </c>
      <c r="E76" s="3">
        <v>75</v>
      </c>
      <c r="F76" s="3" t="s">
        <v>6035</v>
      </c>
      <c r="G76" s="3" t="s">
        <v>1093</v>
      </c>
      <c r="H76" s="3" t="str">
        <f t="shared" si="1"/>
        <v>Output BAL-NW1-TS Level from 3rd party Tanks &amp; Drafts.</v>
      </c>
    </row>
    <row r="77" spans="1:8" x14ac:dyDescent="0.25">
      <c r="A77" s="3" t="s">
        <v>6983</v>
      </c>
      <c r="B77" s="3" t="s">
        <v>6990</v>
      </c>
      <c r="C77" s="3" t="s">
        <v>6985</v>
      </c>
      <c r="D77" s="3" t="s">
        <v>6301</v>
      </c>
      <c r="E77" s="3">
        <v>76</v>
      </c>
      <c r="F77" s="3" t="s">
        <v>6036</v>
      </c>
      <c r="G77" s="3" t="s">
        <v>1093</v>
      </c>
      <c r="H77" s="3" t="str">
        <f t="shared" si="1"/>
        <v>Output BAL-NW1-TW Level from 3rd party Tanks &amp; Drafts.</v>
      </c>
    </row>
    <row r="78" spans="1:8" x14ac:dyDescent="0.25">
      <c r="A78" s="3" t="s">
        <v>6983</v>
      </c>
      <c r="B78" s="3" t="s">
        <v>6990</v>
      </c>
      <c r="C78" s="3" t="s">
        <v>6985</v>
      </c>
      <c r="D78" s="3" t="s">
        <v>6301</v>
      </c>
      <c r="E78" s="3">
        <v>77</v>
      </c>
      <c r="F78" s="3" t="s">
        <v>2200</v>
      </c>
      <c r="G78" s="3" t="s">
        <v>1093</v>
      </c>
      <c r="H78" s="3" t="str">
        <f t="shared" si="1"/>
        <v>Output BAL-SPW Level from 3rd party Tanks &amp; Drafts.</v>
      </c>
    </row>
    <row r="79" spans="1:8" x14ac:dyDescent="0.25">
      <c r="A79" s="3" t="s">
        <v>6983</v>
      </c>
      <c r="B79" s="3" t="s">
        <v>6990</v>
      </c>
      <c r="C79" s="3" t="s">
        <v>6985</v>
      </c>
      <c r="D79" s="3" t="s">
        <v>6301</v>
      </c>
      <c r="E79" s="3">
        <v>78</v>
      </c>
      <c r="F79" s="3" t="s">
        <v>6037</v>
      </c>
      <c r="G79" s="3" t="s">
        <v>1093</v>
      </c>
      <c r="H79" s="3" t="str">
        <f t="shared" si="1"/>
        <v>Output BAL-SW0-BN Level from 3rd party Tanks &amp; Drafts.</v>
      </c>
    </row>
    <row r="80" spans="1:8" x14ac:dyDescent="0.25">
      <c r="A80" s="3" t="s">
        <v>6983</v>
      </c>
      <c r="B80" s="3" t="s">
        <v>6990</v>
      </c>
      <c r="C80" s="3" t="s">
        <v>6985</v>
      </c>
      <c r="D80" s="3" t="s">
        <v>6301</v>
      </c>
      <c r="E80" s="3">
        <v>79</v>
      </c>
      <c r="F80" s="3" t="s">
        <v>2203</v>
      </c>
      <c r="G80" s="3" t="s">
        <v>1093</v>
      </c>
      <c r="H80" s="3" t="str">
        <f t="shared" si="1"/>
        <v>Output BAL-SW0-BS Level from 3rd party Tanks &amp; Drafts.</v>
      </c>
    </row>
    <row r="81" spans="1:8" x14ac:dyDescent="0.25">
      <c r="A81" s="3" t="s">
        <v>6983</v>
      </c>
      <c r="B81" s="3" t="s">
        <v>6990</v>
      </c>
      <c r="C81" s="3" t="s">
        <v>6985</v>
      </c>
      <c r="D81" s="3" t="s">
        <v>6301</v>
      </c>
      <c r="E81" s="3">
        <v>80</v>
      </c>
      <c r="F81" s="3" t="s">
        <v>6038</v>
      </c>
      <c r="G81" s="3" t="s">
        <v>1093</v>
      </c>
      <c r="H81" s="3" t="str">
        <f t="shared" si="1"/>
        <v>Output BAL-SW1-TE Level from 3rd party Tanks &amp; Drafts.</v>
      </c>
    </row>
    <row r="82" spans="1:8" x14ac:dyDescent="0.25">
      <c r="A82" s="3" t="s">
        <v>6983</v>
      </c>
      <c r="B82" s="3" t="s">
        <v>6990</v>
      </c>
      <c r="C82" s="3" t="s">
        <v>6985</v>
      </c>
      <c r="D82" s="3" t="s">
        <v>6301</v>
      </c>
      <c r="E82" s="3">
        <v>81</v>
      </c>
      <c r="F82" s="3" t="s">
        <v>6039</v>
      </c>
      <c r="G82" s="3" t="s">
        <v>1093</v>
      </c>
      <c r="H82" s="3" t="str">
        <f t="shared" si="1"/>
        <v>Output BAL-SW1-TN Level from 3rd party Tanks &amp; Drafts.</v>
      </c>
    </row>
    <row r="83" spans="1:8" x14ac:dyDescent="0.25">
      <c r="A83" s="3" t="s">
        <v>6983</v>
      </c>
      <c r="B83" s="3" t="s">
        <v>6990</v>
      </c>
      <c r="C83" s="3" t="s">
        <v>6985</v>
      </c>
      <c r="D83" s="3" t="s">
        <v>6301</v>
      </c>
      <c r="E83" s="3">
        <v>82</v>
      </c>
      <c r="F83" s="3" t="s">
        <v>6040</v>
      </c>
      <c r="G83" s="3" t="s">
        <v>1093</v>
      </c>
      <c r="H83" s="3" t="str">
        <f t="shared" si="1"/>
        <v>Output BAL-SW1-TS Level from 3rd party Tanks &amp; Drafts.</v>
      </c>
    </row>
    <row r="84" spans="1:8" x14ac:dyDescent="0.25">
      <c r="A84" s="3" t="s">
        <v>6983</v>
      </c>
      <c r="B84" s="3" t="s">
        <v>6990</v>
      </c>
      <c r="C84" s="3" t="s">
        <v>6985</v>
      </c>
      <c r="D84" s="3" t="s">
        <v>6301</v>
      </c>
      <c r="E84" s="3">
        <v>83</v>
      </c>
      <c r="F84" s="3" t="s">
        <v>6041</v>
      </c>
      <c r="G84" s="3" t="s">
        <v>1093</v>
      </c>
      <c r="H84" s="3" t="str">
        <f t="shared" si="1"/>
        <v>Output BAL-SW1-TW Level from 3rd party Tanks &amp; Drafts.</v>
      </c>
    </row>
    <row r="85" spans="1:8" x14ac:dyDescent="0.25">
      <c r="A85" s="3" t="s">
        <v>6983</v>
      </c>
      <c r="B85" s="3" t="s">
        <v>6990</v>
      </c>
      <c r="C85" s="3" t="s">
        <v>6985</v>
      </c>
      <c r="D85" s="3" t="s">
        <v>6301</v>
      </c>
      <c r="E85" s="3">
        <v>84</v>
      </c>
      <c r="F85" s="3" t="s">
        <v>2198</v>
      </c>
      <c r="G85" s="3" t="s">
        <v>1093</v>
      </c>
      <c r="H85" s="3" t="str">
        <f t="shared" si="1"/>
        <v>Output BAL-WPN Level from 3rd party Tanks &amp; Drafts.</v>
      </c>
    </row>
    <row r="86" spans="1:8" x14ac:dyDescent="0.25">
      <c r="A86" s="3" t="s">
        <v>6983</v>
      </c>
      <c r="B86" s="3" t="s">
        <v>6990</v>
      </c>
      <c r="C86" s="3" t="s">
        <v>6985</v>
      </c>
      <c r="D86" s="3" t="s">
        <v>6301</v>
      </c>
      <c r="E86" s="3">
        <v>85</v>
      </c>
      <c r="F86" s="3" t="s">
        <v>2199</v>
      </c>
      <c r="G86" s="3" t="s">
        <v>1093</v>
      </c>
      <c r="H86" s="3" t="str">
        <f t="shared" si="1"/>
        <v>Output BAL-WPS Level from 3rd party Tanks &amp; Drafts.</v>
      </c>
    </row>
    <row r="87" spans="1:8" x14ac:dyDescent="0.25">
      <c r="A87" s="3" t="s">
        <v>6983</v>
      </c>
      <c r="B87" s="3" t="s">
        <v>6990</v>
      </c>
      <c r="C87" s="3" t="s">
        <v>6985</v>
      </c>
      <c r="D87" s="3" t="s">
        <v>6301</v>
      </c>
      <c r="E87" s="3">
        <v>86</v>
      </c>
      <c r="F87" s="3" t="s">
        <v>6042</v>
      </c>
      <c r="G87" s="3" t="s">
        <v>1093</v>
      </c>
      <c r="H87" s="3" t="str">
        <f t="shared" si="1"/>
        <v>Output SW Draft from 3rd party Tanks &amp; Drafts.</v>
      </c>
    </row>
    <row r="88" spans="1:8" x14ac:dyDescent="0.25">
      <c r="A88" s="3" t="s">
        <v>6983</v>
      </c>
      <c r="B88" s="3" t="s">
        <v>6990</v>
      </c>
      <c r="C88" s="3" t="s">
        <v>6985</v>
      </c>
      <c r="D88" s="3" t="s">
        <v>6301</v>
      </c>
      <c r="E88" s="3">
        <v>87</v>
      </c>
      <c r="F88" s="3" t="s">
        <v>6043</v>
      </c>
      <c r="G88" s="3" t="s">
        <v>2463</v>
      </c>
      <c r="H88" s="3" t="str">
        <f t="shared" si="1"/>
        <v>Output ABJ-SW4-01 Vol from 3rd party Tanks &amp; Drafts.</v>
      </c>
    </row>
    <row r="89" spans="1:8" x14ac:dyDescent="0.25">
      <c r="A89" s="3" t="s">
        <v>6983</v>
      </c>
      <c r="B89" s="3" t="s">
        <v>6990</v>
      </c>
      <c r="C89" s="3" t="s">
        <v>6985</v>
      </c>
      <c r="D89" s="3" t="s">
        <v>6301</v>
      </c>
      <c r="E89" s="3">
        <v>88</v>
      </c>
      <c r="F89" s="3" t="s">
        <v>6044</v>
      </c>
      <c r="G89" s="3" t="s">
        <v>2463</v>
      </c>
      <c r="H89" s="3" t="str">
        <f t="shared" si="1"/>
        <v>Output ABJ-SW4-02 Vol from 3rd party Tanks &amp; Drafts.</v>
      </c>
    </row>
    <row r="90" spans="1:8" x14ac:dyDescent="0.25">
      <c r="A90" s="3" t="s">
        <v>6983</v>
      </c>
      <c r="B90" s="3" t="s">
        <v>6990</v>
      </c>
      <c r="C90" s="3" t="s">
        <v>6985</v>
      </c>
      <c r="D90" s="3" t="s">
        <v>6301</v>
      </c>
      <c r="E90" s="3">
        <v>89</v>
      </c>
      <c r="F90" s="3" t="s">
        <v>6045</v>
      </c>
      <c r="G90" s="3" t="s">
        <v>2463</v>
      </c>
      <c r="H90" s="3" t="str">
        <f t="shared" si="1"/>
        <v>Output ABJ-SW4-03 Vol from 3rd party Tanks &amp; Drafts.</v>
      </c>
    </row>
    <row r="91" spans="1:8" x14ac:dyDescent="0.25">
      <c r="A91" s="3" t="s">
        <v>6983</v>
      </c>
      <c r="B91" s="3" t="s">
        <v>6990</v>
      </c>
      <c r="C91" s="3" t="s">
        <v>6985</v>
      </c>
      <c r="D91" s="3" t="s">
        <v>1120</v>
      </c>
      <c r="E91" s="3">
        <v>90</v>
      </c>
      <c r="F91" s="4" t="s">
        <v>1663</v>
      </c>
      <c r="G91" s="4" t="s">
        <v>1093</v>
      </c>
      <c r="H91" s="3" t="str">
        <f>_xlfn.CONCAT("Calculated ", _xlfn.TEXTAFTER(F91,"Apparent "), ", from 3rd party Herbert-ABS LMP system.")</f>
        <v>Calculated Draft, from 3rd party Herbert-ABS LMP system.</v>
      </c>
    </row>
    <row r="92" spans="1:8" x14ac:dyDescent="0.25">
      <c r="A92" s="3" t="s">
        <v>6983</v>
      </c>
      <c r="B92" s="3" t="s">
        <v>6990</v>
      </c>
      <c r="C92" s="3" t="s">
        <v>6985</v>
      </c>
      <c r="D92" s="3" t="s">
        <v>1120</v>
      </c>
      <c r="E92" s="3">
        <v>91</v>
      </c>
      <c r="F92" s="3" t="s">
        <v>6046</v>
      </c>
      <c r="G92" s="3" t="s">
        <v>1100</v>
      </c>
      <c r="H92" s="3" t="str">
        <f>_xlfn.CONCAT("Calculated ", _xlfn.TEXTAFTER(F92,"Apparent "), ", from 3rd party Herbert-ABS LMP system.")</f>
        <v>Calculated Tendon Tension 1, from 3rd party Herbert-ABS LMP system.</v>
      </c>
    </row>
    <row r="93" spans="1:8" x14ac:dyDescent="0.25">
      <c r="A93" s="3" t="s">
        <v>6983</v>
      </c>
      <c r="B93" s="3" t="s">
        <v>6990</v>
      </c>
      <c r="C93" s="3" t="s">
        <v>6985</v>
      </c>
      <c r="D93" s="3" t="s">
        <v>1120</v>
      </c>
      <c r="E93" s="3">
        <v>92</v>
      </c>
      <c r="F93" s="3" t="s">
        <v>6047</v>
      </c>
      <c r="G93" s="3" t="s">
        <v>1100</v>
      </c>
      <c r="H93" s="3" t="str">
        <f t="shared" ref="H93:H109" si="2">_xlfn.CONCAT("Calculated ", _xlfn.TEXTAFTER(F93,"Apparent "), ", from 3rd party Herbert-ABS LMP system.")</f>
        <v>Calculated Tendon Tension 10, from 3rd party Herbert-ABS LMP system.</v>
      </c>
    </row>
    <row r="94" spans="1:8" x14ac:dyDescent="0.25">
      <c r="A94" s="3" t="s">
        <v>6983</v>
      </c>
      <c r="B94" s="3" t="s">
        <v>6990</v>
      </c>
      <c r="C94" s="3" t="s">
        <v>6985</v>
      </c>
      <c r="D94" s="3" t="s">
        <v>1120</v>
      </c>
      <c r="E94" s="3">
        <v>93</v>
      </c>
      <c r="F94" s="3" t="s">
        <v>6048</v>
      </c>
      <c r="G94" s="3" t="s">
        <v>1100</v>
      </c>
      <c r="H94" s="3" t="str">
        <f t="shared" si="2"/>
        <v>Calculated Tendon Tension 11, from 3rd party Herbert-ABS LMP system.</v>
      </c>
    </row>
    <row r="95" spans="1:8" x14ac:dyDescent="0.25">
      <c r="A95" s="3" t="s">
        <v>6983</v>
      </c>
      <c r="B95" s="3" t="s">
        <v>6990</v>
      </c>
      <c r="C95" s="3" t="s">
        <v>6985</v>
      </c>
      <c r="D95" s="3" t="s">
        <v>1120</v>
      </c>
      <c r="E95" s="3">
        <v>94</v>
      </c>
      <c r="F95" s="3" t="s">
        <v>6049</v>
      </c>
      <c r="G95" s="3" t="s">
        <v>1100</v>
      </c>
      <c r="H95" s="3" t="str">
        <f t="shared" si="2"/>
        <v>Calculated Tendon Tension 12, from 3rd party Herbert-ABS LMP system.</v>
      </c>
    </row>
    <row r="96" spans="1:8" x14ac:dyDescent="0.25">
      <c r="A96" s="3" t="s">
        <v>6983</v>
      </c>
      <c r="B96" s="3" t="s">
        <v>6990</v>
      </c>
      <c r="C96" s="3" t="s">
        <v>6985</v>
      </c>
      <c r="D96" s="3" t="s">
        <v>1120</v>
      </c>
      <c r="E96" s="3">
        <v>95</v>
      </c>
      <c r="F96" s="3" t="s">
        <v>6050</v>
      </c>
      <c r="G96" s="3" t="s">
        <v>1100</v>
      </c>
      <c r="H96" s="3" t="str">
        <f t="shared" si="2"/>
        <v>Calculated Tendon Tension 13, from 3rd party Herbert-ABS LMP system.</v>
      </c>
    </row>
    <row r="97" spans="1:8" x14ac:dyDescent="0.25">
      <c r="A97" s="3" t="s">
        <v>6983</v>
      </c>
      <c r="B97" s="3" t="s">
        <v>6990</v>
      </c>
      <c r="C97" s="3" t="s">
        <v>6985</v>
      </c>
      <c r="D97" s="3" t="s">
        <v>1120</v>
      </c>
      <c r="E97" s="3">
        <v>96</v>
      </c>
      <c r="F97" s="3" t="s">
        <v>6051</v>
      </c>
      <c r="G97" s="3" t="s">
        <v>1100</v>
      </c>
      <c r="H97" s="3" t="str">
        <f t="shared" si="2"/>
        <v>Calculated Tendon Tension 14, from 3rd party Herbert-ABS LMP system.</v>
      </c>
    </row>
    <row r="98" spans="1:8" x14ac:dyDescent="0.25">
      <c r="A98" s="3" t="s">
        <v>6983</v>
      </c>
      <c r="B98" s="3" t="s">
        <v>6990</v>
      </c>
      <c r="C98" s="3" t="s">
        <v>6985</v>
      </c>
      <c r="D98" s="3" t="s">
        <v>1120</v>
      </c>
      <c r="E98" s="3">
        <v>97</v>
      </c>
      <c r="F98" s="3" t="s">
        <v>6052</v>
      </c>
      <c r="G98" s="3" t="s">
        <v>1100</v>
      </c>
      <c r="H98" s="3" t="str">
        <f t="shared" si="2"/>
        <v>Calculated Tendon Tension 15, from 3rd party Herbert-ABS LMP system.</v>
      </c>
    </row>
    <row r="99" spans="1:8" x14ac:dyDescent="0.25">
      <c r="A99" s="3" t="s">
        <v>6983</v>
      </c>
      <c r="B99" s="3" t="s">
        <v>6990</v>
      </c>
      <c r="C99" s="3" t="s">
        <v>6985</v>
      </c>
      <c r="D99" s="3" t="s">
        <v>1120</v>
      </c>
      <c r="E99" s="3">
        <v>98</v>
      </c>
      <c r="F99" s="3" t="s">
        <v>6053</v>
      </c>
      <c r="G99" s="3" t="s">
        <v>1100</v>
      </c>
      <c r="H99" s="3" t="str">
        <f t="shared" si="2"/>
        <v>Calculated Tendon Tension 16, from 3rd party Herbert-ABS LMP system.</v>
      </c>
    </row>
    <row r="100" spans="1:8" x14ac:dyDescent="0.25">
      <c r="A100" s="3" t="s">
        <v>6983</v>
      </c>
      <c r="B100" s="3" t="s">
        <v>6990</v>
      </c>
      <c r="C100" s="3" t="s">
        <v>6985</v>
      </c>
      <c r="D100" s="3" t="s">
        <v>1120</v>
      </c>
      <c r="E100" s="3">
        <v>99</v>
      </c>
      <c r="F100" s="3" t="s">
        <v>6054</v>
      </c>
      <c r="G100" s="3" t="s">
        <v>1100</v>
      </c>
      <c r="H100" s="3" t="str">
        <f t="shared" si="2"/>
        <v>Calculated Tendon Tension 2, from 3rd party Herbert-ABS LMP system.</v>
      </c>
    </row>
    <row r="101" spans="1:8" x14ac:dyDescent="0.25">
      <c r="A101" s="3" t="s">
        <v>6983</v>
      </c>
      <c r="B101" s="3" t="s">
        <v>6990</v>
      </c>
      <c r="C101" s="3" t="s">
        <v>6985</v>
      </c>
      <c r="D101" s="3" t="s">
        <v>1120</v>
      </c>
      <c r="E101" s="3">
        <v>100</v>
      </c>
      <c r="F101" s="3" t="s">
        <v>6055</v>
      </c>
      <c r="G101" s="3" t="s">
        <v>1100</v>
      </c>
      <c r="H101" s="3" t="str">
        <f t="shared" si="2"/>
        <v>Calculated Tendon Tension 3, from 3rd party Herbert-ABS LMP system.</v>
      </c>
    </row>
    <row r="102" spans="1:8" x14ac:dyDescent="0.25">
      <c r="A102" s="3" t="s">
        <v>6983</v>
      </c>
      <c r="B102" s="3" t="s">
        <v>6990</v>
      </c>
      <c r="C102" s="3" t="s">
        <v>6985</v>
      </c>
      <c r="D102" s="3" t="s">
        <v>1120</v>
      </c>
      <c r="E102" s="3">
        <v>101</v>
      </c>
      <c r="F102" s="3" t="s">
        <v>6056</v>
      </c>
      <c r="G102" s="3" t="s">
        <v>1100</v>
      </c>
      <c r="H102" s="3" t="str">
        <f t="shared" si="2"/>
        <v>Calculated Tendon Tension 4, from 3rd party Herbert-ABS LMP system.</v>
      </c>
    </row>
    <row r="103" spans="1:8" x14ac:dyDescent="0.25">
      <c r="A103" s="3" t="s">
        <v>6983</v>
      </c>
      <c r="B103" s="3" t="s">
        <v>6990</v>
      </c>
      <c r="C103" s="3" t="s">
        <v>6985</v>
      </c>
      <c r="D103" s="3" t="s">
        <v>1120</v>
      </c>
      <c r="E103" s="3">
        <v>102</v>
      </c>
      <c r="F103" s="3" t="s">
        <v>6057</v>
      </c>
      <c r="G103" s="3" t="s">
        <v>1100</v>
      </c>
      <c r="H103" s="3" t="str">
        <f t="shared" si="2"/>
        <v>Calculated Tendon Tension 5, from 3rd party Herbert-ABS LMP system.</v>
      </c>
    </row>
    <row r="104" spans="1:8" x14ac:dyDescent="0.25">
      <c r="A104" s="3" t="s">
        <v>6983</v>
      </c>
      <c r="B104" s="3" t="s">
        <v>6990</v>
      </c>
      <c r="C104" s="3" t="s">
        <v>6985</v>
      </c>
      <c r="D104" s="3" t="s">
        <v>1120</v>
      </c>
      <c r="E104" s="3">
        <v>103</v>
      </c>
      <c r="F104" s="3" t="s">
        <v>6058</v>
      </c>
      <c r="G104" s="3" t="s">
        <v>1100</v>
      </c>
      <c r="H104" s="3" t="str">
        <f t="shared" si="2"/>
        <v>Calculated Tendon Tension 6, from 3rd party Herbert-ABS LMP system.</v>
      </c>
    </row>
    <row r="105" spans="1:8" x14ac:dyDescent="0.25">
      <c r="A105" s="3" t="s">
        <v>6983</v>
      </c>
      <c r="B105" s="3" t="s">
        <v>6990</v>
      </c>
      <c r="C105" s="3" t="s">
        <v>6985</v>
      </c>
      <c r="D105" s="3" t="s">
        <v>1120</v>
      </c>
      <c r="E105" s="3">
        <v>104</v>
      </c>
      <c r="F105" s="3" t="s">
        <v>6059</v>
      </c>
      <c r="G105" s="3" t="s">
        <v>1100</v>
      </c>
      <c r="H105" s="3" t="str">
        <f t="shared" si="2"/>
        <v>Calculated Tendon Tension 7, from 3rd party Herbert-ABS LMP system.</v>
      </c>
    </row>
    <row r="106" spans="1:8" x14ac:dyDescent="0.25">
      <c r="A106" s="3" t="s">
        <v>6983</v>
      </c>
      <c r="B106" s="3" t="s">
        <v>6990</v>
      </c>
      <c r="C106" s="3" t="s">
        <v>6985</v>
      </c>
      <c r="D106" s="3" t="s">
        <v>1120</v>
      </c>
      <c r="E106" s="3">
        <v>105</v>
      </c>
      <c r="F106" s="3" t="s">
        <v>6060</v>
      </c>
      <c r="G106" s="3" t="s">
        <v>1100</v>
      </c>
      <c r="H106" s="3" t="str">
        <f t="shared" si="2"/>
        <v>Calculated Tendon Tension 8, from 3rd party Herbert-ABS LMP system.</v>
      </c>
    </row>
    <row r="107" spans="1:8" x14ac:dyDescent="0.25">
      <c r="A107" s="3" t="s">
        <v>6983</v>
      </c>
      <c r="B107" s="3" t="s">
        <v>6990</v>
      </c>
      <c r="C107" s="3" t="s">
        <v>6985</v>
      </c>
      <c r="D107" s="3" t="s">
        <v>1120</v>
      </c>
      <c r="E107" s="3">
        <v>106</v>
      </c>
      <c r="F107" s="3" t="s">
        <v>6061</v>
      </c>
      <c r="G107" s="3" t="s">
        <v>1100</v>
      </c>
      <c r="H107" s="3" t="str">
        <f t="shared" si="2"/>
        <v>Calculated Tendon Tension 9, from 3rd party Herbert-ABS LMP system.</v>
      </c>
    </row>
    <row r="108" spans="1:8" x14ac:dyDescent="0.25">
      <c r="A108" s="3" t="s">
        <v>6983</v>
      </c>
      <c r="B108" s="3" t="s">
        <v>6990</v>
      </c>
      <c r="C108" s="3" t="s">
        <v>6985</v>
      </c>
      <c r="D108" s="3" t="s">
        <v>1120</v>
      </c>
      <c r="E108" s="3">
        <v>107</v>
      </c>
      <c r="F108" s="3" t="s">
        <v>6062</v>
      </c>
      <c r="G108" s="3" t="s">
        <v>1093</v>
      </c>
      <c r="H108" s="3" t="str">
        <f t="shared" si="2"/>
        <v>Calculated TLP Inclination E, from 3rd party Herbert-ABS LMP system.</v>
      </c>
    </row>
    <row r="109" spans="1:8" x14ac:dyDescent="0.25">
      <c r="A109" s="3" t="s">
        <v>6983</v>
      </c>
      <c r="B109" s="3" t="s">
        <v>6990</v>
      </c>
      <c r="C109" s="3" t="s">
        <v>6985</v>
      </c>
      <c r="D109" s="3" t="s">
        <v>1120</v>
      </c>
      <c r="E109" s="3">
        <v>108</v>
      </c>
      <c r="F109" s="3" t="s">
        <v>6063</v>
      </c>
      <c r="G109" s="3" t="s">
        <v>1093</v>
      </c>
      <c r="H109" s="3" t="str">
        <f t="shared" si="2"/>
        <v>Calculated TLP Inclination N, from 3rd party Herbert-ABS LMP system.</v>
      </c>
    </row>
    <row r="110" spans="1:8" x14ac:dyDescent="0.25">
      <c r="A110" s="3" t="s">
        <v>6983</v>
      </c>
      <c r="B110" s="3" t="s">
        <v>6990</v>
      </c>
      <c r="C110" s="3" t="s">
        <v>6985</v>
      </c>
      <c r="D110" s="3" t="s">
        <v>1138</v>
      </c>
      <c r="E110" s="3">
        <v>109</v>
      </c>
      <c r="F110" s="3" t="s">
        <v>6064</v>
      </c>
      <c r="G110" s="3" t="s">
        <v>1101</v>
      </c>
      <c r="H110" s="4" t="str">
        <f>_xlfn.CONCAT("Output ",F110, " from 3rd party Herbert-ABS system.")</f>
        <v>Output Ballast Tanks Ttl FSl from 3rd party Herbert-ABS system.</v>
      </c>
    </row>
    <row r="111" spans="1:8" x14ac:dyDescent="0.25">
      <c r="A111" s="3" t="s">
        <v>6983</v>
      </c>
      <c r="B111" s="3" t="s">
        <v>6990</v>
      </c>
      <c r="C111" s="3" t="s">
        <v>6985</v>
      </c>
      <c r="D111" s="3" t="s">
        <v>1138</v>
      </c>
      <c r="E111" s="3">
        <v>110</v>
      </c>
      <c r="F111" s="3" t="s">
        <v>6065</v>
      </c>
      <c r="G111" s="3" t="s">
        <v>1093</v>
      </c>
      <c r="H111" s="4" t="str">
        <f t="shared" ref="H111:H174" si="3">_xlfn.CONCAT("Output ",F111, " from 3rd party Herbert-ABS system.")</f>
        <v>Output Ballast Tanks Ttl LCG from 3rd party Herbert-ABS system.</v>
      </c>
    </row>
    <row r="112" spans="1:8" x14ac:dyDescent="0.25">
      <c r="A112" s="3" t="s">
        <v>6983</v>
      </c>
      <c r="B112" s="3" t="s">
        <v>6990</v>
      </c>
      <c r="C112" s="3" t="s">
        <v>6985</v>
      </c>
      <c r="D112" s="3" t="s">
        <v>1138</v>
      </c>
      <c r="E112" s="3">
        <v>111</v>
      </c>
      <c r="F112" s="3" t="s">
        <v>6066</v>
      </c>
      <c r="G112" s="3" t="s">
        <v>1093</v>
      </c>
      <c r="H112" s="4" t="str">
        <f t="shared" si="3"/>
        <v>Output Ballast Tanks Ttl TCG from 3rd party Herbert-ABS system.</v>
      </c>
    </row>
    <row r="113" spans="1:8" x14ac:dyDescent="0.25">
      <c r="A113" s="3" t="s">
        <v>6983</v>
      </c>
      <c r="B113" s="3" t="s">
        <v>6990</v>
      </c>
      <c r="C113" s="3" t="s">
        <v>6985</v>
      </c>
      <c r="D113" s="3" t="s">
        <v>1138</v>
      </c>
      <c r="E113" s="3">
        <v>112</v>
      </c>
      <c r="F113" s="3" t="s">
        <v>6067</v>
      </c>
      <c r="G113" s="3" t="s">
        <v>1093</v>
      </c>
      <c r="H113" s="4" t="str">
        <f t="shared" si="3"/>
        <v>Output Ballast Tanks Ttl VCG from 3rd party Herbert-ABS system.</v>
      </c>
    </row>
    <row r="114" spans="1:8" x14ac:dyDescent="0.25">
      <c r="A114" s="3" t="s">
        <v>6983</v>
      </c>
      <c r="B114" s="3" t="s">
        <v>6990</v>
      </c>
      <c r="C114" s="3" t="s">
        <v>6985</v>
      </c>
      <c r="D114" s="3" t="s">
        <v>1138</v>
      </c>
      <c r="E114" s="3">
        <v>113</v>
      </c>
      <c r="F114" s="3" t="s">
        <v>6068</v>
      </c>
      <c r="G114" s="3" t="s">
        <v>1100</v>
      </c>
      <c r="H114" s="4" t="str">
        <f t="shared" si="3"/>
        <v>Output Ballast Tanks Ttl Wt Hi from 3rd party Herbert-ABS system.</v>
      </c>
    </row>
    <row r="115" spans="1:8" x14ac:dyDescent="0.25">
      <c r="A115" s="3" t="s">
        <v>6983</v>
      </c>
      <c r="B115" s="3" t="s">
        <v>6990</v>
      </c>
      <c r="C115" s="3" t="s">
        <v>6985</v>
      </c>
      <c r="D115" s="3" t="s">
        <v>1138</v>
      </c>
      <c r="E115" s="3">
        <v>114</v>
      </c>
      <c r="F115" s="3" t="s">
        <v>6069</v>
      </c>
      <c r="G115" s="3" t="s">
        <v>1100</v>
      </c>
      <c r="H115" s="4" t="str">
        <f t="shared" si="3"/>
        <v>Output Ballast Tanks Ttl Wt Lo from 3rd party Herbert-ABS system.</v>
      </c>
    </row>
    <row r="116" spans="1:8" x14ac:dyDescent="0.25">
      <c r="A116" s="3" t="s">
        <v>6983</v>
      </c>
      <c r="B116" s="3" t="s">
        <v>6990</v>
      </c>
      <c r="C116" s="3" t="s">
        <v>6985</v>
      </c>
      <c r="D116" s="3" t="s">
        <v>1138</v>
      </c>
      <c r="E116" s="3">
        <v>115</v>
      </c>
      <c r="F116" s="3" t="s">
        <v>6070</v>
      </c>
      <c r="G116" s="3" t="s">
        <v>1101</v>
      </c>
      <c r="H116" s="4" t="str">
        <f t="shared" si="3"/>
        <v>Output Ballast Tanks Ttl FSt from 3rd party Herbert-ABS system.</v>
      </c>
    </row>
    <row r="117" spans="1:8" x14ac:dyDescent="0.25">
      <c r="A117" s="3" t="s">
        <v>6983</v>
      </c>
      <c r="B117" s="3" t="s">
        <v>6990</v>
      </c>
      <c r="C117" s="3" t="s">
        <v>6985</v>
      </c>
      <c r="D117" s="3" t="s">
        <v>1138</v>
      </c>
      <c r="E117" s="3">
        <v>116</v>
      </c>
      <c r="F117" s="3" t="s">
        <v>6071</v>
      </c>
      <c r="G117" s="3" t="s">
        <v>1093</v>
      </c>
      <c r="H117" s="4" t="str">
        <f t="shared" si="3"/>
        <v>Output Bias Line Ttl LCG from 3rd party Herbert-ABS system.</v>
      </c>
    </row>
    <row r="118" spans="1:8" x14ac:dyDescent="0.25">
      <c r="A118" s="3" t="s">
        <v>6983</v>
      </c>
      <c r="B118" s="3" t="s">
        <v>6990</v>
      </c>
      <c r="C118" s="3" t="s">
        <v>6985</v>
      </c>
      <c r="D118" s="3" t="s">
        <v>1138</v>
      </c>
      <c r="E118" s="3">
        <v>117</v>
      </c>
      <c r="F118" s="3" t="s">
        <v>6072</v>
      </c>
      <c r="G118" s="3" t="s">
        <v>1093</v>
      </c>
      <c r="H118" s="4" t="str">
        <f t="shared" si="3"/>
        <v>Output Bias Line Ttl TCG from 3rd party Herbert-ABS system.</v>
      </c>
    </row>
    <row r="119" spans="1:8" x14ac:dyDescent="0.25">
      <c r="A119" s="3" t="s">
        <v>6983</v>
      </c>
      <c r="B119" s="3" t="s">
        <v>6990</v>
      </c>
      <c r="C119" s="3" t="s">
        <v>6985</v>
      </c>
      <c r="D119" s="3" t="s">
        <v>1138</v>
      </c>
      <c r="E119" s="3">
        <v>118</v>
      </c>
      <c r="F119" s="3" t="s">
        <v>6073</v>
      </c>
      <c r="G119" s="3" t="s">
        <v>1093</v>
      </c>
      <c r="H119" s="4" t="str">
        <f t="shared" si="3"/>
        <v>Output Bias Line Ttl VCG from 3rd party Herbert-ABS system.</v>
      </c>
    </row>
    <row r="120" spans="1:8" x14ac:dyDescent="0.25">
      <c r="A120" s="3" t="s">
        <v>6983</v>
      </c>
      <c r="B120" s="3" t="s">
        <v>6990</v>
      </c>
      <c r="C120" s="3" t="s">
        <v>6985</v>
      </c>
      <c r="D120" s="3" t="s">
        <v>1138</v>
      </c>
      <c r="E120" s="3">
        <v>119</v>
      </c>
      <c r="F120" s="3" t="s">
        <v>6074</v>
      </c>
      <c r="G120" s="3" t="s">
        <v>1100</v>
      </c>
      <c r="H120" s="4" t="str">
        <f t="shared" si="3"/>
        <v>Output Bias Line Ttl Wt Hi from 3rd party Herbert-ABS system.</v>
      </c>
    </row>
    <row r="121" spans="1:8" x14ac:dyDescent="0.25">
      <c r="A121" s="3" t="s">
        <v>6983</v>
      </c>
      <c r="B121" s="3" t="s">
        <v>6990</v>
      </c>
      <c r="C121" s="3" t="s">
        <v>6985</v>
      </c>
      <c r="D121" s="3" t="s">
        <v>1138</v>
      </c>
      <c r="E121" s="3">
        <v>120</v>
      </c>
      <c r="F121" s="3" t="s">
        <v>6075</v>
      </c>
      <c r="G121" s="3" t="s">
        <v>1100</v>
      </c>
      <c r="H121" s="4" t="str">
        <f t="shared" si="3"/>
        <v>Output Bias Line Ttl Wt Lo from 3rd party Herbert-ABS system.</v>
      </c>
    </row>
    <row r="122" spans="1:8" x14ac:dyDescent="0.25">
      <c r="A122" s="3" t="s">
        <v>6983</v>
      </c>
      <c r="B122" s="3" t="s">
        <v>6990</v>
      </c>
      <c r="C122" s="3" t="s">
        <v>6985</v>
      </c>
      <c r="D122" s="3" t="s">
        <v>1138</v>
      </c>
      <c r="E122" s="3">
        <v>121</v>
      </c>
      <c r="F122" s="3" t="s">
        <v>1634</v>
      </c>
      <c r="G122" s="3" t="s">
        <v>16</v>
      </c>
      <c r="H122" s="4" t="str">
        <f t="shared" si="3"/>
        <v>Output Calculation Flag from 3rd party Herbert-ABS system.</v>
      </c>
    </row>
    <row r="123" spans="1:8" x14ac:dyDescent="0.25">
      <c r="A123" s="3" t="s">
        <v>6983</v>
      </c>
      <c r="B123" s="3" t="s">
        <v>6990</v>
      </c>
      <c r="C123" s="3" t="s">
        <v>6985</v>
      </c>
      <c r="D123" s="3" t="s">
        <v>1138</v>
      </c>
      <c r="E123" s="3">
        <v>122</v>
      </c>
      <c r="F123" s="3" t="s">
        <v>6076</v>
      </c>
      <c r="G123" s="3" t="s">
        <v>1101</v>
      </c>
      <c r="H123" s="4" t="str">
        <f t="shared" si="3"/>
        <v>Output Column Voids Ttl FSl from 3rd party Herbert-ABS system.</v>
      </c>
    </row>
    <row r="124" spans="1:8" x14ac:dyDescent="0.25">
      <c r="A124" s="3" t="s">
        <v>6983</v>
      </c>
      <c r="B124" s="3" t="s">
        <v>6990</v>
      </c>
      <c r="C124" s="3" t="s">
        <v>6985</v>
      </c>
      <c r="D124" s="3" t="s">
        <v>1138</v>
      </c>
      <c r="E124" s="3">
        <v>123</v>
      </c>
      <c r="F124" s="3" t="s">
        <v>6077</v>
      </c>
      <c r="G124" s="3" t="s">
        <v>1093</v>
      </c>
      <c r="H124" s="4" t="str">
        <f t="shared" si="3"/>
        <v>Output Column Voids Ttl LCG from 3rd party Herbert-ABS system.</v>
      </c>
    </row>
    <row r="125" spans="1:8" x14ac:dyDescent="0.25">
      <c r="A125" s="3" t="s">
        <v>6983</v>
      </c>
      <c r="B125" s="3" t="s">
        <v>6990</v>
      </c>
      <c r="C125" s="3" t="s">
        <v>6985</v>
      </c>
      <c r="D125" s="3" t="s">
        <v>1138</v>
      </c>
      <c r="E125" s="3">
        <v>124</v>
      </c>
      <c r="F125" s="3" t="s">
        <v>6078</v>
      </c>
      <c r="G125" s="3" t="s">
        <v>1093</v>
      </c>
      <c r="H125" s="4" t="str">
        <f t="shared" si="3"/>
        <v>Output Column Voids Ttl TCG from 3rd party Herbert-ABS system.</v>
      </c>
    </row>
    <row r="126" spans="1:8" x14ac:dyDescent="0.25">
      <c r="A126" s="3" t="s">
        <v>6983</v>
      </c>
      <c r="B126" s="3" t="s">
        <v>6990</v>
      </c>
      <c r="C126" s="3" t="s">
        <v>6985</v>
      </c>
      <c r="D126" s="3" t="s">
        <v>1138</v>
      </c>
      <c r="E126" s="3">
        <v>125</v>
      </c>
      <c r="F126" s="3" t="s">
        <v>6079</v>
      </c>
      <c r="G126" s="3" t="s">
        <v>1093</v>
      </c>
      <c r="H126" s="4" t="str">
        <f t="shared" si="3"/>
        <v>Output Column Voids Ttl VCG from 3rd party Herbert-ABS system.</v>
      </c>
    </row>
    <row r="127" spans="1:8" x14ac:dyDescent="0.25">
      <c r="A127" s="3" t="s">
        <v>6983</v>
      </c>
      <c r="B127" s="3" t="s">
        <v>6990</v>
      </c>
      <c r="C127" s="3" t="s">
        <v>6985</v>
      </c>
      <c r="D127" s="3" t="s">
        <v>1138</v>
      </c>
      <c r="E127" s="3">
        <v>126</v>
      </c>
      <c r="F127" s="3" t="s">
        <v>6080</v>
      </c>
      <c r="G127" s="3" t="s">
        <v>1100</v>
      </c>
      <c r="H127" s="4" t="str">
        <f t="shared" si="3"/>
        <v>Output Column Voids Ttl Wt Hi from 3rd party Herbert-ABS system.</v>
      </c>
    </row>
    <row r="128" spans="1:8" x14ac:dyDescent="0.25">
      <c r="A128" s="3" t="s">
        <v>6983</v>
      </c>
      <c r="B128" s="3" t="s">
        <v>6990</v>
      </c>
      <c r="C128" s="3" t="s">
        <v>6985</v>
      </c>
      <c r="D128" s="3" t="s">
        <v>1138</v>
      </c>
      <c r="E128" s="3">
        <v>127</v>
      </c>
      <c r="F128" s="3" t="s">
        <v>6081</v>
      </c>
      <c r="G128" s="3" t="s">
        <v>1100</v>
      </c>
      <c r="H128" s="4" t="str">
        <f t="shared" si="3"/>
        <v>Output Column Voids Ttl Wt Lo from 3rd party Herbert-ABS system.</v>
      </c>
    </row>
    <row r="129" spans="1:8" x14ac:dyDescent="0.25">
      <c r="A129" s="3" t="s">
        <v>6983</v>
      </c>
      <c r="B129" s="3" t="s">
        <v>6990</v>
      </c>
      <c r="C129" s="3" t="s">
        <v>6985</v>
      </c>
      <c r="D129" s="3" t="s">
        <v>1138</v>
      </c>
      <c r="E129" s="3">
        <v>128</v>
      </c>
      <c r="F129" s="3" t="s">
        <v>6082</v>
      </c>
      <c r="G129" s="3" t="s">
        <v>1101</v>
      </c>
      <c r="H129" s="4" t="str">
        <f t="shared" si="3"/>
        <v>Output Column Voids Ttl FSt from 3rd party Herbert-ABS system.</v>
      </c>
    </row>
    <row r="130" spans="1:8" x14ac:dyDescent="0.25">
      <c r="A130" s="3" t="s">
        <v>6983</v>
      </c>
      <c r="B130" s="3" t="s">
        <v>6990</v>
      </c>
      <c r="C130" s="3" t="s">
        <v>6985</v>
      </c>
      <c r="D130" s="3" t="s">
        <v>1138</v>
      </c>
      <c r="E130" s="3">
        <v>129</v>
      </c>
      <c r="F130" s="3" t="s">
        <v>6083</v>
      </c>
      <c r="G130" s="3" t="s">
        <v>1093</v>
      </c>
      <c r="H130" s="4" t="str">
        <f t="shared" si="3"/>
        <v>Output Columns Loads Ttl LCG from 3rd party Herbert-ABS system.</v>
      </c>
    </row>
    <row r="131" spans="1:8" x14ac:dyDescent="0.25">
      <c r="A131" s="3" t="s">
        <v>6983</v>
      </c>
      <c r="B131" s="3" t="s">
        <v>6990</v>
      </c>
      <c r="C131" s="3" t="s">
        <v>6985</v>
      </c>
      <c r="D131" s="3" t="s">
        <v>1138</v>
      </c>
      <c r="E131" s="3">
        <v>130</v>
      </c>
      <c r="F131" s="3" t="s">
        <v>6084</v>
      </c>
      <c r="G131" s="3" t="s">
        <v>1093</v>
      </c>
      <c r="H131" s="4" t="str">
        <f t="shared" si="3"/>
        <v>Output Columns Loads Ttl TCG from 3rd party Herbert-ABS system.</v>
      </c>
    </row>
    <row r="132" spans="1:8" x14ac:dyDescent="0.25">
      <c r="A132" s="3" t="s">
        <v>6983</v>
      </c>
      <c r="B132" s="3" t="s">
        <v>6990</v>
      </c>
      <c r="C132" s="3" t="s">
        <v>6985</v>
      </c>
      <c r="D132" s="3" t="s">
        <v>1138</v>
      </c>
      <c r="E132" s="3">
        <v>131</v>
      </c>
      <c r="F132" s="3" t="s">
        <v>6085</v>
      </c>
      <c r="G132" s="3" t="s">
        <v>1093</v>
      </c>
      <c r="H132" s="4" t="str">
        <f t="shared" si="3"/>
        <v>Output Columns Loads Ttl VCG from 3rd party Herbert-ABS system.</v>
      </c>
    </row>
    <row r="133" spans="1:8" x14ac:dyDescent="0.25">
      <c r="A133" s="3" t="s">
        <v>6983</v>
      </c>
      <c r="B133" s="3" t="s">
        <v>6990</v>
      </c>
      <c r="C133" s="3" t="s">
        <v>6985</v>
      </c>
      <c r="D133" s="3" t="s">
        <v>1138</v>
      </c>
      <c r="E133" s="3">
        <v>132</v>
      </c>
      <c r="F133" s="3" t="s">
        <v>6086</v>
      </c>
      <c r="G133" s="3" t="s">
        <v>1100</v>
      </c>
      <c r="H133" s="4" t="str">
        <f t="shared" si="3"/>
        <v>Output Columns Loads Ttl Wt Hi from 3rd party Herbert-ABS system.</v>
      </c>
    </row>
    <row r="134" spans="1:8" x14ac:dyDescent="0.25">
      <c r="A134" s="3" t="s">
        <v>6983</v>
      </c>
      <c r="B134" s="3" t="s">
        <v>6990</v>
      </c>
      <c r="C134" s="3" t="s">
        <v>6985</v>
      </c>
      <c r="D134" s="3" t="s">
        <v>1138</v>
      </c>
      <c r="E134" s="3">
        <v>133</v>
      </c>
      <c r="F134" s="3" t="s">
        <v>6087</v>
      </c>
      <c r="G134" s="3" t="s">
        <v>1100</v>
      </c>
      <c r="H134" s="4" t="str">
        <f t="shared" si="3"/>
        <v>Output Columns Loads Ttl Wt Lo from 3rd party Herbert-ABS system.</v>
      </c>
    </row>
    <row r="135" spans="1:8" x14ac:dyDescent="0.25">
      <c r="A135" s="3" t="s">
        <v>6983</v>
      </c>
      <c r="B135" s="3" t="s">
        <v>6990</v>
      </c>
      <c r="C135" s="3" t="s">
        <v>6985</v>
      </c>
      <c r="D135" s="3" t="s">
        <v>1138</v>
      </c>
      <c r="E135" s="3">
        <v>134</v>
      </c>
      <c r="F135" s="3" t="s">
        <v>6088</v>
      </c>
      <c r="G135" s="3" t="s">
        <v>1093</v>
      </c>
      <c r="H135" s="4" t="str">
        <f t="shared" si="3"/>
        <v>Output Drilling Loads Ttl LCG from 3rd party Herbert-ABS system.</v>
      </c>
    </row>
    <row r="136" spans="1:8" x14ac:dyDescent="0.25">
      <c r="A136" s="3" t="s">
        <v>6983</v>
      </c>
      <c r="B136" s="3" t="s">
        <v>6990</v>
      </c>
      <c r="C136" s="3" t="s">
        <v>6985</v>
      </c>
      <c r="D136" s="3" t="s">
        <v>1138</v>
      </c>
      <c r="E136" s="3">
        <v>135</v>
      </c>
      <c r="F136" s="3" t="s">
        <v>6089</v>
      </c>
      <c r="G136" s="3" t="s">
        <v>1093</v>
      </c>
      <c r="H136" s="4" t="str">
        <f t="shared" si="3"/>
        <v>Output Drilling Loads Ttl TCG from 3rd party Herbert-ABS system.</v>
      </c>
    </row>
    <row r="137" spans="1:8" x14ac:dyDescent="0.25">
      <c r="A137" s="3" t="s">
        <v>6983</v>
      </c>
      <c r="B137" s="3" t="s">
        <v>6990</v>
      </c>
      <c r="C137" s="3" t="s">
        <v>6985</v>
      </c>
      <c r="D137" s="3" t="s">
        <v>1138</v>
      </c>
      <c r="E137" s="3">
        <v>136</v>
      </c>
      <c r="F137" s="3" t="s">
        <v>6090</v>
      </c>
      <c r="G137" s="3" t="s">
        <v>1093</v>
      </c>
      <c r="H137" s="4" t="str">
        <f t="shared" si="3"/>
        <v>Output Drilling Loads Ttl VCG from 3rd party Herbert-ABS system.</v>
      </c>
    </row>
    <row r="138" spans="1:8" x14ac:dyDescent="0.25">
      <c r="A138" s="3" t="s">
        <v>6983</v>
      </c>
      <c r="B138" s="3" t="s">
        <v>6990</v>
      </c>
      <c r="C138" s="3" t="s">
        <v>6985</v>
      </c>
      <c r="D138" s="3" t="s">
        <v>1138</v>
      </c>
      <c r="E138" s="3">
        <v>137</v>
      </c>
      <c r="F138" s="3" t="s">
        <v>6091</v>
      </c>
      <c r="G138" s="3" t="s">
        <v>1100</v>
      </c>
      <c r="H138" s="4" t="str">
        <f t="shared" si="3"/>
        <v>Output Drilling Loads Ttl Wt Hi from 3rd party Herbert-ABS system.</v>
      </c>
    </row>
    <row r="139" spans="1:8" x14ac:dyDescent="0.25">
      <c r="A139" s="3" t="s">
        <v>6983</v>
      </c>
      <c r="B139" s="3" t="s">
        <v>6990</v>
      </c>
      <c r="C139" s="3" t="s">
        <v>6985</v>
      </c>
      <c r="D139" s="3" t="s">
        <v>1138</v>
      </c>
      <c r="E139" s="3">
        <v>138</v>
      </c>
      <c r="F139" s="3" t="s">
        <v>6092</v>
      </c>
      <c r="G139" s="3" t="s">
        <v>1100</v>
      </c>
      <c r="H139" s="4" t="str">
        <f t="shared" si="3"/>
        <v>Output Drilling Loads Ttl Wt Lo from 3rd party Herbert-ABS system.</v>
      </c>
    </row>
    <row r="140" spans="1:8" x14ac:dyDescent="0.25">
      <c r="A140" s="3" t="s">
        <v>6983</v>
      </c>
      <c r="B140" s="3" t="s">
        <v>6990</v>
      </c>
      <c r="C140" s="3" t="s">
        <v>6985</v>
      </c>
      <c r="D140" s="3" t="s">
        <v>1138</v>
      </c>
      <c r="E140" s="3">
        <v>139</v>
      </c>
      <c r="F140" s="3" t="s">
        <v>6093</v>
      </c>
      <c r="G140" s="3" t="s">
        <v>1101</v>
      </c>
      <c r="H140" s="4" t="str">
        <f t="shared" si="3"/>
        <v>Output Hull Consumables Ttl FSl from 3rd party Herbert-ABS system.</v>
      </c>
    </row>
    <row r="141" spans="1:8" x14ac:dyDescent="0.25">
      <c r="A141" s="3" t="s">
        <v>6983</v>
      </c>
      <c r="B141" s="3" t="s">
        <v>6990</v>
      </c>
      <c r="C141" s="3" t="s">
        <v>6985</v>
      </c>
      <c r="D141" s="3" t="s">
        <v>1138</v>
      </c>
      <c r="E141" s="3">
        <v>140</v>
      </c>
      <c r="F141" s="3" t="s">
        <v>6094</v>
      </c>
      <c r="G141" s="3" t="s">
        <v>1093</v>
      </c>
      <c r="H141" s="4" t="str">
        <f t="shared" si="3"/>
        <v>Output Hull Consumables Ttl LCG from 3rd party Herbert-ABS system.</v>
      </c>
    </row>
    <row r="142" spans="1:8" x14ac:dyDescent="0.25">
      <c r="A142" s="3" t="s">
        <v>6983</v>
      </c>
      <c r="B142" s="3" t="s">
        <v>6990</v>
      </c>
      <c r="C142" s="3" t="s">
        <v>6985</v>
      </c>
      <c r="D142" s="3" t="s">
        <v>1138</v>
      </c>
      <c r="E142" s="3">
        <v>141</v>
      </c>
      <c r="F142" s="3" t="s">
        <v>6095</v>
      </c>
      <c r="G142" s="3" t="s">
        <v>1093</v>
      </c>
      <c r="H142" s="4" t="str">
        <f t="shared" si="3"/>
        <v>Output Hull Consumables Ttl TCG from 3rd party Herbert-ABS system.</v>
      </c>
    </row>
    <row r="143" spans="1:8" x14ac:dyDescent="0.25">
      <c r="A143" s="3" t="s">
        <v>6983</v>
      </c>
      <c r="B143" s="3" t="s">
        <v>6990</v>
      </c>
      <c r="C143" s="3" t="s">
        <v>6985</v>
      </c>
      <c r="D143" s="3" t="s">
        <v>1138</v>
      </c>
      <c r="E143" s="3">
        <v>142</v>
      </c>
      <c r="F143" s="3" t="s">
        <v>6096</v>
      </c>
      <c r="G143" s="3" t="s">
        <v>1093</v>
      </c>
      <c r="H143" s="4" t="str">
        <f t="shared" si="3"/>
        <v>Output Hull Consumables Ttl VCG from 3rd party Herbert-ABS system.</v>
      </c>
    </row>
    <row r="144" spans="1:8" x14ac:dyDescent="0.25">
      <c r="A144" s="3" t="s">
        <v>6983</v>
      </c>
      <c r="B144" s="3" t="s">
        <v>6990</v>
      </c>
      <c r="C144" s="3" t="s">
        <v>6985</v>
      </c>
      <c r="D144" s="3" t="s">
        <v>1138</v>
      </c>
      <c r="E144" s="3">
        <v>143</v>
      </c>
      <c r="F144" s="3" t="s">
        <v>6097</v>
      </c>
      <c r="G144" s="3" t="s">
        <v>1100</v>
      </c>
      <c r="H144" s="4" t="str">
        <f t="shared" si="3"/>
        <v>Output Hull Consumables Ttl Wt Hi from 3rd party Herbert-ABS system.</v>
      </c>
    </row>
    <row r="145" spans="1:8" x14ac:dyDescent="0.25">
      <c r="A145" s="3" t="s">
        <v>6983</v>
      </c>
      <c r="B145" s="3" t="s">
        <v>6990</v>
      </c>
      <c r="C145" s="3" t="s">
        <v>6985</v>
      </c>
      <c r="D145" s="3" t="s">
        <v>1138</v>
      </c>
      <c r="E145" s="3">
        <v>144</v>
      </c>
      <c r="F145" s="3" t="s">
        <v>6098</v>
      </c>
      <c r="G145" s="3" t="s">
        <v>1100</v>
      </c>
      <c r="H145" s="4" t="str">
        <f t="shared" si="3"/>
        <v>Output Hull Consumables Ttl Wt Lo from 3rd party Herbert-ABS system.</v>
      </c>
    </row>
    <row r="146" spans="1:8" x14ac:dyDescent="0.25">
      <c r="A146" s="3" t="s">
        <v>6983</v>
      </c>
      <c r="B146" s="3" t="s">
        <v>6990</v>
      </c>
      <c r="C146" s="3" t="s">
        <v>6985</v>
      </c>
      <c r="D146" s="3" t="s">
        <v>1138</v>
      </c>
      <c r="E146" s="3">
        <v>145</v>
      </c>
      <c r="F146" s="3" t="s">
        <v>6099</v>
      </c>
      <c r="G146" s="3" t="s">
        <v>1101</v>
      </c>
      <c r="H146" s="4" t="str">
        <f t="shared" si="3"/>
        <v>Output Hull Consumables t Ttl FSt from 3rd party Herbert-ABS system.</v>
      </c>
    </row>
    <row r="147" spans="1:8" x14ac:dyDescent="0.25">
      <c r="A147" s="3" t="s">
        <v>6983</v>
      </c>
      <c r="B147" s="3" t="s">
        <v>6990</v>
      </c>
      <c r="C147" s="3" t="s">
        <v>6985</v>
      </c>
      <c r="D147" s="3" t="s">
        <v>1138</v>
      </c>
      <c r="E147" s="3">
        <v>146</v>
      </c>
      <c r="F147" s="3" t="s">
        <v>6100</v>
      </c>
      <c r="G147" s="3" t="s">
        <v>1093</v>
      </c>
      <c r="H147" s="4" t="str">
        <f t="shared" si="3"/>
        <v>Output Interm. Deck Loads Ttl LCG from 3rd party Herbert-ABS system.</v>
      </c>
    </row>
    <row r="148" spans="1:8" x14ac:dyDescent="0.25">
      <c r="A148" s="3" t="s">
        <v>6983</v>
      </c>
      <c r="B148" s="3" t="s">
        <v>6990</v>
      </c>
      <c r="C148" s="3" t="s">
        <v>6985</v>
      </c>
      <c r="D148" s="3" t="s">
        <v>1138</v>
      </c>
      <c r="E148" s="3">
        <v>147</v>
      </c>
      <c r="F148" s="3" t="s">
        <v>6101</v>
      </c>
      <c r="G148" s="3" t="s">
        <v>1093</v>
      </c>
      <c r="H148" s="4" t="str">
        <f t="shared" si="3"/>
        <v>Output Interm. Deck Loads Ttl TCG from 3rd party Herbert-ABS system.</v>
      </c>
    </row>
    <row r="149" spans="1:8" x14ac:dyDescent="0.25">
      <c r="A149" s="3" t="s">
        <v>6983</v>
      </c>
      <c r="B149" s="3" t="s">
        <v>6990</v>
      </c>
      <c r="C149" s="3" t="s">
        <v>6985</v>
      </c>
      <c r="D149" s="3" t="s">
        <v>1138</v>
      </c>
      <c r="E149" s="3">
        <v>148</v>
      </c>
      <c r="F149" s="3" t="s">
        <v>6102</v>
      </c>
      <c r="G149" s="3" t="s">
        <v>1093</v>
      </c>
      <c r="H149" s="4" t="str">
        <f t="shared" si="3"/>
        <v>Output Interm. Deck Loads Ttl VCG from 3rd party Herbert-ABS system.</v>
      </c>
    </row>
    <row r="150" spans="1:8" x14ac:dyDescent="0.25">
      <c r="A150" s="3" t="s">
        <v>6983</v>
      </c>
      <c r="B150" s="3" t="s">
        <v>6990</v>
      </c>
      <c r="C150" s="3" t="s">
        <v>6985</v>
      </c>
      <c r="D150" s="3" t="s">
        <v>1138</v>
      </c>
      <c r="E150" s="3">
        <v>149</v>
      </c>
      <c r="F150" s="3" t="s">
        <v>6103</v>
      </c>
      <c r="G150" s="3" t="s">
        <v>1100</v>
      </c>
      <c r="H150" s="4" t="str">
        <f t="shared" si="3"/>
        <v>Output Interm Deck Loads Ttl Wt H from 3rd party Herbert-ABS system.</v>
      </c>
    </row>
    <row r="151" spans="1:8" x14ac:dyDescent="0.25">
      <c r="A151" s="3" t="s">
        <v>6983</v>
      </c>
      <c r="B151" s="3" t="s">
        <v>6990</v>
      </c>
      <c r="C151" s="3" t="s">
        <v>6985</v>
      </c>
      <c r="D151" s="3" t="s">
        <v>1138</v>
      </c>
      <c r="E151" s="3">
        <v>150</v>
      </c>
      <c r="F151" s="3" t="s">
        <v>6104</v>
      </c>
      <c r="G151" s="3" t="s">
        <v>1100</v>
      </c>
      <c r="H151" s="4" t="str">
        <f t="shared" si="3"/>
        <v>Output Interm.Deck Loads Ttl Wt L from 3rd party Herbert-ABS system.</v>
      </c>
    </row>
    <row r="152" spans="1:8" x14ac:dyDescent="0.25">
      <c r="A152" s="3" t="s">
        <v>6983</v>
      </c>
      <c r="B152" s="3" t="s">
        <v>6990</v>
      </c>
      <c r="C152" s="3" t="s">
        <v>6985</v>
      </c>
      <c r="D152" s="3" t="s">
        <v>1138</v>
      </c>
      <c r="E152" s="3">
        <v>151</v>
      </c>
      <c r="F152" s="3" t="s">
        <v>1667</v>
      </c>
      <c r="G152" s="3" t="s">
        <v>1093</v>
      </c>
      <c r="H152" s="4" t="str">
        <f t="shared" si="3"/>
        <v>Output KG Allow Hurricane from 3rd party Herbert-ABS system.</v>
      </c>
    </row>
    <row r="153" spans="1:8" x14ac:dyDescent="0.25">
      <c r="A153" s="3" t="s">
        <v>6983</v>
      </c>
      <c r="B153" s="3" t="s">
        <v>6990</v>
      </c>
      <c r="C153" s="3" t="s">
        <v>6985</v>
      </c>
      <c r="D153" s="3" t="s">
        <v>1138</v>
      </c>
      <c r="E153" s="3">
        <v>152</v>
      </c>
      <c r="F153" s="3" t="s">
        <v>1668</v>
      </c>
      <c r="G153" s="3" t="s">
        <v>1093</v>
      </c>
      <c r="H153" s="4" t="str">
        <f t="shared" si="3"/>
        <v>Output KG Allow Winter Storm from 3rd party Herbert-ABS system.</v>
      </c>
    </row>
    <row r="154" spans="1:8" x14ac:dyDescent="0.25">
      <c r="A154" s="3" t="s">
        <v>6983</v>
      </c>
      <c r="B154" s="3" t="s">
        <v>6990</v>
      </c>
      <c r="C154" s="3" t="s">
        <v>6985</v>
      </c>
      <c r="D154" s="3" t="s">
        <v>1138</v>
      </c>
      <c r="E154" s="3">
        <v>153</v>
      </c>
      <c r="F154" s="3" t="s">
        <v>1659</v>
      </c>
      <c r="G154" s="3" t="s">
        <v>1100</v>
      </c>
      <c r="H154" s="4" t="str">
        <f t="shared" si="3"/>
        <v>Output Lateral Phantom Force EW from 3rd party Herbert-ABS system.</v>
      </c>
    </row>
    <row r="155" spans="1:8" x14ac:dyDescent="0.25">
      <c r="A155" s="3" t="s">
        <v>6983</v>
      </c>
      <c r="B155" s="3" t="s">
        <v>6990</v>
      </c>
      <c r="C155" s="3" t="s">
        <v>6985</v>
      </c>
      <c r="D155" s="3" t="s">
        <v>1138</v>
      </c>
      <c r="E155" s="3">
        <v>154</v>
      </c>
      <c r="F155" s="3" t="s">
        <v>1660</v>
      </c>
      <c r="G155" s="3" t="s">
        <v>1100</v>
      </c>
      <c r="H155" s="4" t="str">
        <f t="shared" si="3"/>
        <v>Output Lateral Phantom Force NS from 3rd party Herbert-ABS system.</v>
      </c>
    </row>
    <row r="156" spans="1:8" x14ac:dyDescent="0.25">
      <c r="A156" s="3" t="s">
        <v>6983</v>
      </c>
      <c r="B156" s="3" t="s">
        <v>6990</v>
      </c>
      <c r="C156" s="3" t="s">
        <v>6985</v>
      </c>
      <c r="D156" s="3" t="s">
        <v>1138</v>
      </c>
      <c r="E156" s="3">
        <v>155</v>
      </c>
      <c r="F156" s="3" t="s">
        <v>6105</v>
      </c>
      <c r="G156" s="3" t="s">
        <v>1093</v>
      </c>
      <c r="H156" s="4" t="str">
        <f t="shared" si="3"/>
        <v>Output Lightship Changes LCG from 3rd party Herbert-ABS system.</v>
      </c>
    </row>
    <row r="157" spans="1:8" x14ac:dyDescent="0.25">
      <c r="A157" s="3" t="s">
        <v>6983</v>
      </c>
      <c r="B157" s="3" t="s">
        <v>6990</v>
      </c>
      <c r="C157" s="3" t="s">
        <v>6985</v>
      </c>
      <c r="D157" s="3" t="s">
        <v>1138</v>
      </c>
      <c r="E157" s="3">
        <v>156</v>
      </c>
      <c r="F157" s="3" t="s">
        <v>6106</v>
      </c>
      <c r="G157" s="3" t="s">
        <v>1093</v>
      </c>
      <c r="H157" s="4" t="str">
        <f t="shared" si="3"/>
        <v>Output Lightship Changes TCG from 3rd party Herbert-ABS system.</v>
      </c>
    </row>
    <row r="158" spans="1:8" x14ac:dyDescent="0.25">
      <c r="A158" s="3" t="s">
        <v>6983</v>
      </c>
      <c r="B158" s="3" t="s">
        <v>6990</v>
      </c>
      <c r="C158" s="3" t="s">
        <v>6985</v>
      </c>
      <c r="D158" s="3" t="s">
        <v>1138</v>
      </c>
      <c r="E158" s="3">
        <v>157</v>
      </c>
      <c r="F158" s="3" t="s">
        <v>6107</v>
      </c>
      <c r="G158" s="3" t="s">
        <v>1093</v>
      </c>
      <c r="H158" s="4" t="str">
        <f t="shared" si="3"/>
        <v>Output Lightship Changes VCG from 3rd party Herbert-ABS system.</v>
      </c>
    </row>
    <row r="159" spans="1:8" x14ac:dyDescent="0.25">
      <c r="A159" s="3" t="s">
        <v>6983</v>
      </c>
      <c r="B159" s="3" t="s">
        <v>6990</v>
      </c>
      <c r="C159" s="3" t="s">
        <v>6985</v>
      </c>
      <c r="D159" s="3" t="s">
        <v>1138</v>
      </c>
      <c r="E159" s="3">
        <v>158</v>
      </c>
      <c r="F159" s="3" t="s">
        <v>6108</v>
      </c>
      <c r="G159" s="3" t="s">
        <v>1100</v>
      </c>
      <c r="H159" s="4" t="str">
        <f t="shared" si="3"/>
        <v>Output Lightship Changes Wt Hi from 3rd party Herbert-ABS system.</v>
      </c>
    </row>
    <row r="160" spans="1:8" x14ac:dyDescent="0.25">
      <c r="A160" s="3" t="s">
        <v>6983</v>
      </c>
      <c r="B160" s="3" t="s">
        <v>6990</v>
      </c>
      <c r="C160" s="3" t="s">
        <v>6985</v>
      </c>
      <c r="D160" s="3" t="s">
        <v>1138</v>
      </c>
      <c r="E160" s="3">
        <v>159</v>
      </c>
      <c r="F160" s="3" t="s">
        <v>6109</v>
      </c>
      <c r="G160" s="3" t="s">
        <v>1100</v>
      </c>
      <c r="H160" s="4" t="str">
        <f t="shared" si="3"/>
        <v>Output Lightship Changes Wt Lo from 3rd party Herbert-ABS system.</v>
      </c>
    </row>
    <row r="161" spans="1:8" x14ac:dyDescent="0.25">
      <c r="A161" s="3" t="s">
        <v>6983</v>
      </c>
      <c r="B161" s="3" t="s">
        <v>6990</v>
      </c>
      <c r="C161" s="3" t="s">
        <v>6985</v>
      </c>
      <c r="D161" s="3" t="s">
        <v>1138</v>
      </c>
      <c r="E161" s="3">
        <v>160</v>
      </c>
      <c r="F161" s="3" t="s">
        <v>6110</v>
      </c>
      <c r="G161" s="3" t="s">
        <v>1093</v>
      </c>
      <c r="H161" s="4" t="str">
        <f t="shared" si="3"/>
        <v>Output Lower Deck Loads Ttl LCG from 3rd party Herbert-ABS system.</v>
      </c>
    </row>
    <row r="162" spans="1:8" x14ac:dyDescent="0.25">
      <c r="A162" s="3" t="s">
        <v>6983</v>
      </c>
      <c r="B162" s="3" t="s">
        <v>6990</v>
      </c>
      <c r="C162" s="3" t="s">
        <v>6985</v>
      </c>
      <c r="D162" s="3" t="s">
        <v>1138</v>
      </c>
      <c r="E162" s="3">
        <v>161</v>
      </c>
      <c r="F162" s="3" t="s">
        <v>6111</v>
      </c>
      <c r="G162" s="3" t="s">
        <v>1093</v>
      </c>
      <c r="H162" s="4" t="str">
        <f t="shared" si="3"/>
        <v>Output Lower Deck Loads Ttl TCG from 3rd party Herbert-ABS system.</v>
      </c>
    </row>
    <row r="163" spans="1:8" x14ac:dyDescent="0.25">
      <c r="A163" s="3" t="s">
        <v>6983</v>
      </c>
      <c r="B163" s="3" t="s">
        <v>6990</v>
      </c>
      <c r="C163" s="3" t="s">
        <v>6985</v>
      </c>
      <c r="D163" s="3" t="s">
        <v>1138</v>
      </c>
      <c r="E163" s="3">
        <v>162</v>
      </c>
      <c r="F163" s="3" t="s">
        <v>6112</v>
      </c>
      <c r="G163" s="3" t="s">
        <v>1093</v>
      </c>
      <c r="H163" s="4" t="str">
        <f t="shared" si="3"/>
        <v>Output Lower Deck Loads Ttl VCG from 3rd party Herbert-ABS system.</v>
      </c>
    </row>
    <row r="164" spans="1:8" x14ac:dyDescent="0.25">
      <c r="A164" s="3" t="s">
        <v>6983</v>
      </c>
      <c r="B164" s="3" t="s">
        <v>6990</v>
      </c>
      <c r="C164" s="3" t="s">
        <v>6985</v>
      </c>
      <c r="D164" s="3" t="s">
        <v>1138</v>
      </c>
      <c r="E164" s="3">
        <v>163</v>
      </c>
      <c r="F164" s="3" t="s">
        <v>6113</v>
      </c>
      <c r="G164" s="3" t="s">
        <v>1100</v>
      </c>
      <c r="H164" s="4" t="str">
        <f t="shared" si="3"/>
        <v>Output Lower Deck Loads Ttl Wt Hi from 3rd party Herbert-ABS system.</v>
      </c>
    </row>
    <row r="165" spans="1:8" x14ac:dyDescent="0.25">
      <c r="A165" s="3" t="s">
        <v>6983</v>
      </c>
      <c r="B165" s="3" t="s">
        <v>6990</v>
      </c>
      <c r="C165" s="3" t="s">
        <v>6985</v>
      </c>
      <c r="D165" s="3" t="s">
        <v>1138</v>
      </c>
      <c r="E165" s="3">
        <v>164</v>
      </c>
      <c r="F165" s="3" t="s">
        <v>6114</v>
      </c>
      <c r="G165" s="3" t="s">
        <v>1100</v>
      </c>
      <c r="H165" s="4" t="str">
        <f t="shared" si="3"/>
        <v>Output Lower Deck Loads Ttl Wt Lo from 3rd party Herbert-ABS system.</v>
      </c>
    </row>
    <row r="166" spans="1:8" x14ac:dyDescent="0.25">
      <c r="A166" s="3" t="s">
        <v>6983</v>
      </c>
      <c r="B166" s="3" t="s">
        <v>6990</v>
      </c>
      <c r="C166" s="3" t="s">
        <v>6985</v>
      </c>
      <c r="D166" s="3" t="s">
        <v>1138</v>
      </c>
      <c r="E166" s="3">
        <v>165</v>
      </c>
      <c r="F166" s="3" t="s">
        <v>1661</v>
      </c>
      <c r="G166" s="3" t="s">
        <v>1100</v>
      </c>
      <c r="H166" s="4" t="str">
        <f t="shared" si="3"/>
        <v>Output LPF Moment EW from 3rd party Herbert-ABS system.</v>
      </c>
    </row>
    <row r="167" spans="1:8" x14ac:dyDescent="0.25">
      <c r="A167" s="3" t="s">
        <v>6983</v>
      </c>
      <c r="B167" s="3" t="s">
        <v>6990</v>
      </c>
      <c r="C167" s="3" t="s">
        <v>6985</v>
      </c>
      <c r="D167" s="3" t="s">
        <v>1138</v>
      </c>
      <c r="E167" s="3">
        <v>166</v>
      </c>
      <c r="F167" s="3" t="s">
        <v>1662</v>
      </c>
      <c r="G167" s="3" t="s">
        <v>1100</v>
      </c>
      <c r="H167" s="4" t="str">
        <f t="shared" si="3"/>
        <v>Output LPF Moment NS from 3rd party Herbert-ABS system.</v>
      </c>
    </row>
    <row r="168" spans="1:8" x14ac:dyDescent="0.25">
      <c r="A168" s="3" t="s">
        <v>6983</v>
      </c>
      <c r="B168" s="3" t="s">
        <v>6990</v>
      </c>
      <c r="C168" s="3" t="s">
        <v>6985</v>
      </c>
      <c r="D168" s="3" t="s">
        <v>1138</v>
      </c>
      <c r="E168" s="3">
        <v>167</v>
      </c>
      <c r="F168" s="3" t="s">
        <v>6115</v>
      </c>
      <c r="G168" s="3" t="s">
        <v>1093</v>
      </c>
      <c r="H168" s="4" t="str">
        <f t="shared" si="3"/>
        <v>Output Mezz Deck Loads Ttl LCG from 3rd party Herbert-ABS system.</v>
      </c>
    </row>
    <row r="169" spans="1:8" x14ac:dyDescent="0.25">
      <c r="A169" s="3" t="s">
        <v>6983</v>
      </c>
      <c r="B169" s="3" t="s">
        <v>6990</v>
      </c>
      <c r="C169" s="3" t="s">
        <v>6985</v>
      </c>
      <c r="D169" s="3" t="s">
        <v>1138</v>
      </c>
      <c r="E169" s="3">
        <v>168</v>
      </c>
      <c r="F169" s="3" t="s">
        <v>6116</v>
      </c>
      <c r="G169" s="3" t="s">
        <v>1093</v>
      </c>
      <c r="H169" s="4" t="str">
        <f t="shared" si="3"/>
        <v>Output Mezz Deck Loads Ttl TCG from 3rd party Herbert-ABS system.</v>
      </c>
    </row>
    <row r="170" spans="1:8" x14ac:dyDescent="0.25">
      <c r="A170" s="3" t="s">
        <v>6983</v>
      </c>
      <c r="B170" s="3" t="s">
        <v>6990</v>
      </c>
      <c r="C170" s="3" t="s">
        <v>6985</v>
      </c>
      <c r="D170" s="3" t="s">
        <v>1138</v>
      </c>
      <c r="E170" s="3">
        <v>169</v>
      </c>
      <c r="F170" s="3" t="s">
        <v>6117</v>
      </c>
      <c r="G170" s="3" t="s">
        <v>1093</v>
      </c>
      <c r="H170" s="4" t="str">
        <f t="shared" si="3"/>
        <v>Output Mezz Deck Loads Ttl VCG from 3rd party Herbert-ABS system.</v>
      </c>
    </row>
    <row r="171" spans="1:8" x14ac:dyDescent="0.25">
      <c r="A171" s="3" t="s">
        <v>6983</v>
      </c>
      <c r="B171" s="3" t="s">
        <v>6990</v>
      </c>
      <c r="C171" s="3" t="s">
        <v>6985</v>
      </c>
      <c r="D171" s="3" t="s">
        <v>1138</v>
      </c>
      <c r="E171" s="3">
        <v>170</v>
      </c>
      <c r="F171" s="3" t="s">
        <v>6118</v>
      </c>
      <c r="G171" s="3" t="s">
        <v>1100</v>
      </c>
      <c r="H171" s="4" t="str">
        <f t="shared" si="3"/>
        <v>Output Mezz Deck Loads Ttl Wt Hi from 3rd party Herbert-ABS system.</v>
      </c>
    </row>
    <row r="172" spans="1:8" x14ac:dyDescent="0.25">
      <c r="A172" s="3" t="s">
        <v>6983</v>
      </c>
      <c r="B172" s="3" t="s">
        <v>6990</v>
      </c>
      <c r="C172" s="3" t="s">
        <v>6985</v>
      </c>
      <c r="D172" s="3" t="s">
        <v>1138</v>
      </c>
      <c r="E172" s="3">
        <v>171</v>
      </c>
      <c r="F172" s="3" t="s">
        <v>6119</v>
      </c>
      <c r="G172" s="3" t="s">
        <v>1100</v>
      </c>
      <c r="H172" s="4" t="str">
        <f t="shared" si="3"/>
        <v>Output Mezz Deck Loads Ttl Wt Lo from 3rd party Herbert-ABS system.</v>
      </c>
    </row>
    <row r="173" spans="1:8" x14ac:dyDescent="0.25">
      <c r="A173" s="3" t="s">
        <v>6983</v>
      </c>
      <c r="B173" s="3" t="s">
        <v>6990</v>
      </c>
      <c r="C173" s="3" t="s">
        <v>6985</v>
      </c>
      <c r="D173" s="3" t="s">
        <v>1138</v>
      </c>
      <c r="E173" s="3">
        <v>172</v>
      </c>
      <c r="F173" s="3" t="s">
        <v>1064</v>
      </c>
      <c r="G173" s="3" t="s">
        <v>1100</v>
      </c>
      <c r="H173" s="4" t="str">
        <f t="shared" si="3"/>
        <v>Output Discrepancy Wt from 3rd party Herbert-ABS system.</v>
      </c>
    </row>
    <row r="174" spans="1:8" x14ac:dyDescent="0.25">
      <c r="A174" s="3" t="s">
        <v>6983</v>
      </c>
      <c r="B174" s="3" t="s">
        <v>6990</v>
      </c>
      <c r="C174" s="3" t="s">
        <v>6985</v>
      </c>
      <c r="D174" s="3" t="s">
        <v>1138</v>
      </c>
      <c r="E174" s="3">
        <v>173</v>
      </c>
      <c r="F174" s="3" t="s">
        <v>6120</v>
      </c>
      <c r="G174" s="3" t="s">
        <v>1093</v>
      </c>
      <c r="H174" s="4" t="str">
        <f t="shared" si="3"/>
        <v>Output Discrepancy Wt CG EW from 3rd party Herbert-ABS system.</v>
      </c>
    </row>
    <row r="175" spans="1:8" x14ac:dyDescent="0.25">
      <c r="A175" s="3" t="s">
        <v>6983</v>
      </c>
      <c r="B175" s="3" t="s">
        <v>6990</v>
      </c>
      <c r="C175" s="3" t="s">
        <v>6985</v>
      </c>
      <c r="D175" s="3" t="s">
        <v>1138</v>
      </c>
      <c r="E175" s="3">
        <v>174</v>
      </c>
      <c r="F175" s="3" t="s">
        <v>6121</v>
      </c>
      <c r="G175" s="3" t="s">
        <v>1093</v>
      </c>
      <c r="H175" s="4" t="str">
        <f t="shared" ref="H175:H225" si="4">_xlfn.CONCAT("Output ",F175, " from 3rd party Herbert-ABS system.")</f>
        <v>Output Discrepancy Wt CG NS from 3rd party Herbert-ABS system.</v>
      </c>
    </row>
    <row r="176" spans="1:8" x14ac:dyDescent="0.25">
      <c r="A176" s="3" t="s">
        <v>6983</v>
      </c>
      <c r="B176" s="3" t="s">
        <v>6990</v>
      </c>
      <c r="C176" s="3" t="s">
        <v>6985</v>
      </c>
      <c r="D176" s="3" t="s">
        <v>1138</v>
      </c>
      <c r="E176" s="3">
        <v>175</v>
      </c>
      <c r="F176" s="3" t="s">
        <v>6122</v>
      </c>
      <c r="G176" s="3" t="s">
        <v>1093</v>
      </c>
      <c r="H176" s="4" t="str">
        <f t="shared" si="4"/>
        <v>Output Process Tanks Ttl FSl from 3rd party Herbert-ABS system.</v>
      </c>
    </row>
    <row r="177" spans="1:8" x14ac:dyDescent="0.25">
      <c r="A177" s="3" t="s">
        <v>6983</v>
      </c>
      <c r="B177" s="3" t="s">
        <v>6990</v>
      </c>
      <c r="C177" s="3" t="s">
        <v>6985</v>
      </c>
      <c r="D177" s="3" t="s">
        <v>1138</v>
      </c>
      <c r="E177" s="3">
        <v>176</v>
      </c>
      <c r="F177" s="3" t="s">
        <v>6123</v>
      </c>
      <c r="G177" s="3" t="s">
        <v>1093</v>
      </c>
      <c r="H177" s="4" t="str">
        <f t="shared" si="4"/>
        <v>Output Process Tanks Ttl LCG from 3rd party Herbert-ABS system.</v>
      </c>
    </row>
    <row r="178" spans="1:8" x14ac:dyDescent="0.25">
      <c r="A178" s="3" t="s">
        <v>6983</v>
      </c>
      <c r="B178" s="3" t="s">
        <v>6990</v>
      </c>
      <c r="C178" s="3" t="s">
        <v>6985</v>
      </c>
      <c r="D178" s="3" t="s">
        <v>1138</v>
      </c>
      <c r="E178" s="3">
        <v>177</v>
      </c>
      <c r="F178" s="3" t="s">
        <v>6124</v>
      </c>
      <c r="G178" s="3" t="s">
        <v>1093</v>
      </c>
      <c r="H178" s="4" t="str">
        <f t="shared" si="4"/>
        <v>Output Process Tanks Ttl TCG from 3rd party Herbert-ABS system.</v>
      </c>
    </row>
    <row r="179" spans="1:8" x14ac:dyDescent="0.25">
      <c r="A179" s="3" t="s">
        <v>6983</v>
      </c>
      <c r="B179" s="3" t="s">
        <v>6990</v>
      </c>
      <c r="C179" s="3" t="s">
        <v>6985</v>
      </c>
      <c r="D179" s="3" t="s">
        <v>1138</v>
      </c>
      <c r="E179" s="3">
        <v>178</v>
      </c>
      <c r="F179" s="3" t="s">
        <v>6125</v>
      </c>
      <c r="G179" s="3" t="s">
        <v>1093</v>
      </c>
      <c r="H179" s="4" t="str">
        <f t="shared" si="4"/>
        <v>Output Process Tanks Ttl VCG from 3rd party Herbert-ABS system.</v>
      </c>
    </row>
    <row r="180" spans="1:8" x14ac:dyDescent="0.25">
      <c r="A180" s="3" t="s">
        <v>6983</v>
      </c>
      <c r="B180" s="3" t="s">
        <v>6990</v>
      </c>
      <c r="C180" s="3" t="s">
        <v>6985</v>
      </c>
      <c r="D180" s="3" t="s">
        <v>1138</v>
      </c>
      <c r="E180" s="3">
        <v>179</v>
      </c>
      <c r="F180" s="3" t="s">
        <v>6126</v>
      </c>
      <c r="G180" s="3" t="s">
        <v>1100</v>
      </c>
      <c r="H180" s="4" t="str">
        <f t="shared" si="4"/>
        <v>Output Process Tanks Ttl Wt Hi from 3rd party Herbert-ABS system.</v>
      </c>
    </row>
    <row r="181" spans="1:8" x14ac:dyDescent="0.25">
      <c r="A181" s="3" t="s">
        <v>6983</v>
      </c>
      <c r="B181" s="3" t="s">
        <v>6990</v>
      </c>
      <c r="C181" s="3" t="s">
        <v>6985</v>
      </c>
      <c r="D181" s="3" t="s">
        <v>1138</v>
      </c>
      <c r="E181" s="3">
        <v>180</v>
      </c>
      <c r="F181" s="3" t="s">
        <v>6127</v>
      </c>
      <c r="G181" s="3" t="s">
        <v>1100</v>
      </c>
      <c r="H181" s="4" t="str">
        <f t="shared" si="4"/>
        <v>Output Process Tanks Ttl Wt Lo from 3rd party Herbert-ABS system.</v>
      </c>
    </row>
    <row r="182" spans="1:8" x14ac:dyDescent="0.25">
      <c r="A182" s="3" t="s">
        <v>6983</v>
      </c>
      <c r="B182" s="3" t="s">
        <v>6990</v>
      </c>
      <c r="C182" s="3" t="s">
        <v>6985</v>
      </c>
      <c r="D182" s="3" t="s">
        <v>1138</v>
      </c>
      <c r="E182" s="3">
        <v>181</v>
      </c>
      <c r="F182" s="3" t="s">
        <v>6128</v>
      </c>
      <c r="G182" s="3" t="s">
        <v>1101</v>
      </c>
      <c r="H182" s="4" t="str">
        <f t="shared" si="4"/>
        <v>Output Process Tanks Ttl FSt from 3rd party Herbert-ABS system.</v>
      </c>
    </row>
    <row r="183" spans="1:8" x14ac:dyDescent="0.25">
      <c r="A183" s="3" t="s">
        <v>6983</v>
      </c>
      <c r="B183" s="3" t="s">
        <v>6990</v>
      </c>
      <c r="C183" s="3" t="s">
        <v>6985</v>
      </c>
      <c r="D183" s="3" t="s">
        <v>1138</v>
      </c>
      <c r="E183" s="3">
        <v>182</v>
      </c>
      <c r="F183" s="3" t="s">
        <v>6129</v>
      </c>
      <c r="G183" s="3" t="s">
        <v>1093</v>
      </c>
      <c r="H183" s="4" t="str">
        <f t="shared" si="4"/>
        <v>Output Quarters Loads Ttl LCG from 3rd party Herbert-ABS system.</v>
      </c>
    </row>
    <row r="184" spans="1:8" x14ac:dyDescent="0.25">
      <c r="A184" s="3" t="s">
        <v>6983</v>
      </c>
      <c r="B184" s="3" t="s">
        <v>6990</v>
      </c>
      <c r="C184" s="3" t="s">
        <v>6985</v>
      </c>
      <c r="D184" s="3" t="s">
        <v>1138</v>
      </c>
      <c r="E184" s="3">
        <v>183</v>
      </c>
      <c r="F184" s="3" t="s">
        <v>6130</v>
      </c>
      <c r="G184" s="3" t="s">
        <v>1093</v>
      </c>
      <c r="H184" s="4" t="str">
        <f t="shared" si="4"/>
        <v>Output Quarters Loads Ttl TCG from 3rd party Herbert-ABS system.</v>
      </c>
    </row>
    <row r="185" spans="1:8" x14ac:dyDescent="0.25">
      <c r="A185" s="3" t="s">
        <v>6983</v>
      </c>
      <c r="B185" s="3" t="s">
        <v>6990</v>
      </c>
      <c r="C185" s="3" t="s">
        <v>6985</v>
      </c>
      <c r="D185" s="3" t="s">
        <v>1138</v>
      </c>
      <c r="E185" s="3">
        <v>184</v>
      </c>
      <c r="F185" s="3" t="s">
        <v>6131</v>
      </c>
      <c r="G185" s="3" t="s">
        <v>1093</v>
      </c>
      <c r="H185" s="4" t="str">
        <f t="shared" si="4"/>
        <v>Output Quarters Loads Ttl VCG from 3rd party Herbert-ABS system.</v>
      </c>
    </row>
    <row r="186" spans="1:8" x14ac:dyDescent="0.25">
      <c r="A186" s="3" t="s">
        <v>6983</v>
      </c>
      <c r="B186" s="3" t="s">
        <v>6990</v>
      </c>
      <c r="C186" s="3" t="s">
        <v>6985</v>
      </c>
      <c r="D186" s="3" t="s">
        <v>1138</v>
      </c>
      <c r="E186" s="3">
        <v>185</v>
      </c>
      <c r="F186" s="3" t="s">
        <v>6132</v>
      </c>
      <c r="G186" s="3" t="s">
        <v>1100</v>
      </c>
      <c r="H186" s="4" t="str">
        <f t="shared" si="4"/>
        <v>Output Quarters Loads Ttl Wt Hi from 3rd party Herbert-ABS system.</v>
      </c>
    </row>
    <row r="187" spans="1:8" x14ac:dyDescent="0.25">
      <c r="A187" s="3" t="s">
        <v>6983</v>
      </c>
      <c r="B187" s="3" t="s">
        <v>6990</v>
      </c>
      <c r="C187" s="3" t="s">
        <v>6985</v>
      </c>
      <c r="D187" s="3" t="s">
        <v>1138</v>
      </c>
      <c r="E187" s="3">
        <v>186</v>
      </c>
      <c r="F187" s="3" t="s">
        <v>6133</v>
      </c>
      <c r="G187" s="3" t="s">
        <v>1100</v>
      </c>
      <c r="H187" s="4" t="str">
        <f t="shared" si="4"/>
        <v>Output Quarters Loads Ttl Wt Lo from 3rd party Herbert-ABS system.</v>
      </c>
    </row>
    <row r="188" spans="1:8" x14ac:dyDescent="0.25">
      <c r="A188" s="3" t="s">
        <v>6983</v>
      </c>
      <c r="B188" s="3" t="s">
        <v>6990</v>
      </c>
      <c r="C188" s="3" t="s">
        <v>6985</v>
      </c>
      <c r="D188" s="3" t="s">
        <v>1138</v>
      </c>
      <c r="E188" s="3">
        <v>187</v>
      </c>
      <c r="F188" s="3" t="s">
        <v>1669</v>
      </c>
      <c r="G188" s="3" t="s">
        <v>1093</v>
      </c>
      <c r="H188" s="4" t="str">
        <f t="shared" si="4"/>
        <v>Output Rig Location EW from 3rd party Herbert-ABS system.</v>
      </c>
    </row>
    <row r="189" spans="1:8" x14ac:dyDescent="0.25">
      <c r="A189" s="3" t="s">
        <v>6983</v>
      </c>
      <c r="B189" s="3" t="s">
        <v>6990</v>
      </c>
      <c r="C189" s="3" t="s">
        <v>6985</v>
      </c>
      <c r="D189" s="3" t="s">
        <v>1138</v>
      </c>
      <c r="E189" s="3">
        <v>188</v>
      </c>
      <c r="F189" s="3" t="s">
        <v>1701</v>
      </c>
      <c r="G189" s="3" t="s">
        <v>16</v>
      </c>
      <c r="H189" s="4" t="str">
        <f t="shared" si="4"/>
        <v>Output Rig Location Index from 3rd party Herbert-ABS system.</v>
      </c>
    </row>
    <row r="190" spans="1:8" x14ac:dyDescent="0.25">
      <c r="A190" s="3" t="s">
        <v>6983</v>
      </c>
      <c r="B190" s="3" t="s">
        <v>6990</v>
      </c>
      <c r="C190" s="3" t="s">
        <v>6985</v>
      </c>
      <c r="D190" s="3" t="s">
        <v>1138</v>
      </c>
      <c r="E190" s="3">
        <v>189</v>
      </c>
      <c r="F190" s="3" t="s">
        <v>1670</v>
      </c>
      <c r="G190" s="3" t="s">
        <v>1093</v>
      </c>
      <c r="H190" s="4" t="str">
        <f t="shared" si="4"/>
        <v>Output Rig Location NS from 3rd party Herbert-ABS system.</v>
      </c>
    </row>
    <row r="191" spans="1:8" x14ac:dyDescent="0.25">
      <c r="A191" s="3" t="s">
        <v>6983</v>
      </c>
      <c r="B191" s="3" t="s">
        <v>6990</v>
      </c>
      <c r="C191" s="3" t="s">
        <v>6985</v>
      </c>
      <c r="D191" s="3" t="s">
        <v>1138</v>
      </c>
      <c r="E191" s="3">
        <v>190</v>
      </c>
      <c r="F191" s="3" t="s">
        <v>6134</v>
      </c>
      <c r="G191" s="3" t="s">
        <v>1093</v>
      </c>
      <c r="H191" s="4" t="str">
        <f t="shared" si="4"/>
        <v>Output SCRS Ttl LCG from 3rd party Herbert-ABS system.</v>
      </c>
    </row>
    <row r="192" spans="1:8" x14ac:dyDescent="0.25">
      <c r="A192" s="3" t="s">
        <v>6983</v>
      </c>
      <c r="B192" s="3" t="s">
        <v>6990</v>
      </c>
      <c r="C192" s="3" t="s">
        <v>6985</v>
      </c>
      <c r="D192" s="3" t="s">
        <v>1138</v>
      </c>
      <c r="E192" s="3">
        <v>191</v>
      </c>
      <c r="F192" s="3" t="s">
        <v>6135</v>
      </c>
      <c r="G192" s="3" t="s">
        <v>1093</v>
      </c>
      <c r="H192" s="4" t="str">
        <f t="shared" si="4"/>
        <v>Output SCRS Ttl TCG from 3rd party Herbert-ABS system.</v>
      </c>
    </row>
    <row r="193" spans="1:8" x14ac:dyDescent="0.25">
      <c r="A193" s="3" t="s">
        <v>6983</v>
      </c>
      <c r="B193" s="3" t="s">
        <v>6990</v>
      </c>
      <c r="C193" s="3" t="s">
        <v>6985</v>
      </c>
      <c r="D193" s="3" t="s">
        <v>1138</v>
      </c>
      <c r="E193" s="3">
        <v>192</v>
      </c>
      <c r="F193" s="3" t="s">
        <v>6136</v>
      </c>
      <c r="G193" s="3" t="s">
        <v>1093</v>
      </c>
      <c r="H193" s="4" t="str">
        <f t="shared" si="4"/>
        <v>Output SCRS Ttl VCG from 3rd party Herbert-ABS system.</v>
      </c>
    </row>
    <row r="194" spans="1:8" x14ac:dyDescent="0.25">
      <c r="A194" s="3" t="s">
        <v>6983</v>
      </c>
      <c r="B194" s="3" t="s">
        <v>6990</v>
      </c>
      <c r="C194" s="3" t="s">
        <v>6985</v>
      </c>
      <c r="D194" s="3" t="s">
        <v>1138</v>
      </c>
      <c r="E194" s="3">
        <v>193</v>
      </c>
      <c r="F194" s="3" t="s">
        <v>6137</v>
      </c>
      <c r="G194" s="3" t="s">
        <v>1100</v>
      </c>
      <c r="H194" s="4" t="str">
        <f t="shared" si="4"/>
        <v>Output SCRS Ttl Wt Hi from 3rd party Herbert-ABS system.</v>
      </c>
    </row>
    <row r="195" spans="1:8" x14ac:dyDescent="0.25">
      <c r="A195" s="3" t="s">
        <v>6983</v>
      </c>
      <c r="B195" s="3" t="s">
        <v>6990</v>
      </c>
      <c r="C195" s="3" t="s">
        <v>6985</v>
      </c>
      <c r="D195" s="3" t="s">
        <v>1138</v>
      </c>
      <c r="E195" s="3">
        <v>194</v>
      </c>
      <c r="F195" s="3" t="s">
        <v>6138</v>
      </c>
      <c r="G195" s="3" t="s">
        <v>1100</v>
      </c>
      <c r="H195" s="4" t="str">
        <f t="shared" si="4"/>
        <v>Output SCRS Ttl Wt Lo from 3rd party Herbert-ABS system.</v>
      </c>
    </row>
    <row r="196" spans="1:8" x14ac:dyDescent="0.25">
      <c r="A196" s="3" t="s">
        <v>6983</v>
      </c>
      <c r="B196" s="3" t="s">
        <v>6990</v>
      </c>
      <c r="C196" s="3" t="s">
        <v>6985</v>
      </c>
      <c r="D196" s="3" t="s">
        <v>1138</v>
      </c>
      <c r="E196" s="3">
        <v>195</v>
      </c>
      <c r="F196" s="3" t="s">
        <v>6139</v>
      </c>
      <c r="G196" s="3" t="s">
        <v>1100</v>
      </c>
      <c r="H196" s="4" t="str">
        <f t="shared" si="4"/>
        <v>Output Target Tendon Tension 1 from 3rd party Herbert-ABS system.</v>
      </c>
    </row>
    <row r="197" spans="1:8" x14ac:dyDescent="0.25">
      <c r="A197" s="3" t="s">
        <v>6983</v>
      </c>
      <c r="B197" s="3" t="s">
        <v>6990</v>
      </c>
      <c r="C197" s="3" t="s">
        <v>6985</v>
      </c>
      <c r="D197" s="3" t="s">
        <v>1138</v>
      </c>
      <c r="E197" s="3">
        <v>196</v>
      </c>
      <c r="F197" s="3" t="s">
        <v>6140</v>
      </c>
      <c r="G197" s="3" t="s">
        <v>1100</v>
      </c>
      <c r="H197" s="4" t="str">
        <f t="shared" si="4"/>
        <v>Output Target Tendon Tension 10 from 3rd party Herbert-ABS system.</v>
      </c>
    </row>
    <row r="198" spans="1:8" x14ac:dyDescent="0.25">
      <c r="A198" s="3" t="s">
        <v>6983</v>
      </c>
      <c r="B198" s="3" t="s">
        <v>6990</v>
      </c>
      <c r="C198" s="3" t="s">
        <v>6985</v>
      </c>
      <c r="D198" s="3" t="s">
        <v>1138</v>
      </c>
      <c r="E198" s="3">
        <v>197</v>
      </c>
      <c r="F198" s="3" t="s">
        <v>6141</v>
      </c>
      <c r="G198" s="3" t="s">
        <v>1100</v>
      </c>
      <c r="H198" s="4" t="str">
        <f t="shared" si="4"/>
        <v>Output Target Tendon Tension 11 from 3rd party Herbert-ABS system.</v>
      </c>
    </row>
    <row r="199" spans="1:8" x14ac:dyDescent="0.25">
      <c r="A199" s="3" t="s">
        <v>6983</v>
      </c>
      <c r="B199" s="3" t="s">
        <v>6990</v>
      </c>
      <c r="C199" s="3" t="s">
        <v>6985</v>
      </c>
      <c r="D199" s="3" t="s">
        <v>1138</v>
      </c>
      <c r="E199" s="3">
        <v>198</v>
      </c>
      <c r="F199" s="3" t="s">
        <v>6142</v>
      </c>
      <c r="G199" s="3" t="s">
        <v>1100</v>
      </c>
      <c r="H199" s="4" t="str">
        <f t="shared" si="4"/>
        <v>Output Target Tendon Tension 12 from 3rd party Herbert-ABS system.</v>
      </c>
    </row>
    <row r="200" spans="1:8" x14ac:dyDescent="0.25">
      <c r="A200" s="3" t="s">
        <v>6983</v>
      </c>
      <c r="B200" s="3" t="s">
        <v>6990</v>
      </c>
      <c r="C200" s="3" t="s">
        <v>6985</v>
      </c>
      <c r="D200" s="3" t="s">
        <v>1138</v>
      </c>
      <c r="E200" s="3">
        <v>199</v>
      </c>
      <c r="F200" s="3" t="s">
        <v>6143</v>
      </c>
      <c r="G200" s="3" t="s">
        <v>1100</v>
      </c>
      <c r="H200" s="4" t="str">
        <f t="shared" si="4"/>
        <v>Output Target Tendon Tension 13 from 3rd party Herbert-ABS system.</v>
      </c>
    </row>
    <row r="201" spans="1:8" x14ac:dyDescent="0.25">
      <c r="A201" s="3" t="s">
        <v>6983</v>
      </c>
      <c r="B201" s="3" t="s">
        <v>6990</v>
      </c>
      <c r="C201" s="3" t="s">
        <v>6985</v>
      </c>
      <c r="D201" s="3" t="s">
        <v>1138</v>
      </c>
      <c r="E201" s="3">
        <v>200</v>
      </c>
      <c r="F201" s="3" t="s">
        <v>6144</v>
      </c>
      <c r="G201" s="3" t="s">
        <v>1100</v>
      </c>
      <c r="H201" s="4" t="str">
        <f t="shared" si="4"/>
        <v>Output Target Tendon Tension 14 from 3rd party Herbert-ABS system.</v>
      </c>
    </row>
    <row r="202" spans="1:8" x14ac:dyDescent="0.25">
      <c r="A202" s="3" t="s">
        <v>6983</v>
      </c>
      <c r="B202" s="3" t="s">
        <v>6990</v>
      </c>
      <c r="C202" s="3" t="s">
        <v>6985</v>
      </c>
      <c r="D202" s="3" t="s">
        <v>1138</v>
      </c>
      <c r="E202" s="3">
        <v>201</v>
      </c>
      <c r="F202" s="3" t="s">
        <v>6145</v>
      </c>
      <c r="G202" s="3" t="s">
        <v>1100</v>
      </c>
      <c r="H202" s="4" t="str">
        <f t="shared" si="4"/>
        <v>Output Target Tendon Tension 15 from 3rd party Herbert-ABS system.</v>
      </c>
    </row>
    <row r="203" spans="1:8" x14ac:dyDescent="0.25">
      <c r="A203" s="3" t="s">
        <v>6983</v>
      </c>
      <c r="B203" s="3" t="s">
        <v>6990</v>
      </c>
      <c r="C203" s="3" t="s">
        <v>6985</v>
      </c>
      <c r="D203" s="3" t="s">
        <v>1138</v>
      </c>
      <c r="E203" s="3">
        <v>202</v>
      </c>
      <c r="F203" s="3" t="s">
        <v>6146</v>
      </c>
      <c r="G203" s="3" t="s">
        <v>1100</v>
      </c>
      <c r="H203" s="4" t="str">
        <f t="shared" si="4"/>
        <v>Output Target Tendon Tension 16 from 3rd party Herbert-ABS system.</v>
      </c>
    </row>
    <row r="204" spans="1:8" x14ac:dyDescent="0.25">
      <c r="A204" s="3" t="s">
        <v>6983</v>
      </c>
      <c r="B204" s="3" t="s">
        <v>6990</v>
      </c>
      <c r="C204" s="3" t="s">
        <v>6985</v>
      </c>
      <c r="D204" s="3" t="s">
        <v>1138</v>
      </c>
      <c r="E204" s="3">
        <v>203</v>
      </c>
      <c r="F204" s="3" t="s">
        <v>6147</v>
      </c>
      <c r="G204" s="3" t="s">
        <v>1100</v>
      </c>
      <c r="H204" s="4" t="str">
        <f t="shared" si="4"/>
        <v>Output Target Tendon Tension 2 from 3rd party Herbert-ABS system.</v>
      </c>
    </row>
    <row r="205" spans="1:8" x14ac:dyDescent="0.25">
      <c r="A205" s="3" t="s">
        <v>6983</v>
      </c>
      <c r="B205" s="3" t="s">
        <v>6990</v>
      </c>
      <c r="C205" s="3" t="s">
        <v>6985</v>
      </c>
      <c r="D205" s="3" t="s">
        <v>1138</v>
      </c>
      <c r="E205" s="3">
        <v>204</v>
      </c>
      <c r="F205" s="3" t="s">
        <v>6148</v>
      </c>
      <c r="G205" s="3" t="s">
        <v>1100</v>
      </c>
      <c r="H205" s="4" t="str">
        <f t="shared" si="4"/>
        <v>Output Target Tendon Tension 3 from 3rd party Herbert-ABS system.</v>
      </c>
    </row>
    <row r="206" spans="1:8" x14ac:dyDescent="0.25">
      <c r="A206" s="3" t="s">
        <v>6983</v>
      </c>
      <c r="B206" s="3" t="s">
        <v>6990</v>
      </c>
      <c r="C206" s="3" t="s">
        <v>6985</v>
      </c>
      <c r="D206" s="3" t="s">
        <v>1138</v>
      </c>
      <c r="E206" s="3">
        <v>205</v>
      </c>
      <c r="F206" s="3" t="s">
        <v>6149</v>
      </c>
      <c r="G206" s="3" t="s">
        <v>1100</v>
      </c>
      <c r="H206" s="4" t="str">
        <f t="shared" si="4"/>
        <v>Output Target Tendon Tension 4 from 3rd party Herbert-ABS system.</v>
      </c>
    </row>
    <row r="207" spans="1:8" x14ac:dyDescent="0.25">
      <c r="A207" s="3" t="s">
        <v>6983</v>
      </c>
      <c r="B207" s="3" t="s">
        <v>6990</v>
      </c>
      <c r="C207" s="3" t="s">
        <v>6985</v>
      </c>
      <c r="D207" s="3" t="s">
        <v>1138</v>
      </c>
      <c r="E207" s="3">
        <v>206</v>
      </c>
      <c r="F207" s="3" t="s">
        <v>6150</v>
      </c>
      <c r="G207" s="3" t="s">
        <v>1100</v>
      </c>
      <c r="H207" s="4" t="str">
        <f t="shared" si="4"/>
        <v>Output Target Tendon Tension 5 from 3rd party Herbert-ABS system.</v>
      </c>
    </row>
    <row r="208" spans="1:8" x14ac:dyDescent="0.25">
      <c r="A208" s="3" t="s">
        <v>6983</v>
      </c>
      <c r="B208" s="3" t="s">
        <v>6990</v>
      </c>
      <c r="C208" s="3" t="s">
        <v>6985</v>
      </c>
      <c r="D208" s="3" t="s">
        <v>1138</v>
      </c>
      <c r="E208" s="3">
        <v>207</v>
      </c>
      <c r="F208" s="3" t="s">
        <v>6151</v>
      </c>
      <c r="G208" s="3" t="s">
        <v>1100</v>
      </c>
      <c r="H208" s="4" t="str">
        <f t="shared" si="4"/>
        <v>Output Target Tendon Tension 6 from 3rd party Herbert-ABS system.</v>
      </c>
    </row>
    <row r="209" spans="1:8" x14ac:dyDescent="0.25">
      <c r="A209" s="3" t="s">
        <v>6983</v>
      </c>
      <c r="B209" s="3" t="s">
        <v>6990</v>
      </c>
      <c r="C209" s="3" t="s">
        <v>6985</v>
      </c>
      <c r="D209" s="3" t="s">
        <v>1138</v>
      </c>
      <c r="E209" s="3">
        <v>208</v>
      </c>
      <c r="F209" s="3" t="s">
        <v>6152</v>
      </c>
      <c r="G209" s="3" t="s">
        <v>1100</v>
      </c>
      <c r="H209" s="4" t="str">
        <f t="shared" si="4"/>
        <v>Output Target Tendon Tension 7 from 3rd party Herbert-ABS system.</v>
      </c>
    </row>
    <row r="210" spans="1:8" x14ac:dyDescent="0.25">
      <c r="A210" s="3" t="s">
        <v>6983</v>
      </c>
      <c r="B210" s="3" t="s">
        <v>6990</v>
      </c>
      <c r="C210" s="3" t="s">
        <v>6985</v>
      </c>
      <c r="D210" s="3" t="s">
        <v>1138</v>
      </c>
      <c r="E210" s="3">
        <v>209</v>
      </c>
      <c r="F210" s="3" t="s">
        <v>6153</v>
      </c>
      <c r="G210" s="3" t="s">
        <v>1100</v>
      </c>
      <c r="H210" s="4" t="str">
        <f t="shared" si="4"/>
        <v>Output Target Tendon Tension 8 from 3rd party Herbert-ABS system.</v>
      </c>
    </row>
    <row r="211" spans="1:8" x14ac:dyDescent="0.25">
      <c r="A211" s="3" t="s">
        <v>6983</v>
      </c>
      <c r="B211" s="3" t="s">
        <v>6990</v>
      </c>
      <c r="C211" s="3" t="s">
        <v>6985</v>
      </c>
      <c r="D211" s="3" t="s">
        <v>1138</v>
      </c>
      <c r="E211" s="3">
        <v>210</v>
      </c>
      <c r="F211" s="3" t="s">
        <v>6154</v>
      </c>
      <c r="G211" s="3" t="s">
        <v>1100</v>
      </c>
      <c r="H211" s="4" t="str">
        <f t="shared" si="4"/>
        <v>Output Target Tendon Tension 9 from 3rd party Herbert-ABS system.</v>
      </c>
    </row>
    <row r="212" spans="1:8" x14ac:dyDescent="0.25">
      <c r="A212" s="3" t="s">
        <v>6983</v>
      </c>
      <c r="B212" s="3" t="s">
        <v>6990</v>
      </c>
      <c r="C212" s="3" t="s">
        <v>6985</v>
      </c>
      <c r="D212" s="3" t="s">
        <v>1138</v>
      </c>
      <c r="E212" s="3">
        <v>211</v>
      </c>
      <c r="F212" s="3" t="s">
        <v>6155</v>
      </c>
      <c r="G212" s="3" t="s">
        <v>1093</v>
      </c>
      <c r="H212" s="4" t="str">
        <f t="shared" si="4"/>
        <v>Output Tendons Ttl LCG from 3rd party Herbert-ABS system.</v>
      </c>
    </row>
    <row r="213" spans="1:8" x14ac:dyDescent="0.25">
      <c r="A213" s="3" t="s">
        <v>6983</v>
      </c>
      <c r="B213" s="3" t="s">
        <v>6990</v>
      </c>
      <c r="C213" s="3" t="s">
        <v>6985</v>
      </c>
      <c r="D213" s="3" t="s">
        <v>1138</v>
      </c>
      <c r="E213" s="3">
        <v>212</v>
      </c>
      <c r="F213" s="3" t="s">
        <v>6156</v>
      </c>
      <c r="G213" s="3" t="s">
        <v>1093</v>
      </c>
      <c r="H213" s="4" t="str">
        <f t="shared" si="4"/>
        <v>Output Tendons Ttl TCG from 3rd party Herbert-ABS system.</v>
      </c>
    </row>
    <row r="214" spans="1:8" x14ac:dyDescent="0.25">
      <c r="A214" s="3" t="s">
        <v>6983</v>
      </c>
      <c r="B214" s="3" t="s">
        <v>6990</v>
      </c>
      <c r="C214" s="3" t="s">
        <v>6985</v>
      </c>
      <c r="D214" s="3" t="s">
        <v>1138</v>
      </c>
      <c r="E214" s="3">
        <v>213</v>
      </c>
      <c r="F214" s="3" t="s">
        <v>6157</v>
      </c>
      <c r="G214" s="3" t="s">
        <v>1093</v>
      </c>
      <c r="H214" s="4" t="str">
        <f t="shared" si="4"/>
        <v>Output Tendons Ttl VCG from 3rd party Herbert-ABS system.</v>
      </c>
    </row>
    <row r="215" spans="1:8" x14ac:dyDescent="0.25">
      <c r="A215" s="3" t="s">
        <v>6983</v>
      </c>
      <c r="B215" s="3" t="s">
        <v>6990</v>
      </c>
      <c r="C215" s="3" t="s">
        <v>6985</v>
      </c>
      <c r="D215" s="3" t="s">
        <v>1138</v>
      </c>
      <c r="E215" s="3">
        <v>214</v>
      </c>
      <c r="F215" s="3" t="s">
        <v>6158</v>
      </c>
      <c r="G215" s="3" t="s">
        <v>1093</v>
      </c>
      <c r="H215" s="4" t="str">
        <f t="shared" si="4"/>
        <v>Output Ttl Platform KG from 3rd party Herbert-ABS system.</v>
      </c>
    </row>
    <row r="216" spans="1:8" x14ac:dyDescent="0.25">
      <c r="A216" s="3" t="s">
        <v>6983</v>
      </c>
      <c r="B216" s="3" t="s">
        <v>6990</v>
      </c>
      <c r="C216" s="3" t="s">
        <v>6985</v>
      </c>
      <c r="D216" s="3" t="s">
        <v>1138</v>
      </c>
      <c r="E216" s="3">
        <v>215</v>
      </c>
      <c r="F216" s="3" t="s">
        <v>6159</v>
      </c>
      <c r="G216" s="3" t="s">
        <v>1093</v>
      </c>
      <c r="H216" s="4" t="str">
        <f t="shared" si="4"/>
        <v>Output TTRS Ttl LCG from 3rd party Herbert-ABS system.</v>
      </c>
    </row>
    <row r="217" spans="1:8" x14ac:dyDescent="0.25">
      <c r="A217" s="3" t="s">
        <v>6983</v>
      </c>
      <c r="B217" s="3" t="s">
        <v>6990</v>
      </c>
      <c r="C217" s="3" t="s">
        <v>6985</v>
      </c>
      <c r="D217" s="3" t="s">
        <v>1138</v>
      </c>
      <c r="E217" s="3">
        <v>216</v>
      </c>
      <c r="F217" s="3" t="s">
        <v>6160</v>
      </c>
      <c r="G217" s="3" t="s">
        <v>1093</v>
      </c>
      <c r="H217" s="4" t="str">
        <f t="shared" si="4"/>
        <v>Output TTRS Ttl TCG from 3rd party Herbert-ABS system.</v>
      </c>
    </row>
    <row r="218" spans="1:8" x14ac:dyDescent="0.25">
      <c r="A218" s="3" t="s">
        <v>6983</v>
      </c>
      <c r="B218" s="3" t="s">
        <v>6990</v>
      </c>
      <c r="C218" s="3" t="s">
        <v>6985</v>
      </c>
      <c r="D218" s="3" t="s">
        <v>1138</v>
      </c>
      <c r="E218" s="3">
        <v>217</v>
      </c>
      <c r="F218" s="3" t="s">
        <v>6161</v>
      </c>
      <c r="G218" s="3" t="s">
        <v>1093</v>
      </c>
      <c r="H218" s="4" t="str">
        <f t="shared" si="4"/>
        <v>Output TTRS Ttl VCG from 3rd party Herbert-ABS system.</v>
      </c>
    </row>
    <row r="219" spans="1:8" x14ac:dyDescent="0.25">
      <c r="A219" s="3" t="s">
        <v>6983</v>
      </c>
      <c r="B219" s="3" t="s">
        <v>6990</v>
      </c>
      <c r="C219" s="3" t="s">
        <v>6985</v>
      </c>
      <c r="D219" s="3" t="s">
        <v>1138</v>
      </c>
      <c r="E219" s="3">
        <v>218</v>
      </c>
      <c r="F219" s="3" t="s">
        <v>6162</v>
      </c>
      <c r="G219" s="3" t="s">
        <v>1100</v>
      </c>
      <c r="H219" s="4" t="str">
        <f t="shared" si="4"/>
        <v>Output TTRS Ttl Wt HI from 3rd party Herbert-ABS system.</v>
      </c>
    </row>
    <row r="220" spans="1:8" x14ac:dyDescent="0.25">
      <c r="A220" s="3" t="s">
        <v>6983</v>
      </c>
      <c r="B220" s="3" t="s">
        <v>6990</v>
      </c>
      <c r="C220" s="3" t="s">
        <v>6985</v>
      </c>
      <c r="D220" s="3" t="s">
        <v>1138</v>
      </c>
      <c r="E220" s="3">
        <v>219</v>
      </c>
      <c r="F220" s="3" t="s">
        <v>6163</v>
      </c>
      <c r="G220" s="3" t="s">
        <v>1100</v>
      </c>
      <c r="H220" s="4" t="str">
        <f t="shared" si="4"/>
        <v>Output TTRS Ttl Wt Lo from 3rd party Herbert-ABS system.</v>
      </c>
    </row>
    <row r="221" spans="1:8" x14ac:dyDescent="0.25">
      <c r="A221" s="3" t="s">
        <v>6983</v>
      </c>
      <c r="B221" s="3" t="s">
        <v>6990</v>
      </c>
      <c r="C221" s="3" t="s">
        <v>6985</v>
      </c>
      <c r="D221" s="3" t="s">
        <v>1138</v>
      </c>
      <c r="E221" s="3">
        <v>220</v>
      </c>
      <c r="F221" s="3" t="s">
        <v>6164</v>
      </c>
      <c r="G221" s="3" t="s">
        <v>1093</v>
      </c>
      <c r="H221" s="4" t="str">
        <f t="shared" si="4"/>
        <v>Output Upper Deck Loads Ttl LCG from 3rd party Herbert-ABS system.</v>
      </c>
    </row>
    <row r="222" spans="1:8" x14ac:dyDescent="0.25">
      <c r="A222" s="3" t="s">
        <v>6983</v>
      </c>
      <c r="B222" s="3" t="s">
        <v>6990</v>
      </c>
      <c r="C222" s="3" t="s">
        <v>6985</v>
      </c>
      <c r="D222" s="3" t="s">
        <v>1138</v>
      </c>
      <c r="E222" s="3">
        <v>221</v>
      </c>
      <c r="F222" s="3" t="s">
        <v>6165</v>
      </c>
      <c r="G222" s="3" t="s">
        <v>1093</v>
      </c>
      <c r="H222" s="4" t="str">
        <f t="shared" si="4"/>
        <v>Output Upper Deck Loads Ttl TCG from 3rd party Herbert-ABS system.</v>
      </c>
    </row>
    <row r="223" spans="1:8" x14ac:dyDescent="0.25">
      <c r="A223" s="3" t="s">
        <v>6983</v>
      </c>
      <c r="B223" s="3" t="s">
        <v>6990</v>
      </c>
      <c r="C223" s="3" t="s">
        <v>6985</v>
      </c>
      <c r="D223" s="3" t="s">
        <v>1138</v>
      </c>
      <c r="E223" s="3">
        <v>222</v>
      </c>
      <c r="F223" s="3" t="s">
        <v>6166</v>
      </c>
      <c r="G223" s="3" t="s">
        <v>1093</v>
      </c>
      <c r="H223" s="4" t="str">
        <f t="shared" si="4"/>
        <v>Output Upper Deck Loads Ttl VCG from 3rd party Herbert-ABS system.</v>
      </c>
    </row>
    <row r="224" spans="1:8" x14ac:dyDescent="0.25">
      <c r="A224" s="3" t="s">
        <v>6983</v>
      </c>
      <c r="B224" s="3" t="s">
        <v>6990</v>
      </c>
      <c r="C224" s="3" t="s">
        <v>6985</v>
      </c>
      <c r="D224" s="3" t="s">
        <v>1138</v>
      </c>
      <c r="E224" s="3">
        <v>223</v>
      </c>
      <c r="F224" s="3" t="s">
        <v>6167</v>
      </c>
      <c r="G224" s="3" t="s">
        <v>1100</v>
      </c>
      <c r="H224" s="4" t="str">
        <f t="shared" si="4"/>
        <v>Output Upper Deck Loads Ttl Wt Hi from 3rd party Herbert-ABS system.</v>
      </c>
    </row>
    <row r="225" spans="1:8" x14ac:dyDescent="0.25">
      <c r="A225" s="3" t="s">
        <v>6983</v>
      </c>
      <c r="B225" s="3" t="s">
        <v>6990</v>
      </c>
      <c r="C225" s="3" t="s">
        <v>6985</v>
      </c>
      <c r="D225" s="3" t="s">
        <v>1138</v>
      </c>
      <c r="E225" s="3">
        <v>224</v>
      </c>
      <c r="F225" s="3" t="s">
        <v>6168</v>
      </c>
      <c r="G225" s="3" t="s">
        <v>1100</v>
      </c>
      <c r="H225" s="4" t="str">
        <f t="shared" si="4"/>
        <v>Output Upper Deck Loads Ttl Wt Lo from 3rd party Herbert-ABS system.</v>
      </c>
    </row>
    <row r="226" spans="1:8" x14ac:dyDescent="0.25">
      <c r="A226" s="3" t="s">
        <v>6983</v>
      </c>
      <c r="B226" s="3" t="s">
        <v>6990</v>
      </c>
      <c r="C226" s="3" t="s">
        <v>6985</v>
      </c>
      <c r="D226" s="3" t="s">
        <v>1138</v>
      </c>
      <c r="E226" s="3">
        <v>225</v>
      </c>
      <c r="F226" s="3" t="s">
        <v>1633</v>
      </c>
      <c r="G226" s="3" t="s">
        <v>16</v>
      </c>
      <c r="H226" s="3" t="s">
        <v>6967</v>
      </c>
    </row>
    <row r="227" spans="1:8" x14ac:dyDescent="0.25">
      <c r="A227" s="3" t="s">
        <v>6983</v>
      </c>
      <c r="B227" s="3" t="s">
        <v>6990</v>
      </c>
      <c r="C227" s="3" t="s">
        <v>6985</v>
      </c>
      <c r="D227" s="3" t="s">
        <v>1115</v>
      </c>
      <c r="E227" s="3">
        <v>226</v>
      </c>
      <c r="F227" s="3" t="s">
        <v>87</v>
      </c>
      <c r="G227" s="3" t="s">
        <v>1093</v>
      </c>
      <c r="H227" s="3" t="s">
        <v>6816</v>
      </c>
    </row>
    <row r="228" spans="1:8" x14ac:dyDescent="0.25">
      <c r="A228" s="3" t="s">
        <v>6983</v>
      </c>
      <c r="B228" s="3" t="s">
        <v>6990</v>
      </c>
      <c r="C228" s="3" t="s">
        <v>6985</v>
      </c>
      <c r="D228" s="3" t="s">
        <v>1115</v>
      </c>
      <c r="E228" s="3">
        <v>227</v>
      </c>
      <c r="F228" s="3" t="s">
        <v>88</v>
      </c>
      <c r="G228" s="3" t="s">
        <v>1093</v>
      </c>
      <c r="H228" s="3" t="s">
        <v>6820</v>
      </c>
    </row>
    <row r="229" spans="1:8" x14ac:dyDescent="0.25">
      <c r="A229" s="3" t="s">
        <v>6983</v>
      </c>
      <c r="B229" s="3" t="s">
        <v>6990</v>
      </c>
      <c r="C229" s="3" t="s">
        <v>6985</v>
      </c>
      <c r="D229" s="3" t="s">
        <v>1115</v>
      </c>
      <c r="E229" s="3">
        <v>228</v>
      </c>
      <c r="F229" s="3" t="s">
        <v>89</v>
      </c>
      <c r="G229" s="3" t="s">
        <v>1093</v>
      </c>
      <c r="H229" s="3" t="s">
        <v>6821</v>
      </c>
    </row>
    <row r="230" spans="1:8" x14ac:dyDescent="0.25">
      <c r="A230" s="3" t="s">
        <v>6983</v>
      </c>
      <c r="B230" s="3" t="s">
        <v>6990</v>
      </c>
      <c r="C230" s="3" t="s">
        <v>6985</v>
      </c>
      <c r="D230" s="3" t="s">
        <v>1115</v>
      </c>
      <c r="E230" s="3">
        <v>229</v>
      </c>
      <c r="F230" s="3" t="s">
        <v>90</v>
      </c>
      <c r="G230" s="3" t="s">
        <v>1093</v>
      </c>
      <c r="H230" s="3" t="s">
        <v>6822</v>
      </c>
    </row>
    <row r="231" spans="1:8" x14ac:dyDescent="0.25">
      <c r="A231" s="3" t="s">
        <v>6983</v>
      </c>
      <c r="B231" s="3" t="s">
        <v>6990</v>
      </c>
      <c r="C231" s="3" t="s">
        <v>6985</v>
      </c>
      <c r="D231" s="3" t="s">
        <v>6302</v>
      </c>
      <c r="E231" s="3">
        <v>230</v>
      </c>
      <c r="F231" s="3" t="s">
        <v>608</v>
      </c>
      <c r="G231" s="3" t="s">
        <v>1093</v>
      </c>
      <c r="H231" s="3" t="s">
        <v>40</v>
      </c>
    </row>
    <row r="232" spans="1:8" x14ac:dyDescent="0.25">
      <c r="A232" s="3" t="s">
        <v>6983</v>
      </c>
      <c r="B232" s="3" t="s">
        <v>6990</v>
      </c>
      <c r="C232" s="3" t="s">
        <v>6985</v>
      </c>
      <c r="D232" s="3" t="s">
        <v>6302</v>
      </c>
      <c r="E232" s="3">
        <v>231</v>
      </c>
      <c r="F232" s="3" t="s">
        <v>609</v>
      </c>
      <c r="G232" s="3" t="s">
        <v>1093</v>
      </c>
      <c r="H232" s="3" t="s">
        <v>41</v>
      </c>
    </row>
    <row r="233" spans="1:8" x14ac:dyDescent="0.25">
      <c r="A233" s="3" t="s">
        <v>6983</v>
      </c>
      <c r="B233" s="3" t="s">
        <v>6990</v>
      </c>
      <c r="C233" s="3" t="s">
        <v>6985</v>
      </c>
      <c r="D233" s="3" t="s">
        <v>6302</v>
      </c>
      <c r="E233" s="3">
        <v>232</v>
      </c>
      <c r="F233" s="3" t="s">
        <v>610</v>
      </c>
      <c r="G233" s="3" t="s">
        <v>17</v>
      </c>
      <c r="H233" s="4" t="s">
        <v>6614</v>
      </c>
    </row>
    <row r="234" spans="1:8" x14ac:dyDescent="0.25">
      <c r="A234" s="3" t="s">
        <v>6983</v>
      </c>
      <c r="B234" s="3" t="s">
        <v>6990</v>
      </c>
      <c r="C234" s="3" t="s">
        <v>6985</v>
      </c>
      <c r="D234" s="3" t="s">
        <v>6302</v>
      </c>
      <c r="E234" s="3">
        <v>233</v>
      </c>
      <c r="F234" s="3" t="s">
        <v>611</v>
      </c>
      <c r="G234" s="3" t="s">
        <v>4</v>
      </c>
      <c r="H234" s="3" t="s">
        <v>7008</v>
      </c>
    </row>
    <row r="235" spans="1:8" x14ac:dyDescent="0.25">
      <c r="A235" s="3" t="s">
        <v>6983</v>
      </c>
      <c r="B235" s="3" t="s">
        <v>6990</v>
      </c>
      <c r="C235" s="3" t="s">
        <v>6985</v>
      </c>
      <c r="D235" s="3" t="s">
        <v>6302</v>
      </c>
      <c r="E235" s="3">
        <v>234</v>
      </c>
      <c r="F235" s="3" t="s">
        <v>612</v>
      </c>
      <c r="G235" s="3" t="s">
        <v>4</v>
      </c>
      <c r="H235" s="3" t="s">
        <v>7009</v>
      </c>
    </row>
    <row r="236" spans="1:8" x14ac:dyDescent="0.25">
      <c r="A236" s="3" t="s">
        <v>6983</v>
      </c>
      <c r="B236" s="3" t="s">
        <v>6990</v>
      </c>
      <c r="C236" s="3" t="s">
        <v>6985</v>
      </c>
      <c r="D236" s="3" t="s">
        <v>6302</v>
      </c>
      <c r="E236" s="3">
        <v>235</v>
      </c>
      <c r="F236" s="3" t="s">
        <v>613</v>
      </c>
      <c r="G236" s="3" t="s">
        <v>19</v>
      </c>
      <c r="H236" s="3" t="s">
        <v>39</v>
      </c>
    </row>
    <row r="237" spans="1:8" x14ac:dyDescent="0.25">
      <c r="A237" s="3" t="s">
        <v>6983</v>
      </c>
      <c r="B237" s="3" t="s">
        <v>6990</v>
      </c>
      <c r="C237" s="3" t="s">
        <v>6985</v>
      </c>
      <c r="D237" s="3" t="s">
        <v>6302</v>
      </c>
      <c r="E237" s="3">
        <v>236</v>
      </c>
      <c r="F237" s="3" t="s">
        <v>614</v>
      </c>
      <c r="G237" s="3" t="s">
        <v>17</v>
      </c>
      <c r="H237" s="3" t="s">
        <v>43</v>
      </c>
    </row>
    <row r="238" spans="1:8" x14ac:dyDescent="0.25">
      <c r="A238" s="3" t="s">
        <v>6983</v>
      </c>
      <c r="B238" s="3" t="s">
        <v>6990</v>
      </c>
      <c r="C238" s="3" t="s">
        <v>6985</v>
      </c>
      <c r="D238" s="3" t="s">
        <v>6302</v>
      </c>
      <c r="E238" s="3">
        <v>237</v>
      </c>
      <c r="F238" s="3" t="s">
        <v>615</v>
      </c>
      <c r="G238" s="3" t="s">
        <v>4</v>
      </c>
      <c r="H238" s="3" t="s">
        <v>7010</v>
      </c>
    </row>
    <row r="239" spans="1:8" x14ac:dyDescent="0.25">
      <c r="A239" s="3" t="s">
        <v>6983</v>
      </c>
      <c r="B239" s="3" t="s">
        <v>6990</v>
      </c>
      <c r="C239" s="3" t="s">
        <v>6985</v>
      </c>
      <c r="D239" s="3" t="s">
        <v>6302</v>
      </c>
      <c r="E239" s="3">
        <v>238</v>
      </c>
      <c r="F239" s="3" t="s">
        <v>616</v>
      </c>
      <c r="G239" s="3" t="s">
        <v>17</v>
      </c>
      <c r="H239" s="3" t="s">
        <v>6942</v>
      </c>
    </row>
    <row r="240" spans="1:8" x14ac:dyDescent="0.25">
      <c r="A240" s="3" t="s">
        <v>6983</v>
      </c>
      <c r="B240" s="3" t="s">
        <v>6990</v>
      </c>
      <c r="C240" s="3" t="s">
        <v>6985</v>
      </c>
      <c r="D240" s="3" t="s">
        <v>6302</v>
      </c>
      <c r="E240" s="3">
        <v>239</v>
      </c>
      <c r="F240" s="3" t="s">
        <v>617</v>
      </c>
      <c r="G240" s="3" t="s">
        <v>17</v>
      </c>
      <c r="H240" s="3" t="s">
        <v>6942</v>
      </c>
    </row>
    <row r="241" spans="1:8" x14ac:dyDescent="0.25">
      <c r="A241" s="3" t="s">
        <v>6983</v>
      </c>
      <c r="B241" s="3" t="s">
        <v>6990</v>
      </c>
      <c r="C241" s="3" t="s">
        <v>6985</v>
      </c>
      <c r="D241" s="3" t="s">
        <v>6302</v>
      </c>
      <c r="E241" s="3">
        <v>240</v>
      </c>
      <c r="F241" s="3" t="s">
        <v>618</v>
      </c>
      <c r="G241" s="3" t="s">
        <v>13</v>
      </c>
      <c r="H241" s="3" t="s">
        <v>1140</v>
      </c>
    </row>
    <row r="242" spans="1:8" x14ac:dyDescent="0.25">
      <c r="A242" s="3" t="s">
        <v>6983</v>
      </c>
      <c r="B242" s="3" t="s">
        <v>6990</v>
      </c>
      <c r="C242" s="3" t="s">
        <v>6985</v>
      </c>
      <c r="D242" s="3" t="s">
        <v>6302</v>
      </c>
      <c r="E242" s="3">
        <v>241</v>
      </c>
      <c r="F242" s="3" t="s">
        <v>619</v>
      </c>
      <c r="G242" s="3" t="s">
        <v>4</v>
      </c>
      <c r="H242" s="3" t="s">
        <v>7011</v>
      </c>
    </row>
    <row r="243" spans="1:8" x14ac:dyDescent="0.25">
      <c r="A243" s="3" t="s">
        <v>6983</v>
      </c>
      <c r="B243" s="3" t="s">
        <v>6990</v>
      </c>
      <c r="C243" s="3" t="s">
        <v>6985</v>
      </c>
      <c r="D243" s="3" t="s">
        <v>6302</v>
      </c>
      <c r="E243" s="3">
        <v>242</v>
      </c>
      <c r="F243" s="3" t="s">
        <v>620</v>
      </c>
      <c r="G243" s="3" t="s">
        <v>17</v>
      </c>
      <c r="H243" s="3" t="s">
        <v>6943</v>
      </c>
    </row>
    <row r="244" spans="1:8" x14ac:dyDescent="0.25">
      <c r="A244" s="3" t="s">
        <v>6983</v>
      </c>
      <c r="B244" s="3" t="s">
        <v>6990</v>
      </c>
      <c r="C244" s="3" t="s">
        <v>6985</v>
      </c>
      <c r="D244" s="3" t="s">
        <v>6302</v>
      </c>
      <c r="E244" s="3">
        <v>243</v>
      </c>
      <c r="F244" s="3" t="s">
        <v>621</v>
      </c>
      <c r="G244" s="3" t="s">
        <v>17</v>
      </c>
      <c r="H244" s="3" t="s">
        <v>6943</v>
      </c>
    </row>
    <row r="245" spans="1:8" x14ac:dyDescent="0.25">
      <c r="A245" s="3" t="s">
        <v>6983</v>
      </c>
      <c r="B245" s="3" t="s">
        <v>6990</v>
      </c>
      <c r="C245" s="3" t="s">
        <v>6985</v>
      </c>
      <c r="D245" s="3" t="s">
        <v>6303</v>
      </c>
      <c r="E245" s="3">
        <v>244</v>
      </c>
      <c r="F245" s="3" t="s">
        <v>622</v>
      </c>
      <c r="G245" s="3" t="s">
        <v>13</v>
      </c>
      <c r="H245" s="3" t="s">
        <v>1145</v>
      </c>
    </row>
    <row r="246" spans="1:8" x14ac:dyDescent="0.25">
      <c r="A246" s="3" t="s">
        <v>6983</v>
      </c>
      <c r="B246" s="3" t="s">
        <v>6990</v>
      </c>
      <c r="C246" s="3" t="s">
        <v>6985</v>
      </c>
      <c r="D246" s="3" t="s">
        <v>6303</v>
      </c>
      <c r="E246" s="3">
        <v>245</v>
      </c>
      <c r="F246" s="3" t="s">
        <v>623</v>
      </c>
      <c r="G246" s="3" t="s">
        <v>13</v>
      </c>
      <c r="H246" s="3" t="s">
        <v>1146</v>
      </c>
    </row>
    <row r="247" spans="1:8" x14ac:dyDescent="0.25">
      <c r="A247" s="3" t="s">
        <v>6983</v>
      </c>
      <c r="B247" s="3" t="s">
        <v>6990</v>
      </c>
      <c r="C247" s="3" t="s">
        <v>6985</v>
      </c>
      <c r="D247" s="3" t="s">
        <v>6303</v>
      </c>
      <c r="E247" s="3">
        <v>246</v>
      </c>
      <c r="F247" s="3" t="s">
        <v>624</v>
      </c>
      <c r="G247" s="3" t="s">
        <v>9</v>
      </c>
      <c r="H247" s="3" t="s">
        <v>7012</v>
      </c>
    </row>
    <row r="248" spans="1:8" x14ac:dyDescent="0.25">
      <c r="A248" s="3" t="s">
        <v>6983</v>
      </c>
      <c r="B248" s="3" t="s">
        <v>6990</v>
      </c>
      <c r="C248" s="3" t="s">
        <v>6985</v>
      </c>
      <c r="D248" s="3" t="s">
        <v>6303</v>
      </c>
      <c r="E248" s="3">
        <v>247</v>
      </c>
      <c r="F248" s="3" t="s">
        <v>625</v>
      </c>
      <c r="G248" s="3" t="s">
        <v>1093</v>
      </c>
      <c r="H248" s="3" t="s">
        <v>1147</v>
      </c>
    </row>
    <row r="249" spans="1:8" x14ac:dyDescent="0.25">
      <c r="A249" s="3" t="s">
        <v>6983</v>
      </c>
      <c r="B249" s="3" t="s">
        <v>6990</v>
      </c>
      <c r="C249" s="3" t="s">
        <v>6985</v>
      </c>
      <c r="D249" s="3" t="s">
        <v>6303</v>
      </c>
      <c r="E249" s="3">
        <v>248</v>
      </c>
      <c r="F249" s="3" t="s">
        <v>626</v>
      </c>
      <c r="G249" s="3" t="s">
        <v>13</v>
      </c>
      <c r="H249" s="3" t="s">
        <v>1148</v>
      </c>
    </row>
    <row r="250" spans="1:8" x14ac:dyDescent="0.25">
      <c r="A250" s="3" t="s">
        <v>6983</v>
      </c>
      <c r="B250" s="3" t="s">
        <v>6990</v>
      </c>
      <c r="C250" s="3" t="s">
        <v>6985</v>
      </c>
      <c r="D250" s="3" t="s">
        <v>6303</v>
      </c>
      <c r="E250" s="3">
        <v>249</v>
      </c>
      <c r="F250" s="3" t="s">
        <v>627</v>
      </c>
      <c r="G250" s="3" t="s">
        <v>13</v>
      </c>
      <c r="H250" s="3" t="s">
        <v>1149</v>
      </c>
    </row>
    <row r="251" spans="1:8" x14ac:dyDescent="0.25">
      <c r="A251" s="3" t="s">
        <v>6983</v>
      </c>
      <c r="B251" s="3" t="s">
        <v>6990</v>
      </c>
      <c r="C251" s="3" t="s">
        <v>6985</v>
      </c>
      <c r="D251" s="3" t="s">
        <v>6303</v>
      </c>
      <c r="E251" s="3">
        <v>250</v>
      </c>
      <c r="F251" s="3" t="s">
        <v>628</v>
      </c>
      <c r="G251" s="3" t="s">
        <v>9</v>
      </c>
      <c r="H251" s="3" t="s">
        <v>7013</v>
      </c>
    </row>
    <row r="252" spans="1:8" x14ac:dyDescent="0.25">
      <c r="A252" s="3" t="s">
        <v>6983</v>
      </c>
      <c r="B252" s="3" t="s">
        <v>6990</v>
      </c>
      <c r="C252" s="3" t="s">
        <v>6985</v>
      </c>
      <c r="D252" s="3" t="s">
        <v>6303</v>
      </c>
      <c r="E252" s="3">
        <v>251</v>
      </c>
      <c r="F252" s="3" t="s">
        <v>629</v>
      </c>
      <c r="G252" s="3" t="s">
        <v>1093</v>
      </c>
      <c r="H252" s="3" t="s">
        <v>1150</v>
      </c>
    </row>
    <row r="253" spans="1:8" x14ac:dyDescent="0.25">
      <c r="A253" s="3" t="s">
        <v>6983</v>
      </c>
      <c r="B253" s="3" t="s">
        <v>6990</v>
      </c>
      <c r="C253" s="3" t="s">
        <v>6985</v>
      </c>
      <c r="D253" s="3" t="s">
        <v>6303</v>
      </c>
      <c r="E253" s="3">
        <v>252</v>
      </c>
      <c r="F253" s="3" t="s">
        <v>630</v>
      </c>
      <c r="G253" s="3" t="s">
        <v>13</v>
      </c>
      <c r="H253" s="3" t="s">
        <v>1151</v>
      </c>
    </row>
    <row r="254" spans="1:8" x14ac:dyDescent="0.25">
      <c r="A254" s="3" t="s">
        <v>6983</v>
      </c>
      <c r="B254" s="3" t="s">
        <v>6990</v>
      </c>
      <c r="C254" s="3" t="s">
        <v>6985</v>
      </c>
      <c r="D254" s="3" t="s">
        <v>6303</v>
      </c>
      <c r="E254" s="3">
        <v>253</v>
      </c>
      <c r="F254" s="3" t="s">
        <v>631</v>
      </c>
      <c r="G254" s="3" t="s">
        <v>13</v>
      </c>
      <c r="H254" s="3" t="s">
        <v>1152</v>
      </c>
    </row>
    <row r="255" spans="1:8" x14ac:dyDescent="0.25">
      <c r="A255" s="3" t="s">
        <v>6983</v>
      </c>
      <c r="B255" s="3" t="s">
        <v>6990</v>
      </c>
      <c r="C255" s="3" t="s">
        <v>6985</v>
      </c>
      <c r="D255" s="3" t="s">
        <v>6303</v>
      </c>
      <c r="E255" s="3">
        <v>254</v>
      </c>
      <c r="F255" s="3" t="s">
        <v>632</v>
      </c>
      <c r="G255" s="3" t="s">
        <v>9</v>
      </c>
      <c r="H255" s="3" t="s">
        <v>7014</v>
      </c>
    </row>
    <row r="256" spans="1:8" x14ac:dyDescent="0.25">
      <c r="A256" s="3" t="s">
        <v>6983</v>
      </c>
      <c r="B256" s="3" t="s">
        <v>6990</v>
      </c>
      <c r="C256" s="3" t="s">
        <v>6985</v>
      </c>
      <c r="D256" s="3" t="s">
        <v>6303</v>
      </c>
      <c r="E256" s="3">
        <v>255</v>
      </c>
      <c r="F256" s="3" t="s">
        <v>633</v>
      </c>
      <c r="G256" s="3" t="s">
        <v>1093</v>
      </c>
      <c r="H256" s="3" t="s">
        <v>1153</v>
      </c>
    </row>
    <row r="257" spans="1:8" x14ac:dyDescent="0.25">
      <c r="A257" s="3" t="s">
        <v>6983</v>
      </c>
      <c r="B257" s="3" t="s">
        <v>6990</v>
      </c>
      <c r="C257" s="3" t="s">
        <v>6985</v>
      </c>
      <c r="D257" s="3" t="s">
        <v>6303</v>
      </c>
      <c r="E257" s="3">
        <v>256</v>
      </c>
      <c r="F257" s="3" t="s">
        <v>634</v>
      </c>
      <c r="G257" s="3" t="s">
        <v>13</v>
      </c>
      <c r="H257" s="3" t="s">
        <v>1154</v>
      </c>
    </row>
    <row r="258" spans="1:8" x14ac:dyDescent="0.25">
      <c r="A258" s="3" t="s">
        <v>6983</v>
      </c>
      <c r="B258" s="3" t="s">
        <v>6990</v>
      </c>
      <c r="C258" s="3" t="s">
        <v>6985</v>
      </c>
      <c r="D258" s="3" t="s">
        <v>6303</v>
      </c>
      <c r="E258" s="3">
        <v>257</v>
      </c>
      <c r="F258" s="3" t="s">
        <v>635</v>
      </c>
      <c r="G258" s="3" t="s">
        <v>13</v>
      </c>
      <c r="H258" s="3" t="s">
        <v>1155</v>
      </c>
    </row>
    <row r="259" spans="1:8" x14ac:dyDescent="0.25">
      <c r="A259" s="3" t="s">
        <v>6983</v>
      </c>
      <c r="B259" s="3" t="s">
        <v>6990</v>
      </c>
      <c r="C259" s="3" t="s">
        <v>6985</v>
      </c>
      <c r="D259" s="3" t="s">
        <v>6303</v>
      </c>
      <c r="E259" s="3">
        <v>258</v>
      </c>
      <c r="F259" s="3" t="s">
        <v>636</v>
      </c>
      <c r="G259" s="3" t="s">
        <v>9</v>
      </c>
      <c r="H259" s="3" t="s">
        <v>7015</v>
      </c>
    </row>
    <row r="260" spans="1:8" x14ac:dyDescent="0.25">
      <c r="A260" s="3" t="s">
        <v>6983</v>
      </c>
      <c r="B260" s="3" t="s">
        <v>6990</v>
      </c>
      <c r="C260" s="3" t="s">
        <v>6985</v>
      </c>
      <c r="D260" s="3" t="s">
        <v>6303</v>
      </c>
      <c r="E260" s="3">
        <v>259</v>
      </c>
      <c r="F260" s="3" t="s">
        <v>637</v>
      </c>
      <c r="G260" s="3" t="s">
        <v>1093</v>
      </c>
      <c r="H260" s="3" t="s">
        <v>1156</v>
      </c>
    </row>
    <row r="261" spans="1:8" x14ac:dyDescent="0.25">
      <c r="A261" s="3" t="s">
        <v>6983</v>
      </c>
      <c r="B261" s="3" t="s">
        <v>6990</v>
      </c>
      <c r="C261" s="3" t="s">
        <v>6985</v>
      </c>
      <c r="D261" s="3" t="s">
        <v>6303</v>
      </c>
      <c r="E261" s="3">
        <v>260</v>
      </c>
      <c r="F261" s="3" t="s">
        <v>638</v>
      </c>
      <c r="G261" s="3" t="s">
        <v>13</v>
      </c>
      <c r="H261" s="3" t="s">
        <v>1157</v>
      </c>
    </row>
    <row r="262" spans="1:8" x14ac:dyDescent="0.25">
      <c r="A262" s="3" t="s">
        <v>6983</v>
      </c>
      <c r="B262" s="3" t="s">
        <v>6990</v>
      </c>
      <c r="C262" s="3" t="s">
        <v>6985</v>
      </c>
      <c r="D262" s="3" t="s">
        <v>6303</v>
      </c>
      <c r="E262" s="3">
        <v>261</v>
      </c>
      <c r="F262" s="3" t="s">
        <v>639</v>
      </c>
      <c r="G262" s="3" t="s">
        <v>13</v>
      </c>
      <c r="H262" s="3" t="s">
        <v>1158</v>
      </c>
    </row>
    <row r="263" spans="1:8" x14ac:dyDescent="0.25">
      <c r="A263" s="3" t="s">
        <v>6983</v>
      </c>
      <c r="B263" s="3" t="s">
        <v>6990</v>
      </c>
      <c r="C263" s="3" t="s">
        <v>6985</v>
      </c>
      <c r="D263" s="3" t="s">
        <v>6303</v>
      </c>
      <c r="E263" s="3">
        <v>262</v>
      </c>
      <c r="F263" s="3" t="s">
        <v>640</v>
      </c>
      <c r="G263" s="3" t="s">
        <v>9</v>
      </c>
      <c r="H263" s="3" t="s">
        <v>7016</v>
      </c>
    </row>
    <row r="264" spans="1:8" x14ac:dyDescent="0.25">
      <c r="A264" s="3" t="s">
        <v>6983</v>
      </c>
      <c r="B264" s="3" t="s">
        <v>6990</v>
      </c>
      <c r="C264" s="3" t="s">
        <v>6985</v>
      </c>
      <c r="D264" s="3" t="s">
        <v>6303</v>
      </c>
      <c r="E264" s="3">
        <v>263</v>
      </c>
      <c r="F264" s="3" t="s">
        <v>641</v>
      </c>
      <c r="G264" s="3" t="s">
        <v>1093</v>
      </c>
      <c r="H264" s="3" t="s">
        <v>1159</v>
      </c>
    </row>
    <row r="265" spans="1:8" x14ac:dyDescent="0.25">
      <c r="A265" s="3" t="s">
        <v>6983</v>
      </c>
      <c r="B265" s="3" t="s">
        <v>6990</v>
      </c>
      <c r="C265" s="3" t="s">
        <v>6985</v>
      </c>
      <c r="D265" s="3" t="s">
        <v>6303</v>
      </c>
      <c r="E265" s="3">
        <v>264</v>
      </c>
      <c r="F265" s="3" t="s">
        <v>642</v>
      </c>
      <c r="G265" s="3" t="s">
        <v>13</v>
      </c>
      <c r="H265" s="3" t="s">
        <v>1160</v>
      </c>
    </row>
    <row r="266" spans="1:8" x14ac:dyDescent="0.25">
      <c r="A266" s="3" t="s">
        <v>6983</v>
      </c>
      <c r="B266" s="3" t="s">
        <v>6990</v>
      </c>
      <c r="C266" s="3" t="s">
        <v>6985</v>
      </c>
      <c r="D266" s="3" t="s">
        <v>6303</v>
      </c>
      <c r="E266" s="3">
        <v>265</v>
      </c>
      <c r="F266" s="3" t="s">
        <v>643</v>
      </c>
      <c r="G266" s="3" t="s">
        <v>13</v>
      </c>
      <c r="H266" s="3" t="s">
        <v>1161</v>
      </c>
    </row>
    <row r="267" spans="1:8" x14ac:dyDescent="0.25">
      <c r="A267" s="3" t="s">
        <v>6983</v>
      </c>
      <c r="B267" s="3" t="s">
        <v>6990</v>
      </c>
      <c r="C267" s="3" t="s">
        <v>6985</v>
      </c>
      <c r="D267" s="3" t="s">
        <v>6303</v>
      </c>
      <c r="E267" s="3">
        <v>266</v>
      </c>
      <c r="F267" s="3" t="s">
        <v>644</v>
      </c>
      <c r="G267" s="3" t="s">
        <v>9</v>
      </c>
      <c r="H267" s="3" t="s">
        <v>7017</v>
      </c>
    </row>
    <row r="268" spans="1:8" x14ac:dyDescent="0.25">
      <c r="A268" s="3" t="s">
        <v>6983</v>
      </c>
      <c r="B268" s="3" t="s">
        <v>6990</v>
      </c>
      <c r="C268" s="3" t="s">
        <v>6985</v>
      </c>
      <c r="D268" s="3" t="s">
        <v>6303</v>
      </c>
      <c r="E268" s="3">
        <v>267</v>
      </c>
      <c r="F268" s="3" t="s">
        <v>645</v>
      </c>
      <c r="G268" s="3" t="s">
        <v>1093</v>
      </c>
      <c r="H268" s="3" t="s">
        <v>1162</v>
      </c>
    </row>
    <row r="269" spans="1:8" x14ac:dyDescent="0.25">
      <c r="A269" s="3" t="s">
        <v>6983</v>
      </c>
      <c r="B269" s="3" t="s">
        <v>6990</v>
      </c>
      <c r="C269" s="3" t="s">
        <v>6985</v>
      </c>
      <c r="D269" s="3" t="s">
        <v>6303</v>
      </c>
      <c r="E269" s="3">
        <v>268</v>
      </c>
      <c r="F269" s="3" t="s">
        <v>646</v>
      </c>
      <c r="G269" s="3" t="s">
        <v>13</v>
      </c>
      <c r="H269" s="3" t="s">
        <v>1163</v>
      </c>
    </row>
    <row r="270" spans="1:8" x14ac:dyDescent="0.25">
      <c r="A270" s="3" t="s">
        <v>6983</v>
      </c>
      <c r="B270" s="3" t="s">
        <v>6990</v>
      </c>
      <c r="C270" s="3" t="s">
        <v>6985</v>
      </c>
      <c r="D270" s="3" t="s">
        <v>6303</v>
      </c>
      <c r="E270" s="3">
        <v>269</v>
      </c>
      <c r="F270" s="3" t="s">
        <v>647</v>
      </c>
      <c r="G270" s="3" t="s">
        <v>13</v>
      </c>
      <c r="H270" s="3" t="s">
        <v>1164</v>
      </c>
    </row>
    <row r="271" spans="1:8" x14ac:dyDescent="0.25">
      <c r="A271" s="3" t="s">
        <v>6983</v>
      </c>
      <c r="B271" s="3" t="s">
        <v>6990</v>
      </c>
      <c r="C271" s="3" t="s">
        <v>6985</v>
      </c>
      <c r="D271" s="3" t="s">
        <v>6303</v>
      </c>
      <c r="E271" s="3">
        <v>270</v>
      </c>
      <c r="F271" s="3" t="s">
        <v>648</v>
      </c>
      <c r="G271" s="3" t="s">
        <v>9</v>
      </c>
      <c r="H271" s="3" t="s">
        <v>7018</v>
      </c>
    </row>
    <row r="272" spans="1:8" x14ac:dyDescent="0.25">
      <c r="A272" s="3" t="s">
        <v>6983</v>
      </c>
      <c r="B272" s="3" t="s">
        <v>6990</v>
      </c>
      <c r="C272" s="3" t="s">
        <v>6985</v>
      </c>
      <c r="D272" s="3" t="s">
        <v>6303</v>
      </c>
      <c r="E272" s="3">
        <v>271</v>
      </c>
      <c r="F272" s="3" t="s">
        <v>649</v>
      </c>
      <c r="G272" s="3" t="s">
        <v>1093</v>
      </c>
      <c r="H272" s="3" t="s">
        <v>1165</v>
      </c>
    </row>
    <row r="273" spans="1:8" x14ac:dyDescent="0.25">
      <c r="A273" s="3" t="s">
        <v>6983</v>
      </c>
      <c r="B273" s="3" t="s">
        <v>6990</v>
      </c>
      <c r="C273" s="3" t="s">
        <v>6985</v>
      </c>
      <c r="D273" s="3" t="s">
        <v>6303</v>
      </c>
      <c r="E273" s="3">
        <v>272</v>
      </c>
      <c r="F273" s="3" t="s">
        <v>650</v>
      </c>
      <c r="G273" s="3" t="s">
        <v>13</v>
      </c>
      <c r="H273" s="3" t="s">
        <v>1166</v>
      </c>
    </row>
    <row r="274" spans="1:8" x14ac:dyDescent="0.25">
      <c r="A274" s="3" t="s">
        <v>6983</v>
      </c>
      <c r="B274" s="3" t="s">
        <v>6990</v>
      </c>
      <c r="C274" s="3" t="s">
        <v>6985</v>
      </c>
      <c r="D274" s="3" t="s">
        <v>6303</v>
      </c>
      <c r="E274" s="3">
        <v>273</v>
      </c>
      <c r="F274" s="3" t="s">
        <v>651</v>
      </c>
      <c r="G274" s="3" t="s">
        <v>13</v>
      </c>
      <c r="H274" s="3" t="s">
        <v>1167</v>
      </c>
    </row>
    <row r="275" spans="1:8" x14ac:dyDescent="0.25">
      <c r="A275" s="3" t="s">
        <v>6983</v>
      </c>
      <c r="B275" s="3" t="s">
        <v>6990</v>
      </c>
      <c r="C275" s="3" t="s">
        <v>6985</v>
      </c>
      <c r="D275" s="3" t="s">
        <v>6303</v>
      </c>
      <c r="E275" s="3">
        <v>274</v>
      </c>
      <c r="F275" s="3" t="s">
        <v>652</v>
      </c>
      <c r="G275" s="3" t="s">
        <v>9</v>
      </c>
      <c r="H275" s="3" t="s">
        <v>7019</v>
      </c>
    </row>
    <row r="276" spans="1:8" x14ac:dyDescent="0.25">
      <c r="A276" s="3" t="s">
        <v>6983</v>
      </c>
      <c r="B276" s="3" t="s">
        <v>6990</v>
      </c>
      <c r="C276" s="3" t="s">
        <v>6985</v>
      </c>
      <c r="D276" s="3" t="s">
        <v>6303</v>
      </c>
      <c r="E276" s="3">
        <v>275</v>
      </c>
      <c r="F276" s="3" t="s">
        <v>653</v>
      </c>
      <c r="G276" s="3" t="s">
        <v>1093</v>
      </c>
      <c r="H276" s="3" t="s">
        <v>1168</v>
      </c>
    </row>
    <row r="277" spans="1:8" x14ac:dyDescent="0.25">
      <c r="A277" s="3" t="s">
        <v>6983</v>
      </c>
      <c r="B277" s="3" t="s">
        <v>6990</v>
      </c>
      <c r="C277" s="3" t="s">
        <v>6985</v>
      </c>
      <c r="D277" s="3" t="s">
        <v>6303</v>
      </c>
      <c r="E277" s="3">
        <v>276</v>
      </c>
      <c r="F277" s="3" t="s">
        <v>654</v>
      </c>
      <c r="G277" s="3" t="s">
        <v>13</v>
      </c>
      <c r="H277" s="3" t="s">
        <v>1169</v>
      </c>
    </row>
    <row r="278" spans="1:8" x14ac:dyDescent="0.25">
      <c r="A278" s="3" t="s">
        <v>6983</v>
      </c>
      <c r="B278" s="3" t="s">
        <v>6990</v>
      </c>
      <c r="C278" s="3" t="s">
        <v>6985</v>
      </c>
      <c r="D278" s="3" t="s">
        <v>6303</v>
      </c>
      <c r="E278" s="3">
        <v>277</v>
      </c>
      <c r="F278" s="3" t="s">
        <v>655</v>
      </c>
      <c r="G278" s="3" t="s">
        <v>13</v>
      </c>
      <c r="H278" s="3" t="s">
        <v>1170</v>
      </c>
    </row>
    <row r="279" spans="1:8" x14ac:dyDescent="0.25">
      <c r="A279" s="3" t="s">
        <v>6983</v>
      </c>
      <c r="B279" s="3" t="s">
        <v>6990</v>
      </c>
      <c r="C279" s="3" t="s">
        <v>6985</v>
      </c>
      <c r="D279" s="3" t="s">
        <v>6303</v>
      </c>
      <c r="E279" s="3">
        <v>278</v>
      </c>
      <c r="F279" s="3" t="s">
        <v>656</v>
      </c>
      <c r="G279" s="3" t="s">
        <v>9</v>
      </c>
      <c r="H279" s="3" t="s">
        <v>7020</v>
      </c>
    </row>
    <row r="280" spans="1:8" x14ac:dyDescent="0.25">
      <c r="A280" s="3" t="s">
        <v>6983</v>
      </c>
      <c r="B280" s="3" t="s">
        <v>6990</v>
      </c>
      <c r="C280" s="3" t="s">
        <v>6985</v>
      </c>
      <c r="D280" s="3" t="s">
        <v>6303</v>
      </c>
      <c r="E280" s="3">
        <v>279</v>
      </c>
      <c r="F280" s="3" t="s">
        <v>657</v>
      </c>
      <c r="G280" s="3" t="s">
        <v>1093</v>
      </c>
      <c r="H280" s="3" t="s">
        <v>1171</v>
      </c>
    </row>
    <row r="281" spans="1:8" x14ac:dyDescent="0.25">
      <c r="A281" s="3" t="s">
        <v>6983</v>
      </c>
      <c r="B281" s="3" t="s">
        <v>6990</v>
      </c>
      <c r="C281" s="3" t="s">
        <v>6985</v>
      </c>
      <c r="D281" s="3" t="s">
        <v>6303</v>
      </c>
      <c r="E281" s="3">
        <v>280</v>
      </c>
      <c r="F281" s="3" t="s">
        <v>658</v>
      </c>
      <c r="G281" s="3" t="s">
        <v>13</v>
      </c>
      <c r="H281" s="3" t="s">
        <v>1172</v>
      </c>
    </row>
    <row r="282" spans="1:8" x14ac:dyDescent="0.25">
      <c r="A282" s="3" t="s">
        <v>6983</v>
      </c>
      <c r="B282" s="3" t="s">
        <v>6990</v>
      </c>
      <c r="C282" s="3" t="s">
        <v>6985</v>
      </c>
      <c r="D282" s="3" t="s">
        <v>6303</v>
      </c>
      <c r="E282" s="3">
        <v>281</v>
      </c>
      <c r="F282" s="3" t="s">
        <v>659</v>
      </c>
      <c r="G282" s="3" t="s">
        <v>13</v>
      </c>
      <c r="H282" s="3" t="s">
        <v>1173</v>
      </c>
    </row>
    <row r="283" spans="1:8" x14ac:dyDescent="0.25">
      <c r="A283" s="3" t="s">
        <v>6983</v>
      </c>
      <c r="B283" s="3" t="s">
        <v>6990</v>
      </c>
      <c r="C283" s="3" t="s">
        <v>6985</v>
      </c>
      <c r="D283" s="3" t="s">
        <v>6303</v>
      </c>
      <c r="E283" s="3">
        <v>282</v>
      </c>
      <c r="F283" s="3" t="s">
        <v>660</v>
      </c>
      <c r="G283" s="3" t="s">
        <v>9</v>
      </c>
      <c r="H283" s="3" t="s">
        <v>7021</v>
      </c>
    </row>
    <row r="284" spans="1:8" x14ac:dyDescent="0.25">
      <c r="A284" s="3" t="s">
        <v>6983</v>
      </c>
      <c r="B284" s="3" t="s">
        <v>6990</v>
      </c>
      <c r="C284" s="3" t="s">
        <v>6985</v>
      </c>
      <c r="D284" s="3" t="s">
        <v>6303</v>
      </c>
      <c r="E284" s="3">
        <v>283</v>
      </c>
      <c r="F284" s="3" t="s">
        <v>661</v>
      </c>
      <c r="G284" s="3" t="s">
        <v>1093</v>
      </c>
      <c r="H284" s="3" t="s">
        <v>1174</v>
      </c>
    </row>
    <row r="285" spans="1:8" x14ac:dyDescent="0.25">
      <c r="A285" s="3" t="s">
        <v>6983</v>
      </c>
      <c r="B285" s="3" t="s">
        <v>6990</v>
      </c>
      <c r="C285" s="3" t="s">
        <v>6985</v>
      </c>
      <c r="D285" s="3" t="s">
        <v>6303</v>
      </c>
      <c r="E285" s="3">
        <v>284</v>
      </c>
      <c r="F285" s="3" t="s">
        <v>662</v>
      </c>
      <c r="G285" s="3" t="s">
        <v>13</v>
      </c>
      <c r="H285" s="3" t="s">
        <v>1175</v>
      </c>
    </row>
    <row r="286" spans="1:8" x14ac:dyDescent="0.25">
      <c r="A286" s="3" t="s">
        <v>6983</v>
      </c>
      <c r="B286" s="3" t="s">
        <v>6990</v>
      </c>
      <c r="C286" s="3" t="s">
        <v>6985</v>
      </c>
      <c r="D286" s="3" t="s">
        <v>6303</v>
      </c>
      <c r="E286" s="3">
        <v>285</v>
      </c>
      <c r="F286" s="3" t="s">
        <v>663</v>
      </c>
      <c r="G286" s="3" t="s">
        <v>13</v>
      </c>
      <c r="H286" s="3" t="s">
        <v>1176</v>
      </c>
    </row>
    <row r="287" spans="1:8" x14ac:dyDescent="0.25">
      <c r="A287" s="3" t="s">
        <v>6983</v>
      </c>
      <c r="B287" s="3" t="s">
        <v>6990</v>
      </c>
      <c r="C287" s="3" t="s">
        <v>6985</v>
      </c>
      <c r="D287" s="3" t="s">
        <v>6303</v>
      </c>
      <c r="E287" s="3">
        <v>286</v>
      </c>
      <c r="F287" s="3" t="s">
        <v>664</v>
      </c>
      <c r="G287" s="3" t="s">
        <v>9</v>
      </c>
      <c r="H287" s="3" t="s">
        <v>7022</v>
      </c>
    </row>
    <row r="288" spans="1:8" x14ac:dyDescent="0.25">
      <c r="A288" s="3" t="s">
        <v>6983</v>
      </c>
      <c r="B288" s="3" t="s">
        <v>6990</v>
      </c>
      <c r="C288" s="3" t="s">
        <v>6985</v>
      </c>
      <c r="D288" s="3" t="s">
        <v>6303</v>
      </c>
      <c r="E288" s="3">
        <v>287</v>
      </c>
      <c r="F288" s="3" t="s">
        <v>665</v>
      </c>
      <c r="G288" s="3" t="s">
        <v>1093</v>
      </c>
      <c r="H288" s="3" t="s">
        <v>1177</v>
      </c>
    </row>
    <row r="289" spans="1:8" x14ac:dyDescent="0.25">
      <c r="A289" s="3" t="s">
        <v>6983</v>
      </c>
      <c r="B289" s="3" t="s">
        <v>6990</v>
      </c>
      <c r="C289" s="3" t="s">
        <v>6985</v>
      </c>
      <c r="D289" s="3" t="s">
        <v>6303</v>
      </c>
      <c r="E289" s="3">
        <v>288</v>
      </c>
      <c r="F289" s="3" t="s">
        <v>666</v>
      </c>
      <c r="G289" s="3" t="s">
        <v>1104</v>
      </c>
      <c r="H289" s="3" t="s">
        <v>1262</v>
      </c>
    </row>
    <row r="290" spans="1:8" x14ac:dyDescent="0.25">
      <c r="A290" s="3" t="s">
        <v>6983</v>
      </c>
      <c r="B290" s="3" t="s">
        <v>6990</v>
      </c>
      <c r="C290" s="3" t="s">
        <v>6985</v>
      </c>
      <c r="D290" s="3" t="s">
        <v>6303</v>
      </c>
      <c r="E290" s="3">
        <v>289</v>
      </c>
      <c r="F290" s="3" t="s">
        <v>667</v>
      </c>
      <c r="G290" s="3" t="s">
        <v>1104</v>
      </c>
      <c r="H290" s="3" t="s">
        <v>1263</v>
      </c>
    </row>
    <row r="291" spans="1:8" x14ac:dyDescent="0.25">
      <c r="A291" s="3" t="s">
        <v>6983</v>
      </c>
      <c r="B291" s="3" t="s">
        <v>6990</v>
      </c>
      <c r="C291" s="3" t="s">
        <v>6985</v>
      </c>
      <c r="D291" s="3" t="s">
        <v>6303</v>
      </c>
      <c r="E291" s="3">
        <v>290</v>
      </c>
      <c r="F291" s="3" t="s">
        <v>668</v>
      </c>
      <c r="G291" s="3" t="s">
        <v>1105</v>
      </c>
      <c r="H291" s="3" t="s">
        <v>1264</v>
      </c>
    </row>
    <row r="292" spans="1:8" x14ac:dyDescent="0.25">
      <c r="A292" s="3" t="s">
        <v>6983</v>
      </c>
      <c r="B292" s="3" t="s">
        <v>6990</v>
      </c>
      <c r="C292" s="3" t="s">
        <v>6985</v>
      </c>
      <c r="D292" s="3" t="s">
        <v>6303</v>
      </c>
      <c r="E292" s="3">
        <v>291</v>
      </c>
      <c r="F292" s="3" t="s">
        <v>669</v>
      </c>
      <c r="G292" s="3" t="s">
        <v>1105</v>
      </c>
      <c r="H292" s="3" t="s">
        <v>1265</v>
      </c>
    </row>
    <row r="293" spans="1:8" x14ac:dyDescent="0.25">
      <c r="A293" s="3" t="s">
        <v>6983</v>
      </c>
      <c r="B293" s="3" t="s">
        <v>6990</v>
      </c>
      <c r="C293" s="3" t="s">
        <v>6985</v>
      </c>
      <c r="D293" s="3" t="s">
        <v>6303</v>
      </c>
      <c r="E293" s="3">
        <v>292</v>
      </c>
      <c r="F293" s="3" t="s">
        <v>670</v>
      </c>
      <c r="G293" s="3" t="s">
        <v>16</v>
      </c>
      <c r="H293" s="3" t="s">
        <v>1261</v>
      </c>
    </row>
    <row r="294" spans="1:8" x14ac:dyDescent="0.25">
      <c r="A294" s="3" t="s">
        <v>6983</v>
      </c>
      <c r="B294" s="3" t="s">
        <v>6990</v>
      </c>
      <c r="C294" s="3" t="s">
        <v>6985</v>
      </c>
      <c r="D294" s="3" t="s">
        <v>6303</v>
      </c>
      <c r="E294" s="3">
        <v>293</v>
      </c>
      <c r="F294" s="3" t="s">
        <v>671</v>
      </c>
      <c r="G294" s="3" t="s">
        <v>1095</v>
      </c>
      <c r="H294" s="3" t="s">
        <v>6622</v>
      </c>
    </row>
    <row r="295" spans="1:8" x14ac:dyDescent="0.25">
      <c r="A295" s="3" t="s">
        <v>6983</v>
      </c>
      <c r="B295" s="3" t="s">
        <v>6990</v>
      </c>
      <c r="C295" s="3" t="s">
        <v>6985</v>
      </c>
      <c r="D295" s="3" t="s">
        <v>6303</v>
      </c>
      <c r="E295" s="3">
        <v>294</v>
      </c>
      <c r="F295" s="3" t="s">
        <v>672</v>
      </c>
      <c r="G295" s="3" t="s">
        <v>2100</v>
      </c>
      <c r="H295" s="3" t="s">
        <v>6621</v>
      </c>
    </row>
    <row r="296" spans="1:8" x14ac:dyDescent="0.25">
      <c r="A296" s="3" t="s">
        <v>6983</v>
      </c>
      <c r="B296" s="3" t="s">
        <v>6990</v>
      </c>
      <c r="C296" s="3" t="s">
        <v>6985</v>
      </c>
      <c r="D296" s="3" t="s">
        <v>6303</v>
      </c>
      <c r="E296" s="3">
        <v>295</v>
      </c>
      <c r="F296" s="3" t="s">
        <v>673</v>
      </c>
      <c r="G296" s="3" t="s">
        <v>1095</v>
      </c>
      <c r="H296" s="3" t="s">
        <v>1266</v>
      </c>
    </row>
    <row r="297" spans="1:8" x14ac:dyDescent="0.25">
      <c r="A297" s="3" t="s">
        <v>6983</v>
      </c>
      <c r="B297" s="3" t="s">
        <v>6990</v>
      </c>
      <c r="C297" s="3" t="s">
        <v>6985</v>
      </c>
      <c r="D297" s="3" t="s">
        <v>6303</v>
      </c>
      <c r="E297" s="3">
        <v>296</v>
      </c>
      <c r="F297" s="3" t="s">
        <v>674</v>
      </c>
      <c r="G297" s="3" t="s">
        <v>1095</v>
      </c>
      <c r="H297" s="3" t="s">
        <v>1267</v>
      </c>
    </row>
    <row r="298" spans="1:8" x14ac:dyDescent="0.25">
      <c r="A298" s="3" t="s">
        <v>6983</v>
      </c>
      <c r="B298" s="3" t="s">
        <v>6990</v>
      </c>
      <c r="C298" s="3" t="s">
        <v>6985</v>
      </c>
      <c r="D298" s="3" t="s">
        <v>6303</v>
      </c>
      <c r="E298" s="3">
        <v>297</v>
      </c>
      <c r="F298" s="3" t="s">
        <v>675</v>
      </c>
      <c r="G298" s="3" t="s">
        <v>20</v>
      </c>
      <c r="H298" s="3" t="s">
        <v>1260</v>
      </c>
    </row>
    <row r="299" spans="1:8" x14ac:dyDescent="0.25">
      <c r="A299" s="3" t="s">
        <v>6983</v>
      </c>
      <c r="B299" s="3" t="s">
        <v>6990</v>
      </c>
      <c r="C299" s="3" t="s">
        <v>6985</v>
      </c>
      <c r="D299" s="3" t="s">
        <v>6303</v>
      </c>
      <c r="E299" s="3">
        <v>298</v>
      </c>
      <c r="F299" s="3" t="s">
        <v>676</v>
      </c>
      <c r="G299" s="3" t="s">
        <v>4</v>
      </c>
      <c r="H299" s="3" t="s">
        <v>6623</v>
      </c>
    </row>
    <row r="300" spans="1:8" x14ac:dyDescent="0.25">
      <c r="A300" s="3" t="s">
        <v>6983</v>
      </c>
      <c r="B300" s="3" t="s">
        <v>6990</v>
      </c>
      <c r="C300" s="3" t="s">
        <v>6985</v>
      </c>
      <c r="D300" s="3" t="s">
        <v>6303</v>
      </c>
      <c r="E300" s="3">
        <v>299</v>
      </c>
      <c r="F300" s="3" t="s">
        <v>677</v>
      </c>
      <c r="G300" s="3" t="s">
        <v>4</v>
      </c>
      <c r="H300" s="3" t="s">
        <v>6624</v>
      </c>
    </row>
    <row r="301" spans="1:8" x14ac:dyDescent="0.25">
      <c r="A301" s="3" t="s">
        <v>6983</v>
      </c>
      <c r="B301" s="3" t="s">
        <v>6990</v>
      </c>
      <c r="C301" s="3" t="s">
        <v>6985</v>
      </c>
      <c r="D301" s="3" t="s">
        <v>6303</v>
      </c>
      <c r="E301" s="3">
        <v>300</v>
      </c>
      <c r="F301" s="3" t="s">
        <v>678</v>
      </c>
      <c r="G301" s="3" t="s">
        <v>4</v>
      </c>
    </row>
    <row r="302" spans="1:8" x14ac:dyDescent="0.25">
      <c r="A302" s="3" t="s">
        <v>6983</v>
      </c>
      <c r="B302" s="3" t="s">
        <v>6990</v>
      </c>
      <c r="C302" s="3" t="s">
        <v>6985</v>
      </c>
      <c r="D302" s="3" t="s">
        <v>6303</v>
      </c>
      <c r="E302" s="3">
        <v>301</v>
      </c>
      <c r="F302" s="3" t="s">
        <v>679</v>
      </c>
      <c r="G302" s="3" t="s">
        <v>1106</v>
      </c>
    </row>
    <row r="303" spans="1:8" x14ac:dyDescent="0.25">
      <c r="A303" s="3" t="s">
        <v>6983</v>
      </c>
      <c r="B303" s="3" t="s">
        <v>6990</v>
      </c>
      <c r="C303" s="3" t="s">
        <v>6985</v>
      </c>
      <c r="D303" s="3" t="s">
        <v>6303</v>
      </c>
      <c r="E303" s="3">
        <v>302</v>
      </c>
      <c r="F303" s="3" t="s">
        <v>680</v>
      </c>
      <c r="G303" s="3" t="s">
        <v>16</v>
      </c>
      <c r="H303" s="3" t="s">
        <v>6946</v>
      </c>
    </row>
    <row r="304" spans="1:8" x14ac:dyDescent="0.25">
      <c r="A304" s="3" t="s">
        <v>6983</v>
      </c>
      <c r="B304" s="3" t="s">
        <v>6990</v>
      </c>
      <c r="C304" s="3" t="s">
        <v>6985</v>
      </c>
      <c r="D304" s="3" t="s">
        <v>6303</v>
      </c>
      <c r="E304" s="3">
        <v>303</v>
      </c>
      <c r="F304" s="3" t="s">
        <v>681</v>
      </c>
      <c r="G304" s="3" t="s">
        <v>16</v>
      </c>
      <c r="H304" s="3" t="s">
        <v>6947</v>
      </c>
    </row>
    <row r="305" spans="1:8" x14ac:dyDescent="0.25">
      <c r="A305" s="3" t="s">
        <v>6983</v>
      </c>
      <c r="B305" s="3" t="s">
        <v>6990</v>
      </c>
      <c r="C305" s="3" t="s">
        <v>6985</v>
      </c>
      <c r="D305" s="3" t="s">
        <v>6303</v>
      </c>
      <c r="E305" s="3">
        <v>304</v>
      </c>
      <c r="F305" s="3" t="s">
        <v>682</v>
      </c>
      <c r="G305" s="3" t="s">
        <v>1093</v>
      </c>
      <c r="H305" s="3" t="s">
        <v>6973</v>
      </c>
    </row>
    <row r="306" spans="1:8" x14ac:dyDescent="0.25">
      <c r="A306" s="3" t="s">
        <v>6983</v>
      </c>
      <c r="B306" s="3" t="s">
        <v>6990</v>
      </c>
      <c r="C306" s="3" t="s">
        <v>6985</v>
      </c>
      <c r="D306" s="3" t="s">
        <v>6303</v>
      </c>
      <c r="E306" s="3">
        <v>305</v>
      </c>
      <c r="F306" s="3" t="s">
        <v>683</v>
      </c>
      <c r="G306" s="3" t="s">
        <v>17</v>
      </c>
      <c r="H306" s="3" t="s">
        <v>6972</v>
      </c>
    </row>
    <row r="307" spans="1:8" x14ac:dyDescent="0.25">
      <c r="A307" s="3" t="s">
        <v>6983</v>
      </c>
      <c r="B307" s="3" t="s">
        <v>6990</v>
      </c>
      <c r="C307" s="3" t="s">
        <v>6985</v>
      </c>
      <c r="D307" s="3" t="s">
        <v>6303</v>
      </c>
      <c r="E307" s="3">
        <v>306</v>
      </c>
      <c r="F307" s="3" t="s">
        <v>684</v>
      </c>
      <c r="G307" s="3" t="s">
        <v>17</v>
      </c>
      <c r="H307" s="3" t="s">
        <v>6972</v>
      </c>
    </row>
    <row r="308" spans="1:8" x14ac:dyDescent="0.25">
      <c r="A308" s="3" t="s">
        <v>6983</v>
      </c>
      <c r="B308" s="3" t="s">
        <v>6990</v>
      </c>
      <c r="C308" s="3" t="s">
        <v>6985</v>
      </c>
      <c r="D308" s="3" t="s">
        <v>6304</v>
      </c>
      <c r="E308" s="3">
        <v>307</v>
      </c>
      <c r="F308" s="3" t="s">
        <v>685</v>
      </c>
      <c r="G308" s="3" t="s">
        <v>31</v>
      </c>
      <c r="H308" s="3" t="s">
        <v>6968</v>
      </c>
    </row>
    <row r="309" spans="1:8" x14ac:dyDescent="0.25">
      <c r="A309" s="3" t="s">
        <v>6983</v>
      </c>
      <c r="B309" s="3" t="s">
        <v>6990</v>
      </c>
      <c r="C309" s="3" t="s">
        <v>6985</v>
      </c>
      <c r="D309" s="3" t="s">
        <v>1138</v>
      </c>
      <c r="E309" s="3">
        <v>308</v>
      </c>
      <c r="F309" s="3" t="s">
        <v>228</v>
      </c>
      <c r="G309" s="3" t="s">
        <v>11</v>
      </c>
      <c r="H309" s="3" t="s">
        <v>6976</v>
      </c>
    </row>
    <row r="310" spans="1:8" x14ac:dyDescent="0.25">
      <c r="A310" s="3" t="s">
        <v>6983</v>
      </c>
      <c r="B310" s="3" t="s">
        <v>6990</v>
      </c>
      <c r="C310" s="3" t="s">
        <v>6985</v>
      </c>
      <c r="D310" s="3" t="s">
        <v>1138</v>
      </c>
      <c r="E310" s="3">
        <v>309</v>
      </c>
      <c r="F310" s="3" t="s">
        <v>229</v>
      </c>
      <c r="G310" s="3" t="s">
        <v>13</v>
      </c>
      <c r="H310" s="4" t="s">
        <v>6974</v>
      </c>
    </row>
    <row r="311" spans="1:8" x14ac:dyDescent="0.25">
      <c r="A311" s="3" t="s">
        <v>6983</v>
      </c>
      <c r="B311" s="3" t="s">
        <v>6990</v>
      </c>
      <c r="C311" s="3" t="s">
        <v>6985</v>
      </c>
      <c r="D311" s="3" t="s">
        <v>1138</v>
      </c>
      <c r="E311" s="3">
        <v>310</v>
      </c>
      <c r="F311" s="3" t="s">
        <v>230</v>
      </c>
      <c r="G311" s="3" t="s">
        <v>9</v>
      </c>
      <c r="H311" s="4" t="s">
        <v>6975</v>
      </c>
    </row>
    <row r="312" spans="1:8" x14ac:dyDescent="0.25">
      <c r="A312" s="3" t="s">
        <v>6983</v>
      </c>
      <c r="B312" s="3" t="s">
        <v>6990</v>
      </c>
      <c r="C312" s="3" t="s">
        <v>6985</v>
      </c>
      <c r="D312" s="3" t="s">
        <v>6305</v>
      </c>
      <c r="E312" s="3">
        <v>311</v>
      </c>
      <c r="F312" s="3" t="s">
        <v>6169</v>
      </c>
      <c r="G312" s="3" t="s">
        <v>1094</v>
      </c>
      <c r="H312" s="3" t="s">
        <v>6615</v>
      </c>
    </row>
    <row r="313" spans="1:8" x14ac:dyDescent="0.25">
      <c r="A313" s="3" t="s">
        <v>6983</v>
      </c>
      <c r="B313" s="3" t="s">
        <v>6990</v>
      </c>
      <c r="C313" s="3" t="s">
        <v>6985</v>
      </c>
      <c r="D313" s="3" t="s">
        <v>6305</v>
      </c>
      <c r="E313" s="3">
        <v>312</v>
      </c>
      <c r="F313" s="3" t="s">
        <v>6170</v>
      </c>
      <c r="G313" s="3" t="s">
        <v>1095</v>
      </c>
      <c r="H313" s="3" t="s">
        <v>32</v>
      </c>
    </row>
    <row r="314" spans="1:8" x14ac:dyDescent="0.25">
      <c r="A314" s="3" t="s">
        <v>6983</v>
      </c>
      <c r="B314" s="3" t="s">
        <v>6990</v>
      </c>
      <c r="C314" s="3" t="s">
        <v>6985</v>
      </c>
      <c r="D314" s="3" t="s">
        <v>6305</v>
      </c>
      <c r="E314" s="3">
        <v>313</v>
      </c>
      <c r="F314" s="3" t="s">
        <v>6171</v>
      </c>
      <c r="G314" s="3" t="s">
        <v>1095</v>
      </c>
      <c r="H314" s="3" t="s">
        <v>1144</v>
      </c>
    </row>
    <row r="315" spans="1:8" x14ac:dyDescent="0.25">
      <c r="A315" s="3" t="s">
        <v>6983</v>
      </c>
      <c r="B315" s="3" t="s">
        <v>6990</v>
      </c>
      <c r="C315" s="3" t="s">
        <v>6985</v>
      </c>
      <c r="D315" s="3" t="s">
        <v>6305</v>
      </c>
      <c r="E315" s="3">
        <v>314</v>
      </c>
      <c r="F315" s="3" t="s">
        <v>6172</v>
      </c>
      <c r="G315" s="3" t="s">
        <v>9</v>
      </c>
      <c r="H315" s="3" t="s">
        <v>7023</v>
      </c>
    </row>
    <row r="316" spans="1:8" x14ac:dyDescent="0.25">
      <c r="A316" s="3" t="s">
        <v>6983</v>
      </c>
      <c r="B316" s="3" t="s">
        <v>6990</v>
      </c>
      <c r="C316" s="3" t="s">
        <v>6985</v>
      </c>
      <c r="D316" s="3" t="s">
        <v>6305</v>
      </c>
      <c r="E316" s="3">
        <v>315</v>
      </c>
      <c r="F316" s="3" t="s">
        <v>6173</v>
      </c>
      <c r="G316" s="3" t="s">
        <v>13</v>
      </c>
      <c r="H316" s="3" t="s">
        <v>2128</v>
      </c>
    </row>
    <row r="317" spans="1:8" x14ac:dyDescent="0.25">
      <c r="A317" s="3" t="s">
        <v>6983</v>
      </c>
      <c r="B317" s="3" t="s">
        <v>6990</v>
      </c>
      <c r="C317" s="3" t="s">
        <v>6985</v>
      </c>
      <c r="D317" s="3" t="s">
        <v>6305</v>
      </c>
      <c r="E317" s="3">
        <v>316</v>
      </c>
      <c r="F317" s="4" t="s">
        <v>6174</v>
      </c>
      <c r="G317" s="4" t="s">
        <v>2100</v>
      </c>
      <c r="H317" s="4" t="s">
        <v>6689</v>
      </c>
    </row>
    <row r="318" spans="1:8" x14ac:dyDescent="0.25">
      <c r="A318" s="3" t="s">
        <v>6983</v>
      </c>
      <c r="B318" s="3" t="s">
        <v>6990</v>
      </c>
      <c r="C318" s="3" t="s">
        <v>6985</v>
      </c>
      <c r="D318" s="3" t="s">
        <v>6305</v>
      </c>
      <c r="E318" s="3">
        <v>317</v>
      </c>
      <c r="F318" s="3" t="s">
        <v>6175</v>
      </c>
      <c r="G318" s="3" t="s">
        <v>1093</v>
      </c>
      <c r="H318" s="3" t="s">
        <v>1241</v>
      </c>
    </row>
    <row r="319" spans="1:8" x14ac:dyDescent="0.25">
      <c r="A319" s="3" t="s">
        <v>6983</v>
      </c>
      <c r="B319" s="3" t="s">
        <v>6990</v>
      </c>
      <c r="C319" s="3" t="s">
        <v>6985</v>
      </c>
      <c r="D319" s="3" t="s">
        <v>6305</v>
      </c>
      <c r="E319" s="3">
        <v>318</v>
      </c>
      <c r="F319" s="3" t="s">
        <v>6176</v>
      </c>
      <c r="G319" s="3" t="s">
        <v>2100</v>
      </c>
      <c r="H319" s="3" t="s">
        <v>1244</v>
      </c>
    </row>
    <row r="320" spans="1:8" x14ac:dyDescent="0.25">
      <c r="A320" s="3" t="s">
        <v>6983</v>
      </c>
      <c r="B320" s="3" t="s">
        <v>6990</v>
      </c>
      <c r="C320" s="3" t="s">
        <v>6985</v>
      </c>
      <c r="D320" s="3" t="s">
        <v>6305</v>
      </c>
      <c r="E320" s="3">
        <v>319</v>
      </c>
      <c r="F320" s="3" t="s">
        <v>6177</v>
      </c>
      <c r="G320" s="3" t="s">
        <v>1097</v>
      </c>
      <c r="H320" s="3" t="s">
        <v>33</v>
      </c>
    </row>
    <row r="321" spans="1:10" x14ac:dyDescent="0.25">
      <c r="A321" s="3" t="s">
        <v>6983</v>
      </c>
      <c r="B321" s="3" t="s">
        <v>6990</v>
      </c>
      <c r="C321" s="3" t="s">
        <v>6985</v>
      </c>
      <c r="D321" s="3" t="s">
        <v>6305</v>
      </c>
      <c r="E321" s="3">
        <v>320</v>
      </c>
      <c r="F321" s="3" t="s">
        <v>6178</v>
      </c>
      <c r="G321" s="3" t="s">
        <v>13</v>
      </c>
      <c r="H321" s="3" t="s">
        <v>1246</v>
      </c>
    </row>
    <row r="322" spans="1:10" x14ac:dyDescent="0.25">
      <c r="A322" s="3" t="s">
        <v>6983</v>
      </c>
      <c r="B322" s="3" t="s">
        <v>6990</v>
      </c>
      <c r="C322" s="3" t="s">
        <v>6985</v>
      </c>
      <c r="D322" s="3" t="s">
        <v>1138</v>
      </c>
      <c r="E322" s="3">
        <v>321</v>
      </c>
      <c r="F322" s="3" t="s">
        <v>1962</v>
      </c>
      <c r="G322" s="3" t="s">
        <v>1096</v>
      </c>
      <c r="H322" s="3" t="s">
        <v>7006</v>
      </c>
      <c r="J322" s="3" t="s">
        <v>7007</v>
      </c>
    </row>
    <row r="323" spans="1:10" x14ac:dyDescent="0.25">
      <c r="A323" s="3" t="s">
        <v>6983</v>
      </c>
      <c r="B323" s="3" t="s">
        <v>6990</v>
      </c>
      <c r="C323" s="3" t="s">
        <v>6985</v>
      </c>
      <c r="D323" s="3" t="s">
        <v>1138</v>
      </c>
      <c r="E323" s="3">
        <v>322</v>
      </c>
      <c r="F323" s="3" t="s">
        <v>1963</v>
      </c>
      <c r="G323" s="3" t="s">
        <v>4</v>
      </c>
      <c r="H323" s="4" t="s">
        <v>2129</v>
      </c>
      <c r="I323" s="3" t="s">
        <v>1179</v>
      </c>
    </row>
    <row r="324" spans="1:10" x14ac:dyDescent="0.25">
      <c r="A324" s="3" t="s">
        <v>6983</v>
      </c>
      <c r="B324" s="3" t="s">
        <v>6990</v>
      </c>
      <c r="C324" s="3" t="s">
        <v>6985</v>
      </c>
      <c r="D324" s="3" t="s">
        <v>1138</v>
      </c>
      <c r="E324" s="3">
        <v>323</v>
      </c>
      <c r="F324" s="3" t="s">
        <v>1964</v>
      </c>
      <c r="G324" s="3" t="s">
        <v>4</v>
      </c>
      <c r="H324" s="4" t="s">
        <v>2130</v>
      </c>
      <c r="I324" s="3" t="s">
        <v>1179</v>
      </c>
    </row>
    <row r="325" spans="1:10" x14ac:dyDescent="0.25">
      <c r="A325" s="3" t="s">
        <v>6983</v>
      </c>
      <c r="B325" s="3" t="s">
        <v>6990</v>
      </c>
      <c r="C325" s="3" t="s">
        <v>6985</v>
      </c>
      <c r="D325" s="3" t="s">
        <v>1138</v>
      </c>
      <c r="E325" s="3">
        <v>324</v>
      </c>
      <c r="F325" s="3" t="s">
        <v>1965</v>
      </c>
      <c r="G325" s="3" t="s">
        <v>1093</v>
      </c>
      <c r="H325" s="4" t="s">
        <v>6618</v>
      </c>
      <c r="I325" s="3" t="s">
        <v>1179</v>
      </c>
    </row>
    <row r="326" spans="1:10" x14ac:dyDescent="0.25">
      <c r="A326" s="3" t="s">
        <v>6983</v>
      </c>
      <c r="B326" s="3" t="s">
        <v>6990</v>
      </c>
      <c r="C326" s="3" t="s">
        <v>6985</v>
      </c>
      <c r="D326" s="3" t="s">
        <v>1138</v>
      </c>
      <c r="E326" s="3">
        <v>325</v>
      </c>
      <c r="F326" s="3" t="s">
        <v>1966</v>
      </c>
      <c r="G326" s="3" t="s">
        <v>1093</v>
      </c>
      <c r="H326" s="4" t="s">
        <v>2131</v>
      </c>
      <c r="I326" s="3" t="s">
        <v>1179</v>
      </c>
    </row>
    <row r="327" spans="1:10" x14ac:dyDescent="0.25">
      <c r="A327" s="3" t="s">
        <v>6983</v>
      </c>
      <c r="B327" s="3" t="s">
        <v>6990</v>
      </c>
      <c r="C327" s="3" t="s">
        <v>6985</v>
      </c>
      <c r="D327" s="3" t="s">
        <v>1138</v>
      </c>
      <c r="E327" s="3">
        <v>326</v>
      </c>
      <c r="F327" s="3" t="s">
        <v>1967</v>
      </c>
      <c r="G327" s="3" t="s">
        <v>1093</v>
      </c>
      <c r="H327" s="4" t="s">
        <v>2132</v>
      </c>
      <c r="I327" s="3" t="s">
        <v>1179</v>
      </c>
    </row>
    <row r="328" spans="1:10" x14ac:dyDescent="0.25">
      <c r="A328" s="3" t="s">
        <v>6983</v>
      </c>
      <c r="B328" s="3" t="s">
        <v>6990</v>
      </c>
      <c r="C328" s="3" t="s">
        <v>6985</v>
      </c>
      <c r="D328" s="3" t="s">
        <v>1138</v>
      </c>
      <c r="E328" s="3">
        <v>327</v>
      </c>
      <c r="F328" s="3" t="s">
        <v>1968</v>
      </c>
      <c r="G328" s="3" t="s">
        <v>1093</v>
      </c>
      <c r="H328" s="4" t="s">
        <v>2133</v>
      </c>
      <c r="I328" s="3" t="s">
        <v>1179</v>
      </c>
    </row>
    <row r="329" spans="1:10" x14ac:dyDescent="0.25">
      <c r="A329" s="3" t="s">
        <v>6983</v>
      </c>
      <c r="B329" s="3" t="s">
        <v>6990</v>
      </c>
      <c r="C329" s="3" t="s">
        <v>6985</v>
      </c>
      <c r="D329" s="3" t="s">
        <v>1138</v>
      </c>
      <c r="E329" s="3">
        <v>328</v>
      </c>
      <c r="F329" s="3" t="s">
        <v>1969</v>
      </c>
      <c r="G329" s="3" t="s">
        <v>1093</v>
      </c>
      <c r="H329" s="4" t="s">
        <v>2134</v>
      </c>
      <c r="I329" s="3" t="s">
        <v>1179</v>
      </c>
    </row>
    <row r="330" spans="1:10" x14ac:dyDescent="0.25">
      <c r="A330" s="3" t="s">
        <v>6983</v>
      </c>
      <c r="B330" s="3" t="s">
        <v>6990</v>
      </c>
      <c r="C330" s="3" t="s">
        <v>6985</v>
      </c>
      <c r="D330" s="3" t="s">
        <v>1138</v>
      </c>
      <c r="E330" s="3">
        <v>329</v>
      </c>
      <c r="F330" s="3" t="s">
        <v>1970</v>
      </c>
      <c r="G330" s="3" t="s">
        <v>1093</v>
      </c>
      <c r="H330" s="4" t="s">
        <v>2144</v>
      </c>
      <c r="I330" s="3" t="s">
        <v>1179</v>
      </c>
    </row>
    <row r="331" spans="1:10" x14ac:dyDescent="0.25">
      <c r="A331" s="3" t="s">
        <v>6983</v>
      </c>
      <c r="B331" s="3" t="s">
        <v>6990</v>
      </c>
      <c r="C331" s="3" t="s">
        <v>6985</v>
      </c>
      <c r="D331" s="3" t="s">
        <v>1138</v>
      </c>
      <c r="E331" s="3">
        <v>330</v>
      </c>
      <c r="F331" s="3" t="s">
        <v>1971</v>
      </c>
      <c r="G331" s="3" t="s">
        <v>1093</v>
      </c>
      <c r="H331" s="4" t="s">
        <v>2136</v>
      </c>
      <c r="I331" s="3" t="s">
        <v>1179</v>
      </c>
    </row>
    <row r="332" spans="1:10" x14ac:dyDescent="0.25">
      <c r="A332" s="3" t="s">
        <v>6983</v>
      </c>
      <c r="B332" s="3" t="s">
        <v>6990</v>
      </c>
      <c r="C332" s="3" t="s">
        <v>6985</v>
      </c>
      <c r="D332" s="3" t="s">
        <v>1138</v>
      </c>
      <c r="E332" s="3">
        <v>331</v>
      </c>
      <c r="F332" s="3" t="s">
        <v>1972</v>
      </c>
      <c r="G332" s="3" t="s">
        <v>9</v>
      </c>
      <c r="H332" s="4" t="s">
        <v>2137</v>
      </c>
      <c r="I332" s="3" t="s">
        <v>1179</v>
      </c>
    </row>
    <row r="333" spans="1:10" x14ac:dyDescent="0.25">
      <c r="A333" s="3" t="s">
        <v>6983</v>
      </c>
      <c r="B333" s="3" t="s">
        <v>6990</v>
      </c>
      <c r="C333" s="3" t="s">
        <v>6985</v>
      </c>
      <c r="D333" s="3" t="s">
        <v>1138</v>
      </c>
      <c r="E333" s="3">
        <v>332</v>
      </c>
      <c r="F333" s="3" t="s">
        <v>1973</v>
      </c>
      <c r="G333" s="3" t="s">
        <v>1093</v>
      </c>
      <c r="H333" s="4" t="s">
        <v>2138</v>
      </c>
      <c r="I333" s="3" t="s">
        <v>1179</v>
      </c>
    </row>
    <row r="334" spans="1:10" x14ac:dyDescent="0.25">
      <c r="A334" s="3" t="s">
        <v>6983</v>
      </c>
      <c r="B334" s="3" t="s">
        <v>6990</v>
      </c>
      <c r="C334" s="3" t="s">
        <v>6985</v>
      </c>
      <c r="D334" s="3" t="s">
        <v>1138</v>
      </c>
      <c r="E334" s="3">
        <v>333</v>
      </c>
      <c r="F334" s="3" t="s">
        <v>1974</v>
      </c>
      <c r="G334" s="3" t="s">
        <v>1093</v>
      </c>
      <c r="H334" s="4" t="s">
        <v>2139</v>
      </c>
      <c r="I334" s="3" t="s">
        <v>1179</v>
      </c>
    </row>
    <row r="335" spans="1:10" x14ac:dyDescent="0.25">
      <c r="A335" s="3" t="s">
        <v>6983</v>
      </c>
      <c r="B335" s="3" t="s">
        <v>6990</v>
      </c>
      <c r="C335" s="3" t="s">
        <v>6985</v>
      </c>
      <c r="D335" s="3" t="s">
        <v>1138</v>
      </c>
      <c r="E335" s="3">
        <v>334</v>
      </c>
      <c r="F335" s="3" t="s">
        <v>1975</v>
      </c>
      <c r="G335" s="3" t="s">
        <v>19</v>
      </c>
      <c r="H335" s="4" t="s">
        <v>1190</v>
      </c>
      <c r="I335" s="3" t="s">
        <v>1179</v>
      </c>
    </row>
    <row r="336" spans="1:10" x14ac:dyDescent="0.25">
      <c r="A336" s="3" t="s">
        <v>6983</v>
      </c>
      <c r="B336" s="3" t="s">
        <v>6990</v>
      </c>
      <c r="C336" s="3" t="s">
        <v>6985</v>
      </c>
      <c r="D336" s="3" t="s">
        <v>1138</v>
      </c>
      <c r="E336" s="3">
        <v>335</v>
      </c>
      <c r="F336" s="3" t="s">
        <v>1976</v>
      </c>
      <c r="G336" s="3" t="s">
        <v>1093</v>
      </c>
      <c r="H336" s="4" t="s">
        <v>6616</v>
      </c>
      <c r="I336" s="3" t="s">
        <v>1179</v>
      </c>
    </row>
    <row r="337" spans="1:9" x14ac:dyDescent="0.25">
      <c r="A337" s="3" t="s">
        <v>6983</v>
      </c>
      <c r="B337" s="3" t="s">
        <v>6990</v>
      </c>
      <c r="C337" s="3" t="s">
        <v>6985</v>
      </c>
      <c r="D337" s="3" t="s">
        <v>1138</v>
      </c>
      <c r="E337" s="3">
        <v>336</v>
      </c>
      <c r="F337" s="3" t="s">
        <v>1977</v>
      </c>
      <c r="G337" s="3" t="s">
        <v>9</v>
      </c>
      <c r="H337" s="4" t="s">
        <v>6617</v>
      </c>
      <c r="I337" s="3" t="s">
        <v>1179</v>
      </c>
    </row>
    <row r="338" spans="1:9" x14ac:dyDescent="0.25">
      <c r="A338" s="3" t="s">
        <v>6983</v>
      </c>
      <c r="B338" s="3" t="s">
        <v>6990</v>
      </c>
      <c r="C338" s="3" t="s">
        <v>6985</v>
      </c>
      <c r="D338" s="3" t="s">
        <v>1138</v>
      </c>
      <c r="E338" s="3">
        <v>337</v>
      </c>
      <c r="F338" s="3" t="s">
        <v>1978</v>
      </c>
      <c r="G338" s="3" t="s">
        <v>13</v>
      </c>
      <c r="H338" s="4" t="s">
        <v>2146</v>
      </c>
    </row>
    <row r="339" spans="1:9" x14ac:dyDescent="0.25">
      <c r="A339" s="3" t="s">
        <v>6983</v>
      </c>
      <c r="B339" s="3" t="s">
        <v>6990</v>
      </c>
      <c r="C339" s="3" t="s">
        <v>6985</v>
      </c>
      <c r="D339" s="3" t="s">
        <v>1138</v>
      </c>
      <c r="E339" s="3">
        <v>338</v>
      </c>
      <c r="F339" s="3" t="s">
        <v>1979</v>
      </c>
      <c r="G339" s="3" t="s">
        <v>9</v>
      </c>
      <c r="H339" s="4" t="s">
        <v>2147</v>
      </c>
    </row>
    <row r="340" spans="1:9" x14ac:dyDescent="0.25">
      <c r="A340" s="3" t="s">
        <v>6983</v>
      </c>
      <c r="B340" s="3" t="s">
        <v>6990</v>
      </c>
      <c r="C340" s="3" t="s">
        <v>6985</v>
      </c>
      <c r="D340" s="3" t="s">
        <v>1138</v>
      </c>
      <c r="E340" s="3">
        <v>339</v>
      </c>
      <c r="F340" s="3" t="s">
        <v>1980</v>
      </c>
      <c r="G340" s="3" t="s">
        <v>13</v>
      </c>
      <c r="H340" s="4" t="s">
        <v>2148</v>
      </c>
    </row>
    <row r="341" spans="1:9" x14ac:dyDescent="0.25">
      <c r="A341" s="3" t="s">
        <v>6983</v>
      </c>
      <c r="B341" s="3" t="s">
        <v>6990</v>
      </c>
      <c r="C341" s="3" t="s">
        <v>6985</v>
      </c>
      <c r="D341" s="3" t="s">
        <v>1138</v>
      </c>
      <c r="E341" s="3">
        <v>340</v>
      </c>
      <c r="F341" s="3" t="s">
        <v>1981</v>
      </c>
      <c r="G341" s="3" t="s">
        <v>13</v>
      </c>
      <c r="H341" s="3" t="s">
        <v>2149</v>
      </c>
    </row>
    <row r="342" spans="1:9" x14ac:dyDescent="0.25">
      <c r="A342" s="3" t="s">
        <v>6983</v>
      </c>
      <c r="B342" s="3" t="s">
        <v>6990</v>
      </c>
      <c r="C342" s="3" t="s">
        <v>6985</v>
      </c>
      <c r="D342" s="3" t="s">
        <v>1138</v>
      </c>
      <c r="E342" s="3">
        <v>341</v>
      </c>
      <c r="F342" s="3" t="s">
        <v>6179</v>
      </c>
      <c r="G342" s="3" t="s">
        <v>13</v>
      </c>
      <c r="H342" s="4" t="s">
        <v>6619</v>
      </c>
    </row>
    <row r="343" spans="1:9" x14ac:dyDescent="0.25">
      <c r="A343" s="3" t="s">
        <v>6983</v>
      </c>
      <c r="B343" s="3" t="s">
        <v>6990</v>
      </c>
      <c r="C343" s="3" t="s">
        <v>6985</v>
      </c>
      <c r="D343" s="3" t="s">
        <v>1138</v>
      </c>
      <c r="E343" s="3">
        <v>342</v>
      </c>
      <c r="F343" s="3" t="s">
        <v>6180</v>
      </c>
      <c r="G343" s="3" t="s">
        <v>9</v>
      </c>
      <c r="H343" s="4" t="s">
        <v>6620</v>
      </c>
    </row>
    <row r="344" spans="1:9" x14ac:dyDescent="0.25">
      <c r="A344" s="3" t="s">
        <v>6983</v>
      </c>
      <c r="B344" s="3" t="s">
        <v>6990</v>
      </c>
      <c r="C344" s="3" t="s">
        <v>6985</v>
      </c>
      <c r="D344" s="3" t="s">
        <v>1138</v>
      </c>
      <c r="E344" s="3">
        <v>343</v>
      </c>
      <c r="F344" s="3" t="s">
        <v>1509</v>
      </c>
      <c r="G344" s="3" t="s">
        <v>13</v>
      </c>
      <c r="H344" s="4" t="s">
        <v>2150</v>
      </c>
    </row>
    <row r="345" spans="1:9" x14ac:dyDescent="0.25">
      <c r="A345" s="3" t="s">
        <v>6983</v>
      </c>
      <c r="B345" s="3" t="s">
        <v>6990</v>
      </c>
      <c r="C345" s="3" t="s">
        <v>6985</v>
      </c>
      <c r="D345" s="3" t="s">
        <v>1138</v>
      </c>
      <c r="E345" s="3">
        <v>344</v>
      </c>
      <c r="F345" s="3" t="s">
        <v>1508</v>
      </c>
      <c r="G345" s="3" t="s">
        <v>9</v>
      </c>
      <c r="H345" s="4" t="s">
        <v>2151</v>
      </c>
    </row>
    <row r="346" spans="1:9" x14ac:dyDescent="0.25">
      <c r="A346" s="3" t="s">
        <v>6983</v>
      </c>
      <c r="B346" s="3" t="s">
        <v>6990</v>
      </c>
      <c r="C346" s="3" t="s">
        <v>6985</v>
      </c>
      <c r="D346" s="3" t="s">
        <v>1138</v>
      </c>
      <c r="E346" s="3">
        <v>345</v>
      </c>
      <c r="F346" s="3" t="s">
        <v>1984</v>
      </c>
      <c r="G346" s="3" t="s">
        <v>13</v>
      </c>
      <c r="H346" s="4" t="s">
        <v>2152</v>
      </c>
    </row>
    <row r="347" spans="1:9" x14ac:dyDescent="0.25">
      <c r="A347" s="3" t="s">
        <v>6983</v>
      </c>
      <c r="B347" s="3" t="s">
        <v>6990</v>
      </c>
      <c r="C347" s="3" t="s">
        <v>6985</v>
      </c>
      <c r="D347" s="3" t="s">
        <v>1138</v>
      </c>
      <c r="E347" s="3">
        <v>346</v>
      </c>
      <c r="F347" s="3" t="s">
        <v>1985</v>
      </c>
      <c r="G347" s="3" t="s">
        <v>9</v>
      </c>
      <c r="H347" s="4" t="s">
        <v>2153</v>
      </c>
    </row>
    <row r="348" spans="1:9" x14ac:dyDescent="0.25">
      <c r="A348" s="3" t="s">
        <v>6983</v>
      </c>
      <c r="B348" s="3" t="s">
        <v>6990</v>
      </c>
      <c r="C348" s="3" t="s">
        <v>6985</v>
      </c>
      <c r="D348" s="3" t="s">
        <v>1138</v>
      </c>
      <c r="E348" s="3">
        <v>347</v>
      </c>
      <c r="F348" s="3" t="s">
        <v>761</v>
      </c>
      <c r="G348" s="3" t="s">
        <v>1093</v>
      </c>
      <c r="H348" s="4" t="s">
        <v>1221</v>
      </c>
    </row>
    <row r="349" spans="1:9" x14ac:dyDescent="0.25">
      <c r="A349" s="3" t="s">
        <v>6983</v>
      </c>
      <c r="B349" s="3" t="s">
        <v>6990</v>
      </c>
      <c r="C349" s="3" t="s">
        <v>6985</v>
      </c>
      <c r="D349" s="3" t="s">
        <v>1138</v>
      </c>
      <c r="E349" s="3">
        <v>348</v>
      </c>
      <c r="F349" s="4" t="s">
        <v>6181</v>
      </c>
      <c r="G349" s="4" t="s">
        <v>20</v>
      </c>
      <c r="H349" s="4" t="str">
        <f>_xlfn.CONCAT("Output ",F349, " from 3rd party Ballast Tanks system (0 or 1 indicates whether it's void or not).")</f>
        <v>Output VOID NEA-VC from 3rd party Ballast Tanks system (0 or 1 indicates whether it's void or not).</v>
      </c>
    </row>
    <row r="350" spans="1:9" x14ac:dyDescent="0.25">
      <c r="A350" s="3" t="s">
        <v>6983</v>
      </c>
      <c r="B350" s="3" t="s">
        <v>6990</v>
      </c>
      <c r="C350" s="3" t="s">
        <v>6985</v>
      </c>
      <c r="D350" s="3" t="s">
        <v>1138</v>
      </c>
      <c r="E350" s="3">
        <v>349</v>
      </c>
      <c r="F350" s="4" t="s">
        <v>6181</v>
      </c>
      <c r="G350" s="4" t="s">
        <v>20</v>
      </c>
      <c r="H350" s="4" t="str">
        <f t="shared" ref="H350:H376" si="5">_xlfn.CONCAT("Output ",F350, " from 3rd party Ballast Tanks system (0 or 1 indicates whether it's void or not).")</f>
        <v>Output VOID NEA-VC from 3rd party Ballast Tanks system (0 or 1 indicates whether it's void or not).</v>
      </c>
    </row>
    <row r="351" spans="1:9" x14ac:dyDescent="0.25">
      <c r="A351" s="3" t="s">
        <v>6983</v>
      </c>
      <c r="B351" s="3" t="s">
        <v>6990</v>
      </c>
      <c r="C351" s="3" t="s">
        <v>6985</v>
      </c>
      <c r="D351" s="3" t="s">
        <v>1138</v>
      </c>
      <c r="E351" s="3">
        <v>350</v>
      </c>
      <c r="F351" s="4" t="s">
        <v>6181</v>
      </c>
      <c r="G351" s="4" t="s">
        <v>20</v>
      </c>
      <c r="H351" s="4" t="str">
        <f t="shared" si="5"/>
        <v>Output VOID NEA-VC from 3rd party Ballast Tanks system (0 or 1 indicates whether it's void or not).</v>
      </c>
    </row>
    <row r="352" spans="1:9" x14ac:dyDescent="0.25">
      <c r="A352" s="3" t="s">
        <v>6983</v>
      </c>
      <c r="B352" s="3" t="s">
        <v>6990</v>
      </c>
      <c r="C352" s="3" t="s">
        <v>6985</v>
      </c>
      <c r="D352" s="3" t="s">
        <v>1138</v>
      </c>
      <c r="E352" s="3">
        <v>351</v>
      </c>
      <c r="F352" s="4" t="s">
        <v>6181</v>
      </c>
      <c r="G352" s="4" t="s">
        <v>20</v>
      </c>
      <c r="H352" s="4" t="str">
        <f t="shared" si="5"/>
        <v>Output VOID NEA-VC from 3rd party Ballast Tanks system (0 or 1 indicates whether it's void or not).</v>
      </c>
    </row>
    <row r="353" spans="1:8" x14ac:dyDescent="0.25">
      <c r="A353" s="3" t="s">
        <v>6983</v>
      </c>
      <c r="B353" s="3" t="s">
        <v>6990</v>
      </c>
      <c r="C353" s="3" t="s">
        <v>6985</v>
      </c>
      <c r="D353" s="3" t="s">
        <v>1138</v>
      </c>
      <c r="E353" s="3">
        <v>352</v>
      </c>
      <c r="F353" s="4" t="s">
        <v>6181</v>
      </c>
      <c r="G353" s="4" t="s">
        <v>20</v>
      </c>
      <c r="H353" s="4" t="str">
        <f t="shared" si="5"/>
        <v>Output VOID NEA-VC from 3rd party Ballast Tanks system (0 or 1 indicates whether it's void or not).</v>
      </c>
    </row>
    <row r="354" spans="1:8" x14ac:dyDescent="0.25">
      <c r="A354" s="3" t="s">
        <v>6983</v>
      </c>
      <c r="B354" s="3" t="s">
        <v>6990</v>
      </c>
      <c r="C354" s="3" t="s">
        <v>6985</v>
      </c>
      <c r="D354" s="3" t="s">
        <v>1138</v>
      </c>
      <c r="E354" s="3">
        <v>353</v>
      </c>
      <c r="F354" s="4" t="s">
        <v>6181</v>
      </c>
      <c r="G354" s="4" t="s">
        <v>20</v>
      </c>
      <c r="H354" s="4" t="str">
        <f t="shared" si="5"/>
        <v>Output VOID NEA-VC from 3rd party Ballast Tanks system (0 or 1 indicates whether it's void or not).</v>
      </c>
    </row>
    <row r="355" spans="1:8" x14ac:dyDescent="0.25">
      <c r="A355" s="3" t="s">
        <v>6983</v>
      </c>
      <c r="B355" s="3" t="s">
        <v>6990</v>
      </c>
      <c r="C355" s="3" t="s">
        <v>6985</v>
      </c>
      <c r="D355" s="3" t="s">
        <v>1138</v>
      </c>
      <c r="E355" s="3">
        <v>354</v>
      </c>
      <c r="F355" s="4" t="s">
        <v>6181</v>
      </c>
      <c r="G355" s="4" t="s">
        <v>20</v>
      </c>
      <c r="H355" s="4" t="str">
        <f t="shared" si="5"/>
        <v>Output VOID NEA-VC from 3rd party Ballast Tanks system (0 or 1 indicates whether it's void or not).</v>
      </c>
    </row>
    <row r="356" spans="1:8" x14ac:dyDescent="0.25">
      <c r="A356" s="3" t="s">
        <v>6983</v>
      </c>
      <c r="B356" s="3" t="s">
        <v>6990</v>
      </c>
      <c r="C356" s="3" t="s">
        <v>6985</v>
      </c>
      <c r="D356" s="3" t="s">
        <v>1138</v>
      </c>
      <c r="E356" s="3">
        <v>355</v>
      </c>
      <c r="F356" s="4" t="s">
        <v>6181</v>
      </c>
      <c r="G356" s="4" t="s">
        <v>20</v>
      </c>
      <c r="H356" s="4" t="str">
        <f t="shared" si="5"/>
        <v>Output VOID NEA-VC from 3rd party Ballast Tanks system (0 or 1 indicates whether it's void or not).</v>
      </c>
    </row>
    <row r="357" spans="1:8" x14ac:dyDescent="0.25">
      <c r="A357" s="3" t="s">
        <v>6983</v>
      </c>
      <c r="B357" s="3" t="s">
        <v>6990</v>
      </c>
      <c r="C357" s="3" t="s">
        <v>6985</v>
      </c>
      <c r="D357" s="3" t="s">
        <v>1138</v>
      </c>
      <c r="E357" s="3">
        <v>356</v>
      </c>
      <c r="F357" s="4" t="s">
        <v>6181</v>
      </c>
      <c r="G357" s="4" t="s">
        <v>20</v>
      </c>
      <c r="H357" s="4" t="str">
        <f t="shared" si="5"/>
        <v>Output VOID NEA-VC from 3rd party Ballast Tanks system (0 or 1 indicates whether it's void or not).</v>
      </c>
    </row>
    <row r="358" spans="1:8" x14ac:dyDescent="0.25">
      <c r="A358" s="3" t="s">
        <v>6983</v>
      </c>
      <c r="B358" s="3" t="s">
        <v>6990</v>
      </c>
      <c r="C358" s="3" t="s">
        <v>6985</v>
      </c>
      <c r="D358" s="3" t="s">
        <v>1138</v>
      </c>
      <c r="E358" s="3">
        <v>357</v>
      </c>
      <c r="F358" s="4" t="s">
        <v>6181</v>
      </c>
      <c r="G358" s="4" t="s">
        <v>20</v>
      </c>
      <c r="H358" s="4" t="str">
        <f t="shared" si="5"/>
        <v>Output VOID NEA-VC from 3rd party Ballast Tanks system (0 or 1 indicates whether it's void or not).</v>
      </c>
    </row>
    <row r="359" spans="1:8" x14ac:dyDescent="0.25">
      <c r="A359" s="3" t="s">
        <v>6983</v>
      </c>
      <c r="B359" s="3" t="s">
        <v>6990</v>
      </c>
      <c r="C359" s="3" t="s">
        <v>6985</v>
      </c>
      <c r="D359" s="3" t="s">
        <v>1138</v>
      </c>
      <c r="E359" s="3">
        <v>358</v>
      </c>
      <c r="F359" s="4" t="s">
        <v>6181</v>
      </c>
      <c r="G359" s="4" t="s">
        <v>20</v>
      </c>
      <c r="H359" s="4" t="str">
        <f t="shared" si="5"/>
        <v>Output VOID NEA-VC from 3rd party Ballast Tanks system (0 or 1 indicates whether it's void or not).</v>
      </c>
    </row>
    <row r="360" spans="1:8" x14ac:dyDescent="0.25">
      <c r="A360" s="3" t="s">
        <v>6983</v>
      </c>
      <c r="B360" s="3" t="s">
        <v>6990</v>
      </c>
      <c r="C360" s="3" t="s">
        <v>6985</v>
      </c>
      <c r="D360" s="3" t="s">
        <v>1138</v>
      </c>
      <c r="E360" s="3">
        <v>359</v>
      </c>
      <c r="F360" s="4" t="s">
        <v>6181</v>
      </c>
      <c r="G360" s="4" t="s">
        <v>20</v>
      </c>
      <c r="H360" s="4" t="str">
        <f t="shared" si="5"/>
        <v>Output VOID NEA-VC from 3rd party Ballast Tanks system (0 or 1 indicates whether it's void or not).</v>
      </c>
    </row>
    <row r="361" spans="1:8" x14ac:dyDescent="0.25">
      <c r="A361" s="3" t="s">
        <v>6983</v>
      </c>
      <c r="B361" s="3" t="s">
        <v>6990</v>
      </c>
      <c r="C361" s="3" t="s">
        <v>6985</v>
      </c>
      <c r="D361" s="3" t="s">
        <v>1138</v>
      </c>
      <c r="E361" s="3">
        <v>360</v>
      </c>
      <c r="F361" s="4" t="s">
        <v>6181</v>
      </c>
      <c r="G361" s="4" t="s">
        <v>20</v>
      </c>
      <c r="H361" s="4" t="str">
        <f t="shared" si="5"/>
        <v>Output VOID NEA-VC from 3rd party Ballast Tanks system (0 or 1 indicates whether it's void or not).</v>
      </c>
    </row>
    <row r="362" spans="1:8" x14ac:dyDescent="0.25">
      <c r="A362" s="3" t="s">
        <v>6983</v>
      </c>
      <c r="B362" s="3" t="s">
        <v>6990</v>
      </c>
      <c r="C362" s="3" t="s">
        <v>6985</v>
      </c>
      <c r="D362" s="3" t="s">
        <v>1138</v>
      </c>
      <c r="E362" s="3">
        <v>361</v>
      </c>
      <c r="F362" s="4" t="s">
        <v>6181</v>
      </c>
      <c r="G362" s="4" t="s">
        <v>20</v>
      </c>
      <c r="H362" s="4" t="str">
        <f t="shared" si="5"/>
        <v>Output VOID NEA-VC from 3rd party Ballast Tanks system (0 or 1 indicates whether it's void or not).</v>
      </c>
    </row>
    <row r="363" spans="1:8" x14ac:dyDescent="0.25">
      <c r="A363" s="3" t="s">
        <v>6983</v>
      </c>
      <c r="B363" s="3" t="s">
        <v>6990</v>
      </c>
      <c r="C363" s="3" t="s">
        <v>6985</v>
      </c>
      <c r="D363" s="3" t="s">
        <v>1138</v>
      </c>
      <c r="E363" s="3">
        <v>362</v>
      </c>
      <c r="F363" s="4" t="s">
        <v>6181</v>
      </c>
      <c r="G363" s="4" t="s">
        <v>20</v>
      </c>
      <c r="H363" s="4" t="str">
        <f t="shared" si="5"/>
        <v>Output VOID NEA-VC from 3rd party Ballast Tanks system (0 or 1 indicates whether it's void or not).</v>
      </c>
    </row>
    <row r="364" spans="1:8" x14ac:dyDescent="0.25">
      <c r="A364" s="3" t="s">
        <v>6983</v>
      </c>
      <c r="B364" s="3" t="s">
        <v>6990</v>
      </c>
      <c r="C364" s="3" t="s">
        <v>6985</v>
      </c>
      <c r="D364" s="3" t="s">
        <v>1138</v>
      </c>
      <c r="E364" s="3">
        <v>363</v>
      </c>
      <c r="F364" s="4" t="s">
        <v>6181</v>
      </c>
      <c r="G364" s="4" t="s">
        <v>20</v>
      </c>
      <c r="H364" s="4" t="str">
        <f t="shared" si="5"/>
        <v>Output VOID NEA-VC from 3rd party Ballast Tanks system (0 or 1 indicates whether it's void or not).</v>
      </c>
    </row>
    <row r="365" spans="1:8" x14ac:dyDescent="0.25">
      <c r="A365" s="3" t="s">
        <v>6983</v>
      </c>
      <c r="B365" s="3" t="s">
        <v>6990</v>
      </c>
      <c r="C365" s="3" t="s">
        <v>6985</v>
      </c>
      <c r="D365" s="3" t="s">
        <v>1138</v>
      </c>
      <c r="E365" s="3">
        <v>364</v>
      </c>
      <c r="F365" s="4" t="s">
        <v>6181</v>
      </c>
      <c r="G365" s="4" t="s">
        <v>20</v>
      </c>
      <c r="H365" s="4" t="str">
        <f t="shared" si="5"/>
        <v>Output VOID NEA-VC from 3rd party Ballast Tanks system (0 or 1 indicates whether it's void or not).</v>
      </c>
    </row>
    <row r="366" spans="1:8" x14ac:dyDescent="0.25">
      <c r="A366" s="3" t="s">
        <v>6983</v>
      </c>
      <c r="B366" s="3" t="s">
        <v>6990</v>
      </c>
      <c r="C366" s="3" t="s">
        <v>6985</v>
      </c>
      <c r="D366" s="3" t="s">
        <v>1138</v>
      </c>
      <c r="E366" s="3">
        <v>365</v>
      </c>
      <c r="F366" s="4" t="s">
        <v>6181</v>
      </c>
      <c r="G366" s="4" t="s">
        <v>20</v>
      </c>
      <c r="H366" s="4" t="str">
        <f t="shared" si="5"/>
        <v>Output VOID NEA-VC from 3rd party Ballast Tanks system (0 or 1 indicates whether it's void or not).</v>
      </c>
    </row>
    <row r="367" spans="1:8" x14ac:dyDescent="0.25">
      <c r="A367" s="3" t="s">
        <v>6983</v>
      </c>
      <c r="B367" s="3" t="s">
        <v>6990</v>
      </c>
      <c r="C367" s="3" t="s">
        <v>6985</v>
      </c>
      <c r="D367" s="3" t="s">
        <v>1138</v>
      </c>
      <c r="E367" s="3">
        <v>366</v>
      </c>
      <c r="F367" s="4" t="s">
        <v>6181</v>
      </c>
      <c r="G367" s="4" t="s">
        <v>20</v>
      </c>
      <c r="H367" s="4" t="str">
        <f t="shared" si="5"/>
        <v>Output VOID NEA-VC from 3rd party Ballast Tanks system (0 or 1 indicates whether it's void or not).</v>
      </c>
    </row>
    <row r="368" spans="1:8" x14ac:dyDescent="0.25">
      <c r="A368" s="3" t="s">
        <v>6983</v>
      </c>
      <c r="B368" s="3" t="s">
        <v>6990</v>
      </c>
      <c r="C368" s="3" t="s">
        <v>6985</v>
      </c>
      <c r="D368" s="3" t="s">
        <v>1138</v>
      </c>
      <c r="E368" s="3">
        <v>367</v>
      </c>
      <c r="F368" s="4" t="s">
        <v>6181</v>
      </c>
      <c r="G368" s="4" t="s">
        <v>20</v>
      </c>
      <c r="H368" s="4" t="str">
        <f t="shared" si="5"/>
        <v>Output VOID NEA-VC from 3rd party Ballast Tanks system (0 or 1 indicates whether it's void or not).</v>
      </c>
    </row>
    <row r="369" spans="1:8" x14ac:dyDescent="0.25">
      <c r="A369" s="3" t="s">
        <v>6983</v>
      </c>
      <c r="B369" s="3" t="s">
        <v>6990</v>
      </c>
      <c r="C369" s="3" t="s">
        <v>6985</v>
      </c>
      <c r="D369" s="3" t="s">
        <v>1138</v>
      </c>
      <c r="E369" s="3">
        <v>368</v>
      </c>
      <c r="F369" s="4" t="s">
        <v>6181</v>
      </c>
      <c r="G369" s="4" t="s">
        <v>20</v>
      </c>
      <c r="H369" s="4" t="str">
        <f t="shared" si="5"/>
        <v>Output VOID NEA-VC from 3rd party Ballast Tanks system (0 or 1 indicates whether it's void or not).</v>
      </c>
    </row>
    <row r="370" spans="1:8" x14ac:dyDescent="0.25">
      <c r="A370" s="3" t="s">
        <v>6983</v>
      </c>
      <c r="B370" s="3" t="s">
        <v>6990</v>
      </c>
      <c r="C370" s="3" t="s">
        <v>6985</v>
      </c>
      <c r="D370" s="3" t="s">
        <v>1138</v>
      </c>
      <c r="E370" s="3">
        <v>369</v>
      </c>
      <c r="F370" s="4" t="s">
        <v>6181</v>
      </c>
      <c r="G370" s="4" t="s">
        <v>20</v>
      </c>
      <c r="H370" s="4" t="str">
        <f t="shared" si="5"/>
        <v>Output VOID NEA-VC from 3rd party Ballast Tanks system (0 or 1 indicates whether it's void or not).</v>
      </c>
    </row>
    <row r="371" spans="1:8" x14ac:dyDescent="0.25">
      <c r="A371" s="3" t="s">
        <v>6983</v>
      </c>
      <c r="B371" s="3" t="s">
        <v>6990</v>
      </c>
      <c r="C371" s="3" t="s">
        <v>6985</v>
      </c>
      <c r="D371" s="3" t="s">
        <v>1138</v>
      </c>
      <c r="E371" s="3">
        <v>370</v>
      </c>
      <c r="F371" s="4" t="s">
        <v>6181</v>
      </c>
      <c r="G371" s="4" t="s">
        <v>20</v>
      </c>
      <c r="H371" s="4" t="str">
        <f t="shared" si="5"/>
        <v>Output VOID NEA-VC from 3rd party Ballast Tanks system (0 or 1 indicates whether it's void or not).</v>
      </c>
    </row>
    <row r="372" spans="1:8" x14ac:dyDescent="0.25">
      <c r="A372" s="3" t="s">
        <v>6983</v>
      </c>
      <c r="B372" s="3" t="s">
        <v>6990</v>
      </c>
      <c r="C372" s="3" t="s">
        <v>6985</v>
      </c>
      <c r="D372" s="3" t="s">
        <v>1138</v>
      </c>
      <c r="E372" s="3">
        <v>371</v>
      </c>
      <c r="F372" s="4" t="s">
        <v>6181</v>
      </c>
      <c r="G372" s="4" t="s">
        <v>20</v>
      </c>
      <c r="H372" s="4" t="str">
        <f t="shared" si="5"/>
        <v>Output VOID NEA-VC from 3rd party Ballast Tanks system (0 or 1 indicates whether it's void or not).</v>
      </c>
    </row>
    <row r="373" spans="1:8" x14ac:dyDescent="0.25">
      <c r="A373" s="3" t="s">
        <v>6983</v>
      </c>
      <c r="B373" s="3" t="s">
        <v>6990</v>
      </c>
      <c r="C373" s="3" t="s">
        <v>6985</v>
      </c>
      <c r="D373" s="3" t="s">
        <v>1138</v>
      </c>
      <c r="E373" s="3">
        <v>372</v>
      </c>
      <c r="F373" s="4" t="s">
        <v>6181</v>
      </c>
      <c r="G373" s="4" t="s">
        <v>20</v>
      </c>
      <c r="H373" s="4" t="str">
        <f t="shared" si="5"/>
        <v>Output VOID NEA-VC from 3rd party Ballast Tanks system (0 or 1 indicates whether it's void or not).</v>
      </c>
    </row>
    <row r="374" spans="1:8" x14ac:dyDescent="0.25">
      <c r="A374" s="3" t="s">
        <v>6983</v>
      </c>
      <c r="B374" s="3" t="s">
        <v>6990</v>
      </c>
      <c r="C374" s="3" t="s">
        <v>6985</v>
      </c>
      <c r="D374" s="3" t="s">
        <v>1138</v>
      </c>
      <c r="E374" s="3">
        <v>373</v>
      </c>
      <c r="F374" s="4" t="s">
        <v>6181</v>
      </c>
      <c r="G374" s="4" t="s">
        <v>20</v>
      </c>
      <c r="H374" s="4" t="str">
        <f t="shared" si="5"/>
        <v>Output VOID NEA-VC from 3rd party Ballast Tanks system (0 or 1 indicates whether it's void or not).</v>
      </c>
    </row>
    <row r="375" spans="1:8" x14ac:dyDescent="0.25">
      <c r="A375" s="3" t="s">
        <v>6983</v>
      </c>
      <c r="B375" s="3" t="s">
        <v>6990</v>
      </c>
      <c r="C375" s="3" t="s">
        <v>6985</v>
      </c>
      <c r="D375" s="3" t="s">
        <v>1138</v>
      </c>
      <c r="E375" s="3">
        <v>374</v>
      </c>
      <c r="F375" s="4" t="s">
        <v>6181</v>
      </c>
      <c r="G375" s="4" t="s">
        <v>20</v>
      </c>
      <c r="H375" s="4" t="str">
        <f t="shared" si="5"/>
        <v>Output VOID NEA-VC from 3rd party Ballast Tanks system (0 or 1 indicates whether it's void or not).</v>
      </c>
    </row>
    <row r="376" spans="1:8" x14ac:dyDescent="0.25">
      <c r="A376" s="3" t="s">
        <v>6983</v>
      </c>
      <c r="B376" s="3" t="s">
        <v>6990</v>
      </c>
      <c r="C376" s="3" t="s">
        <v>6985</v>
      </c>
      <c r="D376" s="3" t="s">
        <v>1138</v>
      </c>
      <c r="E376" s="3">
        <v>375</v>
      </c>
      <c r="F376" s="4" t="s">
        <v>6181</v>
      </c>
      <c r="G376" s="4" t="s">
        <v>20</v>
      </c>
      <c r="H376" s="4" t="str">
        <f t="shared" si="5"/>
        <v>Output VOID NEA-VC from 3rd party Ballast Tanks system (0 or 1 indicates whether it's void or not).</v>
      </c>
    </row>
    <row r="377" spans="1:8" x14ac:dyDescent="0.25">
      <c r="A377" s="3" t="s">
        <v>6983</v>
      </c>
      <c r="B377" s="3" t="s">
        <v>6990</v>
      </c>
      <c r="C377" s="3" t="s">
        <v>6985</v>
      </c>
      <c r="D377" s="3" t="s">
        <v>1138</v>
      </c>
      <c r="E377" s="3">
        <v>376</v>
      </c>
      <c r="F377" s="3" t="s">
        <v>740</v>
      </c>
      <c r="G377" s="3" t="s">
        <v>1093</v>
      </c>
      <c r="H377" s="4" t="s">
        <v>6817</v>
      </c>
    </row>
    <row r="378" spans="1:8" x14ac:dyDescent="0.25">
      <c r="A378" s="3" t="s">
        <v>6983</v>
      </c>
      <c r="B378" s="3" t="s">
        <v>6990</v>
      </c>
      <c r="C378" s="3" t="s">
        <v>6985</v>
      </c>
      <c r="D378" s="3" t="s">
        <v>1138</v>
      </c>
      <c r="E378" s="3">
        <v>377</v>
      </c>
      <c r="F378" s="3" t="s">
        <v>741</v>
      </c>
      <c r="G378" s="3" t="s">
        <v>1093</v>
      </c>
      <c r="H378" s="4" t="s">
        <v>6818</v>
      </c>
    </row>
    <row r="379" spans="1:8" x14ac:dyDescent="0.25">
      <c r="A379" s="3" t="s">
        <v>6983</v>
      </c>
      <c r="B379" s="3" t="s">
        <v>6990</v>
      </c>
      <c r="C379" s="3" t="s">
        <v>6985</v>
      </c>
      <c r="D379" s="3" t="s">
        <v>1138</v>
      </c>
      <c r="E379" s="3">
        <v>378</v>
      </c>
      <c r="F379" s="3" t="s">
        <v>742</v>
      </c>
      <c r="G379" s="3" t="s">
        <v>17</v>
      </c>
      <c r="H379" s="4" t="s">
        <v>6819</v>
      </c>
    </row>
    <row r="380" spans="1:8" x14ac:dyDescent="0.25">
      <c r="A380" s="3" t="s">
        <v>6983</v>
      </c>
      <c r="B380" s="3" t="s">
        <v>6990</v>
      </c>
      <c r="C380" s="3" t="s">
        <v>6985</v>
      </c>
      <c r="D380" s="3" t="s">
        <v>1138</v>
      </c>
      <c r="E380" s="3">
        <v>379</v>
      </c>
      <c r="F380" s="3" t="s">
        <v>743</v>
      </c>
      <c r="G380" s="3" t="s">
        <v>1093</v>
      </c>
      <c r="H380" s="4" t="s">
        <v>1215</v>
      </c>
    </row>
    <row r="381" spans="1:8" x14ac:dyDescent="0.25">
      <c r="A381" s="3" t="s">
        <v>6983</v>
      </c>
      <c r="B381" s="3" t="s">
        <v>6990</v>
      </c>
      <c r="C381" s="3" t="s">
        <v>6985</v>
      </c>
      <c r="D381" s="3" t="s">
        <v>1138</v>
      </c>
      <c r="E381" s="3">
        <v>380</v>
      </c>
      <c r="F381" s="3" t="s">
        <v>744</v>
      </c>
      <c r="G381" s="3" t="s">
        <v>1093</v>
      </c>
      <c r="H381" s="4" t="s">
        <v>6817</v>
      </c>
    </row>
    <row r="382" spans="1:8" x14ac:dyDescent="0.25">
      <c r="A382" s="3" t="s">
        <v>6983</v>
      </c>
      <c r="B382" s="3" t="s">
        <v>6990</v>
      </c>
      <c r="C382" s="3" t="s">
        <v>6985</v>
      </c>
      <c r="D382" s="3" t="s">
        <v>1138</v>
      </c>
      <c r="E382" s="3">
        <v>381</v>
      </c>
      <c r="F382" s="3" t="s">
        <v>745</v>
      </c>
      <c r="G382" s="3" t="s">
        <v>1093</v>
      </c>
      <c r="H382" s="4" t="s">
        <v>6823</v>
      </c>
    </row>
    <row r="383" spans="1:8" x14ac:dyDescent="0.25">
      <c r="A383" s="3" t="s">
        <v>6983</v>
      </c>
      <c r="B383" s="3" t="s">
        <v>6990</v>
      </c>
      <c r="C383" s="3" t="s">
        <v>6985</v>
      </c>
      <c r="D383" s="3" t="s">
        <v>1138</v>
      </c>
      <c r="E383" s="3">
        <v>382</v>
      </c>
      <c r="F383" s="3" t="s">
        <v>746</v>
      </c>
      <c r="G383" s="3" t="s">
        <v>17</v>
      </c>
      <c r="H383" s="4" t="s">
        <v>6819</v>
      </c>
    </row>
    <row r="384" spans="1:8" x14ac:dyDescent="0.25">
      <c r="A384" s="3" t="s">
        <v>6983</v>
      </c>
      <c r="B384" s="3" t="s">
        <v>6990</v>
      </c>
      <c r="C384" s="3" t="s">
        <v>6985</v>
      </c>
      <c r="D384" s="3" t="s">
        <v>1138</v>
      </c>
      <c r="E384" s="3">
        <v>383</v>
      </c>
      <c r="F384" s="3" t="s">
        <v>747</v>
      </c>
      <c r="G384" s="3" t="s">
        <v>1093</v>
      </c>
      <c r="H384" s="4" t="s">
        <v>1216</v>
      </c>
    </row>
    <row r="385" spans="1:8" x14ac:dyDescent="0.25">
      <c r="A385" s="3" t="s">
        <v>6983</v>
      </c>
      <c r="B385" s="3" t="s">
        <v>6990</v>
      </c>
      <c r="C385" s="3" t="s">
        <v>6985</v>
      </c>
      <c r="D385" s="3" t="s">
        <v>1138</v>
      </c>
      <c r="E385" s="3">
        <v>384</v>
      </c>
      <c r="F385" s="3" t="s">
        <v>748</v>
      </c>
      <c r="G385" s="3" t="s">
        <v>1093</v>
      </c>
      <c r="H385" s="4" t="s">
        <v>6817</v>
      </c>
    </row>
    <row r="386" spans="1:8" x14ac:dyDescent="0.25">
      <c r="A386" s="3" t="s">
        <v>6983</v>
      </c>
      <c r="B386" s="3" t="s">
        <v>6990</v>
      </c>
      <c r="C386" s="3" t="s">
        <v>6985</v>
      </c>
      <c r="D386" s="3" t="s">
        <v>1138</v>
      </c>
      <c r="E386" s="3">
        <v>385</v>
      </c>
      <c r="F386" s="3" t="s">
        <v>749</v>
      </c>
      <c r="G386" s="3" t="s">
        <v>1093</v>
      </c>
      <c r="H386" s="4" t="s">
        <v>6824</v>
      </c>
    </row>
    <row r="387" spans="1:8" x14ac:dyDescent="0.25">
      <c r="A387" s="3" t="s">
        <v>6983</v>
      </c>
      <c r="B387" s="3" t="s">
        <v>6990</v>
      </c>
      <c r="C387" s="3" t="s">
        <v>6985</v>
      </c>
      <c r="D387" s="3" t="s">
        <v>1138</v>
      </c>
      <c r="E387" s="3">
        <v>386</v>
      </c>
      <c r="F387" s="3" t="s">
        <v>750</v>
      </c>
      <c r="G387" s="3" t="s">
        <v>17</v>
      </c>
      <c r="H387" s="4" t="s">
        <v>6819</v>
      </c>
    </row>
    <row r="388" spans="1:8" x14ac:dyDescent="0.25">
      <c r="A388" s="3" t="s">
        <v>6983</v>
      </c>
      <c r="B388" s="3" t="s">
        <v>6990</v>
      </c>
      <c r="C388" s="3" t="s">
        <v>6985</v>
      </c>
      <c r="D388" s="3" t="s">
        <v>1138</v>
      </c>
      <c r="E388" s="3">
        <v>387</v>
      </c>
      <c r="F388" s="3" t="s">
        <v>751</v>
      </c>
      <c r="G388" s="3" t="s">
        <v>1093</v>
      </c>
      <c r="H388" s="4" t="s">
        <v>1217</v>
      </c>
    </row>
    <row r="389" spans="1:8" x14ac:dyDescent="0.25">
      <c r="A389" s="3" t="s">
        <v>6983</v>
      </c>
      <c r="B389" s="3" t="s">
        <v>6990</v>
      </c>
      <c r="C389" s="3" t="s">
        <v>6985</v>
      </c>
      <c r="D389" s="3" t="s">
        <v>1138</v>
      </c>
      <c r="E389" s="3">
        <v>388</v>
      </c>
      <c r="F389" s="3" t="s">
        <v>752</v>
      </c>
      <c r="G389" s="3" t="s">
        <v>1093</v>
      </c>
      <c r="H389" s="4" t="s">
        <v>6817</v>
      </c>
    </row>
    <row r="390" spans="1:8" x14ac:dyDescent="0.25">
      <c r="A390" s="3" t="s">
        <v>6983</v>
      </c>
      <c r="B390" s="3" t="s">
        <v>6990</v>
      </c>
      <c r="C390" s="3" t="s">
        <v>6985</v>
      </c>
      <c r="D390" s="3" t="s">
        <v>1138</v>
      </c>
      <c r="E390" s="3">
        <v>389</v>
      </c>
      <c r="F390" s="3" t="s">
        <v>753</v>
      </c>
      <c r="G390" s="3" t="s">
        <v>1093</v>
      </c>
      <c r="H390" s="4" t="s">
        <v>6825</v>
      </c>
    </row>
    <row r="391" spans="1:8" x14ac:dyDescent="0.25">
      <c r="A391" s="3" t="s">
        <v>6983</v>
      </c>
      <c r="B391" s="3" t="s">
        <v>6990</v>
      </c>
      <c r="C391" s="3" t="s">
        <v>6985</v>
      </c>
      <c r="D391" s="3" t="s">
        <v>1138</v>
      </c>
      <c r="E391" s="3">
        <v>390</v>
      </c>
      <c r="F391" s="3" t="s">
        <v>754</v>
      </c>
      <c r="G391" s="3" t="s">
        <v>17</v>
      </c>
      <c r="H391" s="4" t="s">
        <v>6819</v>
      </c>
    </row>
    <row r="392" spans="1:8" x14ac:dyDescent="0.25">
      <c r="A392" s="3" t="s">
        <v>6983</v>
      </c>
      <c r="B392" s="3" t="s">
        <v>6990</v>
      </c>
      <c r="C392" s="3" t="s">
        <v>6985</v>
      </c>
      <c r="D392" s="3" t="s">
        <v>1138</v>
      </c>
      <c r="E392" s="3">
        <v>391</v>
      </c>
      <c r="F392" s="3" t="s">
        <v>755</v>
      </c>
      <c r="G392" s="3" t="s">
        <v>1093</v>
      </c>
      <c r="H392" s="4" t="s">
        <v>1218</v>
      </c>
    </row>
    <row r="393" spans="1:8" x14ac:dyDescent="0.25">
      <c r="A393" s="3" t="s">
        <v>6983</v>
      </c>
      <c r="B393" s="3" t="s">
        <v>6990</v>
      </c>
      <c r="C393" s="3" t="s">
        <v>6985</v>
      </c>
      <c r="D393" s="3" t="s">
        <v>1138</v>
      </c>
      <c r="E393" s="3">
        <v>392</v>
      </c>
      <c r="F393" s="3" t="s">
        <v>2002</v>
      </c>
      <c r="G393" s="3" t="s">
        <v>1093</v>
      </c>
      <c r="H393" s="4" t="s">
        <v>1219</v>
      </c>
    </row>
    <row r="394" spans="1:8" x14ac:dyDescent="0.25">
      <c r="A394" s="3" t="s">
        <v>6983</v>
      </c>
      <c r="B394" s="3" t="s">
        <v>6990</v>
      </c>
      <c r="C394" s="3" t="s">
        <v>6985</v>
      </c>
      <c r="D394" s="3" t="s">
        <v>1138</v>
      </c>
      <c r="E394" s="3">
        <v>393</v>
      </c>
      <c r="F394" s="3" t="s">
        <v>2003</v>
      </c>
      <c r="G394" s="3" t="s">
        <v>17</v>
      </c>
      <c r="H394" s="4" t="s">
        <v>1220</v>
      </c>
    </row>
    <row r="395" spans="1:8" x14ac:dyDescent="0.25">
      <c r="A395" s="3" t="s">
        <v>6983</v>
      </c>
      <c r="B395" s="3" t="s">
        <v>6990</v>
      </c>
      <c r="C395" s="3" t="s">
        <v>6985</v>
      </c>
      <c r="D395" s="3" t="s">
        <v>1138</v>
      </c>
      <c r="E395" s="3">
        <v>394</v>
      </c>
      <c r="F395" s="3" t="s">
        <v>758</v>
      </c>
      <c r="G395" s="3" t="s">
        <v>1093</v>
      </c>
      <c r="H395" s="4" t="s">
        <v>1214</v>
      </c>
    </row>
    <row r="396" spans="1:8" x14ac:dyDescent="0.25">
      <c r="A396" s="3" t="s">
        <v>6983</v>
      </c>
      <c r="B396" s="3" t="s">
        <v>6990</v>
      </c>
      <c r="C396" s="3" t="s">
        <v>6985</v>
      </c>
      <c r="D396" s="3" t="s">
        <v>1138</v>
      </c>
      <c r="E396" s="3">
        <v>395</v>
      </c>
      <c r="F396" s="3" t="s">
        <v>2004</v>
      </c>
      <c r="G396" s="3" t="s">
        <v>4</v>
      </c>
      <c r="H396" s="4" t="s">
        <v>1404</v>
      </c>
    </row>
    <row r="397" spans="1:8" x14ac:dyDescent="0.25">
      <c r="A397" s="3" t="s">
        <v>6983</v>
      </c>
      <c r="B397" s="3" t="s">
        <v>6990</v>
      </c>
      <c r="C397" s="3" t="s">
        <v>6985</v>
      </c>
      <c r="D397" s="3" t="s">
        <v>1138</v>
      </c>
      <c r="E397" s="3">
        <v>396</v>
      </c>
      <c r="F397" s="3" t="s">
        <v>760</v>
      </c>
      <c r="G397" s="3" t="s">
        <v>4</v>
      </c>
      <c r="H397" s="4" t="s">
        <v>1405</v>
      </c>
    </row>
    <row r="398" spans="1:8" x14ac:dyDescent="0.25">
      <c r="A398" s="3" t="s">
        <v>6983</v>
      </c>
      <c r="B398" s="3" t="s">
        <v>6990</v>
      </c>
      <c r="C398" s="3" t="s">
        <v>6985</v>
      </c>
      <c r="D398" s="3" t="s">
        <v>1138</v>
      </c>
      <c r="E398" s="3">
        <v>397</v>
      </c>
      <c r="F398" s="3" t="s">
        <v>770</v>
      </c>
      <c r="G398" s="3" t="s">
        <v>13</v>
      </c>
      <c r="H398" s="4" t="s">
        <v>1224</v>
      </c>
    </row>
    <row r="399" spans="1:8" x14ac:dyDescent="0.25">
      <c r="A399" s="3" t="s">
        <v>6983</v>
      </c>
      <c r="B399" s="3" t="s">
        <v>6990</v>
      </c>
      <c r="C399" s="3" t="s">
        <v>6985</v>
      </c>
      <c r="D399" s="3" t="s">
        <v>1138</v>
      </c>
      <c r="E399" s="3">
        <v>398</v>
      </c>
      <c r="F399" s="3" t="s">
        <v>771</v>
      </c>
      <c r="G399" s="3" t="s">
        <v>9</v>
      </c>
      <c r="H399" s="4" t="s">
        <v>1225</v>
      </c>
    </row>
    <row r="400" spans="1:8" x14ac:dyDescent="0.25">
      <c r="A400" s="3" t="s">
        <v>6983</v>
      </c>
      <c r="B400" s="3" t="s">
        <v>6990</v>
      </c>
      <c r="C400" s="3" t="s">
        <v>6985</v>
      </c>
      <c r="D400" s="3" t="s">
        <v>1138</v>
      </c>
      <c r="E400" s="3">
        <v>399</v>
      </c>
      <c r="F400" s="3" t="s">
        <v>772</v>
      </c>
      <c r="G400" s="3" t="s">
        <v>13</v>
      </c>
      <c r="H400" s="4" t="s">
        <v>6704</v>
      </c>
    </row>
    <row r="401" spans="1:8" x14ac:dyDescent="0.25">
      <c r="A401" s="3" t="s">
        <v>6983</v>
      </c>
      <c r="B401" s="3" t="s">
        <v>6990</v>
      </c>
      <c r="C401" s="3" t="s">
        <v>6985</v>
      </c>
      <c r="D401" s="3" t="s">
        <v>1138</v>
      </c>
      <c r="E401" s="3">
        <v>400</v>
      </c>
      <c r="F401" s="3" t="s">
        <v>773</v>
      </c>
      <c r="G401" s="3" t="s">
        <v>13</v>
      </c>
      <c r="H401" s="3" t="s">
        <v>6705</v>
      </c>
    </row>
    <row r="402" spans="1:8" x14ac:dyDescent="0.25">
      <c r="A402" s="3" t="s">
        <v>6983</v>
      </c>
      <c r="B402" s="3" t="s">
        <v>6990</v>
      </c>
      <c r="C402" s="3" t="s">
        <v>6985</v>
      </c>
      <c r="D402" s="3" t="s">
        <v>1138</v>
      </c>
      <c r="E402" s="3">
        <v>401</v>
      </c>
      <c r="F402" s="3" t="s">
        <v>774</v>
      </c>
      <c r="G402" s="3" t="s">
        <v>13</v>
      </c>
      <c r="H402" s="4" t="s">
        <v>6706</v>
      </c>
    </row>
    <row r="403" spans="1:8" x14ac:dyDescent="0.25">
      <c r="A403" s="3" t="s">
        <v>6983</v>
      </c>
      <c r="B403" s="3" t="s">
        <v>6990</v>
      </c>
      <c r="C403" s="3" t="s">
        <v>6985</v>
      </c>
      <c r="D403" s="3" t="s">
        <v>1138</v>
      </c>
      <c r="E403" s="3">
        <v>402</v>
      </c>
      <c r="F403" s="3" t="s">
        <v>775</v>
      </c>
      <c r="G403" s="3" t="s">
        <v>9</v>
      </c>
      <c r="H403" s="4" t="s">
        <v>6707</v>
      </c>
    </row>
    <row r="404" spans="1:8" x14ac:dyDescent="0.25">
      <c r="A404" s="3" t="s">
        <v>6983</v>
      </c>
      <c r="B404" s="3" t="s">
        <v>6990</v>
      </c>
      <c r="C404" s="3" t="s">
        <v>6985</v>
      </c>
      <c r="D404" s="3" t="s">
        <v>1138</v>
      </c>
      <c r="E404" s="3">
        <v>403</v>
      </c>
      <c r="F404" s="3" t="s">
        <v>776</v>
      </c>
      <c r="G404" s="3" t="s">
        <v>13</v>
      </c>
      <c r="H404" s="4" t="s">
        <v>6708</v>
      </c>
    </row>
    <row r="405" spans="1:8" x14ac:dyDescent="0.25">
      <c r="A405" s="3" t="s">
        <v>6983</v>
      </c>
      <c r="B405" s="3" t="s">
        <v>6990</v>
      </c>
      <c r="C405" s="3" t="s">
        <v>6985</v>
      </c>
      <c r="D405" s="3" t="s">
        <v>1138</v>
      </c>
      <c r="E405" s="3">
        <v>404</v>
      </c>
      <c r="F405" s="3" t="s">
        <v>777</v>
      </c>
      <c r="G405" s="3" t="s">
        <v>9</v>
      </c>
      <c r="H405" s="4" t="s">
        <v>6709</v>
      </c>
    </row>
    <row r="406" spans="1:8" x14ac:dyDescent="0.25">
      <c r="A406" s="3" t="s">
        <v>6983</v>
      </c>
      <c r="B406" s="3" t="s">
        <v>6990</v>
      </c>
      <c r="C406" s="3" t="s">
        <v>6985</v>
      </c>
      <c r="D406" s="3" t="s">
        <v>1138</v>
      </c>
      <c r="E406" s="3">
        <v>405</v>
      </c>
      <c r="F406" s="3" t="s">
        <v>778</v>
      </c>
      <c r="G406" s="3" t="s">
        <v>13</v>
      </c>
      <c r="H406" s="4" t="s">
        <v>6710</v>
      </c>
    </row>
    <row r="407" spans="1:8" x14ac:dyDescent="0.25">
      <c r="A407" s="3" t="s">
        <v>6983</v>
      </c>
      <c r="B407" s="3" t="s">
        <v>6990</v>
      </c>
      <c r="C407" s="3" t="s">
        <v>6985</v>
      </c>
      <c r="D407" s="3" t="s">
        <v>1138</v>
      </c>
      <c r="E407" s="3">
        <v>406</v>
      </c>
      <c r="F407" s="3" t="s">
        <v>779</v>
      </c>
      <c r="G407" s="3" t="s">
        <v>9</v>
      </c>
      <c r="H407" s="4" t="s">
        <v>6711</v>
      </c>
    </row>
    <row r="408" spans="1:8" x14ac:dyDescent="0.25">
      <c r="A408" s="3" t="s">
        <v>6983</v>
      </c>
      <c r="B408" s="3" t="s">
        <v>6990</v>
      </c>
      <c r="C408" s="3" t="s">
        <v>6985</v>
      </c>
      <c r="D408" s="3" t="s">
        <v>1138</v>
      </c>
      <c r="E408" s="3">
        <v>407</v>
      </c>
      <c r="F408" s="3" t="s">
        <v>780</v>
      </c>
      <c r="G408" s="3" t="s">
        <v>13</v>
      </c>
      <c r="H408" s="4" t="s">
        <v>6712</v>
      </c>
    </row>
    <row r="409" spans="1:8" x14ac:dyDescent="0.25">
      <c r="A409" s="3" t="s">
        <v>6983</v>
      </c>
      <c r="B409" s="3" t="s">
        <v>6990</v>
      </c>
      <c r="C409" s="3" t="s">
        <v>6985</v>
      </c>
      <c r="D409" s="3" t="s">
        <v>1138</v>
      </c>
      <c r="E409" s="3">
        <v>408</v>
      </c>
      <c r="F409" s="3" t="s">
        <v>781</v>
      </c>
      <c r="G409" s="3" t="s">
        <v>9</v>
      </c>
      <c r="H409" s="4" t="s">
        <v>6713</v>
      </c>
    </row>
    <row r="410" spans="1:8" x14ac:dyDescent="0.25">
      <c r="A410" s="3" t="s">
        <v>6983</v>
      </c>
      <c r="B410" s="3" t="s">
        <v>6990</v>
      </c>
      <c r="C410" s="3" t="s">
        <v>6985</v>
      </c>
      <c r="D410" s="3" t="s">
        <v>1138</v>
      </c>
      <c r="E410" s="3">
        <v>409</v>
      </c>
      <c r="F410" s="3" t="s">
        <v>782</v>
      </c>
      <c r="G410" s="3" t="s">
        <v>13</v>
      </c>
      <c r="H410" s="4" t="s">
        <v>6714</v>
      </c>
    </row>
    <row r="411" spans="1:8" x14ac:dyDescent="0.25">
      <c r="A411" s="3" t="s">
        <v>6983</v>
      </c>
      <c r="B411" s="3" t="s">
        <v>6990</v>
      </c>
      <c r="C411" s="3" t="s">
        <v>6985</v>
      </c>
      <c r="D411" s="3" t="s">
        <v>1138</v>
      </c>
      <c r="E411" s="3">
        <v>410</v>
      </c>
      <c r="F411" s="3" t="s">
        <v>783</v>
      </c>
      <c r="G411" s="3" t="s">
        <v>13</v>
      </c>
      <c r="H411" s="4" t="s">
        <v>6715</v>
      </c>
    </row>
    <row r="412" spans="1:8" x14ac:dyDescent="0.25">
      <c r="A412" s="3" t="s">
        <v>6983</v>
      </c>
      <c r="B412" s="3" t="s">
        <v>6990</v>
      </c>
      <c r="C412" s="3" t="s">
        <v>6985</v>
      </c>
      <c r="D412" s="3" t="s">
        <v>1138</v>
      </c>
      <c r="E412" s="3">
        <v>411</v>
      </c>
      <c r="F412" s="3" t="s">
        <v>784</v>
      </c>
      <c r="G412" s="3" t="s">
        <v>13</v>
      </c>
      <c r="H412" s="4" t="s">
        <v>6716</v>
      </c>
    </row>
    <row r="413" spans="1:8" x14ac:dyDescent="0.25">
      <c r="A413" s="3" t="s">
        <v>6983</v>
      </c>
      <c r="B413" s="3" t="s">
        <v>6990</v>
      </c>
      <c r="C413" s="3" t="s">
        <v>6985</v>
      </c>
      <c r="D413" s="3" t="s">
        <v>1138</v>
      </c>
      <c r="E413" s="3">
        <v>412</v>
      </c>
      <c r="F413" s="3" t="s">
        <v>785</v>
      </c>
      <c r="G413" s="3" t="s">
        <v>13</v>
      </c>
      <c r="H413" s="4" t="s">
        <v>6717</v>
      </c>
    </row>
    <row r="414" spans="1:8" x14ac:dyDescent="0.25">
      <c r="A414" s="3" t="s">
        <v>6983</v>
      </c>
      <c r="B414" s="3" t="s">
        <v>6990</v>
      </c>
      <c r="C414" s="3" t="s">
        <v>6985</v>
      </c>
      <c r="D414" s="3" t="s">
        <v>1138</v>
      </c>
      <c r="E414" s="3">
        <v>413</v>
      </c>
      <c r="F414" s="3" t="s">
        <v>878</v>
      </c>
      <c r="G414" s="3" t="s">
        <v>16</v>
      </c>
      <c r="H414" s="4" t="s">
        <v>6954</v>
      </c>
    </row>
    <row r="415" spans="1:8" x14ac:dyDescent="0.25">
      <c r="A415" s="3" t="s">
        <v>6983</v>
      </c>
      <c r="B415" s="3" t="s">
        <v>6990</v>
      </c>
      <c r="C415" s="3" t="s">
        <v>6985</v>
      </c>
      <c r="D415" s="3" t="s">
        <v>1138</v>
      </c>
      <c r="E415" s="3">
        <v>414</v>
      </c>
      <c r="F415" s="3" t="s">
        <v>879</v>
      </c>
      <c r="G415" s="3" t="s">
        <v>1110</v>
      </c>
      <c r="H415" s="4" t="s">
        <v>6955</v>
      </c>
    </row>
    <row r="416" spans="1:8" x14ac:dyDescent="0.25">
      <c r="A416" s="3" t="s">
        <v>6983</v>
      </c>
      <c r="B416" s="3" t="s">
        <v>6990</v>
      </c>
      <c r="C416" s="3" t="s">
        <v>6985</v>
      </c>
      <c r="D416" s="3" t="s">
        <v>1138</v>
      </c>
      <c r="E416" s="3">
        <v>415</v>
      </c>
      <c r="F416" s="3" t="s">
        <v>880</v>
      </c>
      <c r="G416" s="3" t="s">
        <v>1110</v>
      </c>
      <c r="H416" s="4" t="s">
        <v>6956</v>
      </c>
    </row>
    <row r="417" spans="1:8" x14ac:dyDescent="0.25">
      <c r="A417" s="3" t="s">
        <v>6983</v>
      </c>
      <c r="B417" s="3" t="s">
        <v>6990</v>
      </c>
      <c r="C417" s="3" t="s">
        <v>6985</v>
      </c>
      <c r="D417" s="3" t="s">
        <v>1138</v>
      </c>
      <c r="E417" s="3">
        <v>416</v>
      </c>
      <c r="F417" s="3" t="s">
        <v>2005</v>
      </c>
      <c r="G417" s="3" t="s">
        <v>1093</v>
      </c>
      <c r="H417" s="3" t="str">
        <f>_xlfn.CONCAT("Data QA applied on ",_xlfn.TEXTAFTER(F417,"MAS "), ", computed by BMT WinMon.")</f>
        <v>Data QA applied on PQ Northings, computed by BMT WinMon.</v>
      </c>
    </row>
    <row r="418" spans="1:8" x14ac:dyDescent="0.25">
      <c r="A418" s="3" t="s">
        <v>6983</v>
      </c>
      <c r="B418" s="3" t="s">
        <v>6990</v>
      </c>
      <c r="C418" s="3" t="s">
        <v>6985</v>
      </c>
      <c r="D418" s="3" t="s">
        <v>1138</v>
      </c>
      <c r="E418" s="3">
        <v>417</v>
      </c>
      <c r="F418" s="3" t="s">
        <v>2006</v>
      </c>
      <c r="G418" s="3" t="s">
        <v>1093</v>
      </c>
      <c r="H418" s="3" t="str">
        <f t="shared" ref="H418:H472" si="6">_xlfn.CONCAT("Data QA applied on ",_xlfn.TEXTAFTER(F418,"MAS "), ", computed by BMT WinMon.")</f>
        <v>Data QA applied on PQ Eastings, computed by BMT WinMon.</v>
      </c>
    </row>
    <row r="419" spans="1:8" x14ac:dyDescent="0.25">
      <c r="A419" s="3" t="s">
        <v>6983</v>
      </c>
      <c r="B419" s="3" t="s">
        <v>6990</v>
      </c>
      <c r="C419" s="3" t="s">
        <v>6985</v>
      </c>
      <c r="D419" s="3" t="s">
        <v>1138</v>
      </c>
      <c r="E419" s="3">
        <v>418</v>
      </c>
      <c r="F419" s="3" t="s">
        <v>2007</v>
      </c>
      <c r="G419" s="3" t="s">
        <v>13</v>
      </c>
      <c r="H419" s="3" t="str">
        <f>_xlfn.CONCAT("Data QA applied on ",_xlfn.TEXTAFTER(F419,"MAS "), ", computed by BMT WinMon.")</f>
        <v>Data QA applied on Wind Spd, computed by BMT WinMon.</v>
      </c>
    </row>
    <row r="420" spans="1:8" x14ac:dyDescent="0.25">
      <c r="A420" s="3" t="s">
        <v>6983</v>
      </c>
      <c r="B420" s="3" t="s">
        <v>6990</v>
      </c>
      <c r="C420" s="3" t="s">
        <v>6985</v>
      </c>
      <c r="D420" s="3" t="s">
        <v>1138</v>
      </c>
      <c r="E420" s="3">
        <v>419</v>
      </c>
      <c r="F420" s="3" t="s">
        <v>2008</v>
      </c>
      <c r="G420" s="3" t="s">
        <v>9</v>
      </c>
      <c r="H420" s="3" t="str">
        <f t="shared" si="6"/>
        <v>Data QA applied on Wind Dir, computed by BMT WinMon.</v>
      </c>
    </row>
    <row r="421" spans="1:8" x14ac:dyDescent="0.25">
      <c r="A421" s="3" t="s">
        <v>6983</v>
      </c>
      <c r="B421" s="3" t="s">
        <v>6990</v>
      </c>
      <c r="C421" s="3" t="s">
        <v>6985</v>
      </c>
      <c r="D421" s="3" t="s">
        <v>1138</v>
      </c>
      <c r="E421" s="3">
        <v>420</v>
      </c>
      <c r="F421" s="3" t="s">
        <v>2009</v>
      </c>
      <c r="G421" s="3" t="s">
        <v>13</v>
      </c>
      <c r="H421" s="3" t="str">
        <f t="shared" si="6"/>
        <v>Data QA applied on Max Current Spd, computed by BMT WinMon.</v>
      </c>
    </row>
    <row r="422" spans="1:8" x14ac:dyDescent="0.25">
      <c r="A422" s="3" t="s">
        <v>6983</v>
      </c>
      <c r="B422" s="3" t="s">
        <v>6990</v>
      </c>
      <c r="C422" s="3" t="s">
        <v>6985</v>
      </c>
      <c r="D422" s="3" t="s">
        <v>1138</v>
      </c>
      <c r="E422" s="3">
        <v>421</v>
      </c>
      <c r="F422" s="3" t="s">
        <v>2010</v>
      </c>
      <c r="G422" s="3" t="s">
        <v>9</v>
      </c>
      <c r="H422" s="3" t="str">
        <f t="shared" si="6"/>
        <v>Data QA applied on Max Current Dir, computed by BMT WinMon.</v>
      </c>
    </row>
    <row r="423" spans="1:8" x14ac:dyDescent="0.25">
      <c r="A423" s="3" t="s">
        <v>6983</v>
      </c>
      <c r="B423" s="3" t="s">
        <v>6990</v>
      </c>
      <c r="C423" s="3" t="s">
        <v>6985</v>
      </c>
      <c r="D423" s="3" t="s">
        <v>1138</v>
      </c>
      <c r="E423" s="3">
        <v>422</v>
      </c>
      <c r="F423" s="3" t="s">
        <v>2011</v>
      </c>
      <c r="G423" s="3" t="s">
        <v>1093</v>
      </c>
      <c r="H423" s="3" t="str">
        <f t="shared" si="6"/>
        <v>Data QA applied on Sig Wave Ht, computed by BMT WinMon.</v>
      </c>
    </row>
    <row r="424" spans="1:8" x14ac:dyDescent="0.25">
      <c r="A424" s="3" t="s">
        <v>6983</v>
      </c>
      <c r="B424" s="3" t="s">
        <v>6990</v>
      </c>
      <c r="C424" s="3" t="s">
        <v>6985</v>
      </c>
      <c r="D424" s="3" t="s">
        <v>1138</v>
      </c>
      <c r="E424" s="3">
        <v>423</v>
      </c>
      <c r="F424" s="3" t="s">
        <v>899</v>
      </c>
      <c r="G424" s="3" t="s">
        <v>17</v>
      </c>
      <c r="H424" s="3" t="str">
        <f t="shared" si="6"/>
        <v>Data QA applied on Wave Period, computed by BMT WinMon.</v>
      </c>
    </row>
    <row r="425" spans="1:8" x14ac:dyDescent="0.25">
      <c r="A425" s="3" t="s">
        <v>6983</v>
      </c>
      <c r="B425" s="3" t="s">
        <v>6990</v>
      </c>
      <c r="C425" s="3" t="s">
        <v>6985</v>
      </c>
      <c r="D425" s="3" t="s">
        <v>1138</v>
      </c>
      <c r="E425" s="3">
        <v>424</v>
      </c>
      <c r="F425" s="3" t="s">
        <v>900</v>
      </c>
      <c r="G425" s="3" t="s">
        <v>9</v>
      </c>
      <c r="H425" s="3" t="str">
        <f t="shared" si="6"/>
        <v>Data QA applied on Wave Dir, computed by BMT WinMon.</v>
      </c>
    </row>
    <row r="426" spans="1:8" x14ac:dyDescent="0.25">
      <c r="A426" s="3" t="s">
        <v>6983</v>
      </c>
      <c r="B426" s="3" t="s">
        <v>6990</v>
      </c>
      <c r="C426" s="3" t="s">
        <v>6985</v>
      </c>
      <c r="D426" s="3" t="s">
        <v>1138</v>
      </c>
      <c r="E426" s="3">
        <v>425</v>
      </c>
      <c r="F426" s="3" t="s">
        <v>2417</v>
      </c>
      <c r="G426" s="3" t="s">
        <v>1100</v>
      </c>
      <c r="H426" s="3" t="str">
        <f t="shared" si="6"/>
        <v>Data QA applied on NE Tendon 2 Tension, computed by BMT WinMon.</v>
      </c>
    </row>
    <row r="427" spans="1:8" x14ac:dyDescent="0.25">
      <c r="A427" s="3" t="s">
        <v>6983</v>
      </c>
      <c r="B427" s="3" t="s">
        <v>6990</v>
      </c>
      <c r="C427" s="3" t="s">
        <v>6985</v>
      </c>
      <c r="D427" s="3" t="s">
        <v>1138</v>
      </c>
      <c r="E427" s="3">
        <v>426</v>
      </c>
      <c r="F427" s="3" t="s">
        <v>6182</v>
      </c>
      <c r="G427" s="3" t="s">
        <v>1100</v>
      </c>
      <c r="H427" s="3" t="str">
        <f t="shared" si="6"/>
        <v>Data QA applied on SE Tendon 7 Tension, computed by BMT WinMon.</v>
      </c>
    </row>
    <row r="428" spans="1:8" x14ac:dyDescent="0.25">
      <c r="A428" s="3" t="s">
        <v>6983</v>
      </c>
      <c r="B428" s="3" t="s">
        <v>6990</v>
      </c>
      <c r="C428" s="3" t="s">
        <v>6985</v>
      </c>
      <c r="D428" s="3" t="s">
        <v>1138</v>
      </c>
      <c r="E428" s="3">
        <v>427</v>
      </c>
      <c r="F428" s="3" t="s">
        <v>6183</v>
      </c>
      <c r="G428" s="3" t="s">
        <v>1100</v>
      </c>
      <c r="H428" s="3" t="str">
        <f t="shared" si="6"/>
        <v>Data QA applied on SW Tendon 10 Tension, computed by BMT WinMon.</v>
      </c>
    </row>
    <row r="429" spans="1:8" x14ac:dyDescent="0.25">
      <c r="A429" s="3" t="s">
        <v>6983</v>
      </c>
      <c r="B429" s="3" t="s">
        <v>6990</v>
      </c>
      <c r="C429" s="3" t="s">
        <v>6985</v>
      </c>
      <c r="D429" s="3" t="s">
        <v>1138</v>
      </c>
      <c r="E429" s="3">
        <v>428</v>
      </c>
      <c r="F429" s="3" t="s">
        <v>6184</v>
      </c>
      <c r="G429" s="3" t="s">
        <v>1100</v>
      </c>
      <c r="H429" s="3" t="str">
        <f t="shared" si="6"/>
        <v>Data QA applied on NW Tendon 15 Tension, computed by BMT WinMon.</v>
      </c>
    </row>
    <row r="430" spans="1:8" x14ac:dyDescent="0.25">
      <c r="A430" s="3" t="s">
        <v>6983</v>
      </c>
      <c r="B430" s="3" t="s">
        <v>6990</v>
      </c>
      <c r="C430" s="3" t="s">
        <v>6985</v>
      </c>
      <c r="D430" s="3" t="s">
        <v>1138</v>
      </c>
      <c r="E430" s="3">
        <v>429</v>
      </c>
      <c r="F430" s="3" t="s">
        <v>2424</v>
      </c>
      <c r="G430" s="3" t="s">
        <v>1093</v>
      </c>
      <c r="H430" s="3" t="str">
        <f t="shared" si="6"/>
        <v>Data QA applied on BAL-EPN Level, computed by BMT WinMon.</v>
      </c>
    </row>
    <row r="431" spans="1:8" x14ac:dyDescent="0.25">
      <c r="A431" s="3" t="s">
        <v>6983</v>
      </c>
      <c r="B431" s="3" t="s">
        <v>6990</v>
      </c>
      <c r="C431" s="3" t="s">
        <v>6985</v>
      </c>
      <c r="D431" s="3" t="s">
        <v>1138</v>
      </c>
      <c r="E431" s="3">
        <v>430</v>
      </c>
      <c r="F431" s="3" t="s">
        <v>2425</v>
      </c>
      <c r="G431" s="3" t="s">
        <v>1093</v>
      </c>
      <c r="H431" s="3" t="str">
        <f t="shared" si="6"/>
        <v>Data QA applied on BAL-EPS Level, computed by BMT WinMon.</v>
      </c>
    </row>
    <row r="432" spans="1:8" x14ac:dyDescent="0.25">
      <c r="A432" s="3" t="s">
        <v>6983</v>
      </c>
      <c r="B432" s="3" t="s">
        <v>6990</v>
      </c>
      <c r="C432" s="3" t="s">
        <v>6985</v>
      </c>
      <c r="D432" s="3" t="s">
        <v>1138</v>
      </c>
      <c r="E432" s="3">
        <v>431</v>
      </c>
      <c r="F432" s="3" t="s">
        <v>2435</v>
      </c>
      <c r="G432" s="3" t="s">
        <v>1093</v>
      </c>
      <c r="H432" s="3" t="str">
        <f t="shared" si="6"/>
        <v>Data QA applied on BAL-WPN Level, computed by BMT WinMon.</v>
      </c>
    </row>
    <row r="433" spans="1:8" x14ac:dyDescent="0.25">
      <c r="A433" s="3" t="s">
        <v>6983</v>
      </c>
      <c r="B433" s="3" t="s">
        <v>6990</v>
      </c>
      <c r="C433" s="3" t="s">
        <v>6985</v>
      </c>
      <c r="D433" s="3" t="s">
        <v>1138</v>
      </c>
      <c r="E433" s="3">
        <v>432</v>
      </c>
      <c r="F433" s="3" t="s">
        <v>2436</v>
      </c>
      <c r="G433" s="3" t="s">
        <v>1093</v>
      </c>
      <c r="H433" s="3" t="str">
        <f t="shared" si="6"/>
        <v>Data QA applied on BAL-WPS Level, computed by BMT WinMon.</v>
      </c>
    </row>
    <row r="434" spans="1:8" x14ac:dyDescent="0.25">
      <c r="A434" s="3" t="s">
        <v>6983</v>
      </c>
      <c r="B434" s="3" t="s">
        <v>6990</v>
      </c>
      <c r="C434" s="3" t="s">
        <v>6985</v>
      </c>
      <c r="D434" s="3" t="s">
        <v>1138</v>
      </c>
      <c r="E434" s="3">
        <v>433</v>
      </c>
      <c r="F434" s="3" t="s">
        <v>2426</v>
      </c>
      <c r="G434" s="3" t="s">
        <v>1093</v>
      </c>
      <c r="H434" s="3" t="str">
        <f t="shared" si="6"/>
        <v>Data QA applied on BAL-SPE Level, computed by BMT WinMon.</v>
      </c>
    </row>
    <row r="435" spans="1:8" x14ac:dyDescent="0.25">
      <c r="A435" s="3" t="s">
        <v>6983</v>
      </c>
      <c r="B435" s="3" t="s">
        <v>6990</v>
      </c>
      <c r="C435" s="3" t="s">
        <v>6985</v>
      </c>
      <c r="D435" s="3" t="s">
        <v>1138</v>
      </c>
      <c r="E435" s="3">
        <v>434</v>
      </c>
      <c r="F435" s="3" t="s">
        <v>2437</v>
      </c>
      <c r="G435" s="3" t="s">
        <v>1093</v>
      </c>
      <c r="H435" s="3" t="str">
        <f t="shared" si="6"/>
        <v>Data QA applied on BAL-SPW Level, computed by BMT WinMon.</v>
      </c>
    </row>
    <row r="436" spans="1:8" x14ac:dyDescent="0.25">
      <c r="A436" s="3" t="s">
        <v>6983</v>
      </c>
      <c r="B436" s="3" t="s">
        <v>6990</v>
      </c>
      <c r="C436" s="3" t="s">
        <v>6985</v>
      </c>
      <c r="D436" s="3" t="s">
        <v>1138</v>
      </c>
      <c r="E436" s="3">
        <v>435</v>
      </c>
      <c r="F436" s="3" t="s">
        <v>2423</v>
      </c>
      <c r="G436" s="3" t="s">
        <v>1093</v>
      </c>
      <c r="H436" s="3" t="str">
        <f t="shared" si="6"/>
        <v>Data QA applied on BAL-NPE Level, computed by BMT WinMon.</v>
      </c>
    </row>
    <row r="437" spans="1:8" x14ac:dyDescent="0.25">
      <c r="A437" s="3" t="s">
        <v>6983</v>
      </c>
      <c r="B437" s="3" t="s">
        <v>6990</v>
      </c>
      <c r="C437" s="3" t="s">
        <v>6985</v>
      </c>
      <c r="D437" s="3" t="s">
        <v>1138</v>
      </c>
      <c r="E437" s="3">
        <v>436</v>
      </c>
      <c r="F437" s="3" t="s">
        <v>2434</v>
      </c>
      <c r="G437" s="3" t="s">
        <v>1093</v>
      </c>
      <c r="H437" s="3" t="str">
        <f t="shared" si="6"/>
        <v>Data QA applied on BAL-NPW Level, computed by BMT WinMon.</v>
      </c>
    </row>
    <row r="438" spans="1:8" x14ac:dyDescent="0.25">
      <c r="A438" s="3" t="s">
        <v>6983</v>
      </c>
      <c r="B438" s="3" t="s">
        <v>6990</v>
      </c>
      <c r="C438" s="3" t="s">
        <v>6985</v>
      </c>
      <c r="D438" s="3" t="s">
        <v>1138</v>
      </c>
      <c r="E438" s="3">
        <v>437</v>
      </c>
      <c r="F438" s="3" t="s">
        <v>2427</v>
      </c>
      <c r="G438" s="3" t="s">
        <v>1093</v>
      </c>
      <c r="H438" s="3" t="str">
        <f t="shared" si="6"/>
        <v>Data QA applied on BAL-NE0-BN Level, computed by BMT WinMon.</v>
      </c>
    </row>
    <row r="439" spans="1:8" x14ac:dyDescent="0.25">
      <c r="A439" s="3" t="s">
        <v>6983</v>
      </c>
      <c r="B439" s="3" t="s">
        <v>6990</v>
      </c>
      <c r="C439" s="3" t="s">
        <v>6985</v>
      </c>
      <c r="D439" s="3" t="s">
        <v>1138</v>
      </c>
      <c r="E439" s="3">
        <v>438</v>
      </c>
      <c r="F439" s="3" t="s">
        <v>6185</v>
      </c>
      <c r="G439" s="3" t="s">
        <v>1093</v>
      </c>
      <c r="H439" s="3" t="str">
        <f t="shared" si="6"/>
        <v>Data QA applied on BAL-NE0-BS Level, computed by BMT WinMon.</v>
      </c>
    </row>
    <row r="440" spans="1:8" x14ac:dyDescent="0.25">
      <c r="A440" s="3" t="s">
        <v>6983</v>
      </c>
      <c r="B440" s="3" t="s">
        <v>6990</v>
      </c>
      <c r="C440" s="3" t="s">
        <v>6985</v>
      </c>
      <c r="D440" s="3" t="s">
        <v>1138</v>
      </c>
      <c r="E440" s="3">
        <v>439</v>
      </c>
      <c r="F440" s="3" t="s">
        <v>6186</v>
      </c>
      <c r="G440" s="3" t="s">
        <v>1093</v>
      </c>
      <c r="H440" s="3" t="str">
        <f t="shared" si="6"/>
        <v>Data QA applied on BAL-SE0-BN Level, computed by BMT WinMon.</v>
      </c>
    </row>
    <row r="441" spans="1:8" x14ac:dyDescent="0.25">
      <c r="A441" s="3" t="s">
        <v>6983</v>
      </c>
      <c r="B441" s="3" t="s">
        <v>6990</v>
      </c>
      <c r="C441" s="3" t="s">
        <v>6985</v>
      </c>
      <c r="D441" s="3" t="s">
        <v>1138</v>
      </c>
      <c r="E441" s="3">
        <v>440</v>
      </c>
      <c r="F441" s="3" t="s">
        <v>2430</v>
      </c>
      <c r="G441" s="3" t="s">
        <v>1093</v>
      </c>
      <c r="H441" s="3" t="str">
        <f t="shared" si="6"/>
        <v>Data QA applied on BAL-SE0-BS Level, computed by BMT WinMon.</v>
      </c>
    </row>
    <row r="442" spans="1:8" x14ac:dyDescent="0.25">
      <c r="A442" s="3" t="s">
        <v>6983</v>
      </c>
      <c r="B442" s="3" t="s">
        <v>6990</v>
      </c>
      <c r="C442" s="3" t="s">
        <v>6985</v>
      </c>
      <c r="D442" s="3" t="s">
        <v>1138</v>
      </c>
      <c r="E442" s="3">
        <v>441</v>
      </c>
      <c r="F442" s="3" t="s">
        <v>2438</v>
      </c>
      <c r="G442" s="3" t="s">
        <v>1093</v>
      </c>
      <c r="H442" s="3" t="str">
        <f t="shared" si="6"/>
        <v>Data QA applied on BAL-NW0-BN Level, computed by BMT WinMon.</v>
      </c>
    </row>
    <row r="443" spans="1:8" x14ac:dyDescent="0.25">
      <c r="A443" s="3" t="s">
        <v>6983</v>
      </c>
      <c r="B443" s="3" t="s">
        <v>6990</v>
      </c>
      <c r="C443" s="3" t="s">
        <v>6985</v>
      </c>
      <c r="D443" s="3" t="s">
        <v>1138</v>
      </c>
      <c r="E443" s="3">
        <v>442</v>
      </c>
      <c r="F443" s="3" t="s">
        <v>6187</v>
      </c>
      <c r="G443" s="3" t="s">
        <v>1093</v>
      </c>
      <c r="H443" s="3" t="str">
        <f t="shared" si="6"/>
        <v>Data QA applied on BAL-NW0-BS Level, computed by BMT WinMon.</v>
      </c>
    </row>
    <row r="444" spans="1:8" x14ac:dyDescent="0.25">
      <c r="A444" s="3" t="s">
        <v>6983</v>
      </c>
      <c r="B444" s="3" t="s">
        <v>6990</v>
      </c>
      <c r="C444" s="3" t="s">
        <v>6985</v>
      </c>
      <c r="D444" s="3" t="s">
        <v>1138</v>
      </c>
      <c r="E444" s="3">
        <v>443</v>
      </c>
      <c r="F444" s="3" t="s">
        <v>6188</v>
      </c>
      <c r="G444" s="3" t="s">
        <v>1093</v>
      </c>
      <c r="H444" s="3" t="str">
        <f t="shared" si="6"/>
        <v>Data QA applied on BAL-SW0-BN Level, computed by BMT WinMon.</v>
      </c>
    </row>
    <row r="445" spans="1:8" x14ac:dyDescent="0.25">
      <c r="A445" s="3" t="s">
        <v>6983</v>
      </c>
      <c r="B445" s="3" t="s">
        <v>6990</v>
      </c>
      <c r="C445" s="3" t="s">
        <v>6985</v>
      </c>
      <c r="D445" s="3" t="s">
        <v>1138</v>
      </c>
      <c r="E445" s="3">
        <v>444</v>
      </c>
      <c r="F445" s="3" t="s">
        <v>2440</v>
      </c>
      <c r="G445" s="3" t="s">
        <v>1093</v>
      </c>
      <c r="H445" s="3" t="str">
        <f t="shared" si="6"/>
        <v>Data QA applied on BAL-SW0-BS Level, computed by BMT WinMon.</v>
      </c>
    </row>
    <row r="446" spans="1:8" x14ac:dyDescent="0.25">
      <c r="A446" s="3" t="s">
        <v>6983</v>
      </c>
      <c r="B446" s="3" t="s">
        <v>6990</v>
      </c>
      <c r="C446" s="3" t="s">
        <v>6985</v>
      </c>
      <c r="D446" s="3" t="s">
        <v>1138</v>
      </c>
      <c r="E446" s="3">
        <v>445</v>
      </c>
      <c r="F446" s="3" t="s">
        <v>6189</v>
      </c>
      <c r="G446" s="3" t="s">
        <v>1093</v>
      </c>
      <c r="H446" s="3" t="str">
        <f t="shared" si="6"/>
        <v>Data QA applied on BAL-NE1-TN Level, computed by BMT WinMon.</v>
      </c>
    </row>
    <row r="447" spans="1:8" x14ac:dyDescent="0.25">
      <c r="A447" s="3" t="s">
        <v>6983</v>
      </c>
      <c r="B447" s="3" t="s">
        <v>6990</v>
      </c>
      <c r="C447" s="3" t="s">
        <v>6985</v>
      </c>
      <c r="D447" s="3" t="s">
        <v>1138</v>
      </c>
      <c r="E447" s="3">
        <v>446</v>
      </c>
      <c r="F447" s="3" t="s">
        <v>6190</v>
      </c>
      <c r="G447" s="3" t="s">
        <v>1093</v>
      </c>
      <c r="H447" s="3" t="str">
        <f t="shared" si="6"/>
        <v>Data QA applied on BAL-NE1-TE Level, computed by BMT WinMon.</v>
      </c>
    </row>
    <row r="448" spans="1:8" x14ac:dyDescent="0.25">
      <c r="A448" s="3" t="s">
        <v>6983</v>
      </c>
      <c r="B448" s="3" t="s">
        <v>6990</v>
      </c>
      <c r="C448" s="3" t="s">
        <v>6985</v>
      </c>
      <c r="D448" s="3" t="s">
        <v>1138</v>
      </c>
      <c r="E448" s="3">
        <v>447</v>
      </c>
      <c r="F448" s="3" t="s">
        <v>6191</v>
      </c>
      <c r="G448" s="3" t="s">
        <v>1093</v>
      </c>
      <c r="H448" s="3" t="str">
        <f t="shared" si="6"/>
        <v>Data QA applied on BAL-NE1-TS Level, computed by BMT WinMon.</v>
      </c>
    </row>
    <row r="449" spans="1:8" x14ac:dyDescent="0.25">
      <c r="A449" s="3" t="s">
        <v>6983</v>
      </c>
      <c r="B449" s="3" t="s">
        <v>6990</v>
      </c>
      <c r="C449" s="3" t="s">
        <v>6985</v>
      </c>
      <c r="D449" s="3" t="s">
        <v>1138</v>
      </c>
      <c r="E449" s="3">
        <v>448</v>
      </c>
      <c r="F449" s="3" t="s">
        <v>6192</v>
      </c>
      <c r="G449" s="3" t="s">
        <v>1093</v>
      </c>
      <c r="H449" s="3" t="str">
        <f t="shared" si="6"/>
        <v>Data QA applied on BAL-NE1-TW Level, computed by BMT WinMon.</v>
      </c>
    </row>
    <row r="450" spans="1:8" x14ac:dyDescent="0.25">
      <c r="A450" s="3" t="s">
        <v>6983</v>
      </c>
      <c r="B450" s="3" t="s">
        <v>6990</v>
      </c>
      <c r="C450" s="3" t="s">
        <v>6985</v>
      </c>
      <c r="D450" s="3" t="s">
        <v>1138</v>
      </c>
      <c r="E450" s="3">
        <v>449</v>
      </c>
      <c r="F450" s="3" t="s">
        <v>6193</v>
      </c>
      <c r="G450" s="3" t="s">
        <v>1093</v>
      </c>
      <c r="H450" s="3" t="str">
        <f t="shared" si="6"/>
        <v>Data QA applied on BAL-SE1-TN Level, computed by BMT WinMon.</v>
      </c>
    </row>
    <row r="451" spans="1:8" x14ac:dyDescent="0.25">
      <c r="A451" s="3" t="s">
        <v>6983</v>
      </c>
      <c r="B451" s="3" t="s">
        <v>6990</v>
      </c>
      <c r="C451" s="3" t="s">
        <v>6985</v>
      </c>
      <c r="D451" s="3" t="s">
        <v>1138</v>
      </c>
      <c r="E451" s="3">
        <v>450</v>
      </c>
      <c r="F451" s="3" t="s">
        <v>6194</v>
      </c>
      <c r="G451" s="3" t="s">
        <v>1093</v>
      </c>
      <c r="H451" s="3" t="str">
        <f t="shared" si="6"/>
        <v>Data QA applied on BAL-SE1-TE Level, computed by BMT WinMon.</v>
      </c>
    </row>
    <row r="452" spans="1:8" x14ac:dyDescent="0.25">
      <c r="A452" s="3" t="s">
        <v>6983</v>
      </c>
      <c r="B452" s="3" t="s">
        <v>6990</v>
      </c>
      <c r="C452" s="3" t="s">
        <v>6985</v>
      </c>
      <c r="D452" s="3" t="s">
        <v>1138</v>
      </c>
      <c r="E452" s="3">
        <v>451</v>
      </c>
      <c r="F452" s="3" t="s">
        <v>6195</v>
      </c>
      <c r="G452" s="3" t="s">
        <v>1093</v>
      </c>
      <c r="H452" s="3" t="str">
        <f t="shared" si="6"/>
        <v>Data QA applied on BAL-SE1-TS Level, computed by BMT WinMon.</v>
      </c>
    </row>
    <row r="453" spans="1:8" x14ac:dyDescent="0.25">
      <c r="A453" s="3" t="s">
        <v>6983</v>
      </c>
      <c r="B453" s="3" t="s">
        <v>6990</v>
      </c>
      <c r="C453" s="3" t="s">
        <v>6985</v>
      </c>
      <c r="D453" s="3" t="s">
        <v>1138</v>
      </c>
      <c r="E453" s="3">
        <v>452</v>
      </c>
      <c r="F453" s="3" t="s">
        <v>6196</v>
      </c>
      <c r="G453" s="3" t="s">
        <v>1093</v>
      </c>
      <c r="H453" s="3" t="str">
        <f t="shared" si="6"/>
        <v>Data QA applied on BAL-SE1-TW Level, computed by BMT WinMon.</v>
      </c>
    </row>
    <row r="454" spans="1:8" x14ac:dyDescent="0.25">
      <c r="A454" s="3" t="s">
        <v>6983</v>
      </c>
      <c r="B454" s="3" t="s">
        <v>6990</v>
      </c>
      <c r="C454" s="3" t="s">
        <v>6985</v>
      </c>
      <c r="D454" s="3" t="s">
        <v>1138</v>
      </c>
      <c r="E454" s="3">
        <v>453</v>
      </c>
      <c r="F454" s="3" t="s">
        <v>6197</v>
      </c>
      <c r="G454" s="3" t="s">
        <v>1093</v>
      </c>
      <c r="H454" s="3" t="str">
        <f t="shared" si="6"/>
        <v>Data QA applied on BAL-NW1-TN Level, computed by BMT WinMon.</v>
      </c>
    </row>
    <row r="455" spans="1:8" x14ac:dyDescent="0.25">
      <c r="A455" s="3" t="s">
        <v>6983</v>
      </c>
      <c r="B455" s="3" t="s">
        <v>6990</v>
      </c>
      <c r="C455" s="3" t="s">
        <v>6985</v>
      </c>
      <c r="D455" s="3" t="s">
        <v>1138</v>
      </c>
      <c r="E455" s="3">
        <v>454</v>
      </c>
      <c r="F455" s="3" t="s">
        <v>6198</v>
      </c>
      <c r="G455" s="3" t="s">
        <v>1093</v>
      </c>
      <c r="H455" s="3" t="str">
        <f t="shared" si="6"/>
        <v>Data QA applied on BAL-NW1-TE Level, computed by BMT WinMon.</v>
      </c>
    </row>
    <row r="456" spans="1:8" x14ac:dyDescent="0.25">
      <c r="A456" s="3" t="s">
        <v>6983</v>
      </c>
      <c r="B456" s="3" t="s">
        <v>6990</v>
      </c>
      <c r="C456" s="3" t="s">
        <v>6985</v>
      </c>
      <c r="D456" s="3" t="s">
        <v>1138</v>
      </c>
      <c r="E456" s="3">
        <v>455</v>
      </c>
      <c r="F456" s="3" t="s">
        <v>6199</v>
      </c>
      <c r="G456" s="3" t="s">
        <v>1093</v>
      </c>
      <c r="H456" s="3" t="str">
        <f t="shared" si="6"/>
        <v>Data QA applied on BAL-NW1-TS Level, computed by BMT WinMon.</v>
      </c>
    </row>
    <row r="457" spans="1:8" x14ac:dyDescent="0.25">
      <c r="A457" s="3" t="s">
        <v>6983</v>
      </c>
      <c r="B457" s="3" t="s">
        <v>6990</v>
      </c>
      <c r="C457" s="3" t="s">
        <v>6985</v>
      </c>
      <c r="D457" s="3" t="s">
        <v>1138</v>
      </c>
      <c r="E457" s="3">
        <v>456</v>
      </c>
      <c r="F457" s="3" t="s">
        <v>6200</v>
      </c>
      <c r="G457" s="3" t="s">
        <v>1093</v>
      </c>
      <c r="H457" s="3" t="str">
        <f t="shared" si="6"/>
        <v>Data QA applied on BAL-NW1-TW Level, computed by BMT WinMon.</v>
      </c>
    </row>
    <row r="458" spans="1:8" x14ac:dyDescent="0.25">
      <c r="A458" s="3" t="s">
        <v>6983</v>
      </c>
      <c r="B458" s="3" t="s">
        <v>6990</v>
      </c>
      <c r="C458" s="3" t="s">
        <v>6985</v>
      </c>
      <c r="D458" s="3" t="s">
        <v>1138</v>
      </c>
      <c r="E458" s="3">
        <v>457</v>
      </c>
      <c r="F458" s="3" t="s">
        <v>6201</v>
      </c>
      <c r="G458" s="3" t="s">
        <v>1093</v>
      </c>
      <c r="H458" s="3" t="str">
        <f t="shared" si="6"/>
        <v>Data QA applied on BAL-SW1-TN Level, computed by BMT WinMon.</v>
      </c>
    </row>
    <row r="459" spans="1:8" x14ac:dyDescent="0.25">
      <c r="A459" s="3" t="s">
        <v>6983</v>
      </c>
      <c r="B459" s="3" t="s">
        <v>6990</v>
      </c>
      <c r="C459" s="3" t="s">
        <v>6985</v>
      </c>
      <c r="D459" s="3" t="s">
        <v>1138</v>
      </c>
      <c r="E459" s="3">
        <v>458</v>
      </c>
      <c r="F459" s="3" t="s">
        <v>6202</v>
      </c>
      <c r="G459" s="3" t="s">
        <v>1093</v>
      </c>
      <c r="H459" s="3" t="str">
        <f t="shared" si="6"/>
        <v>Data QA applied on BAL-SW1-TE Level, computed by BMT WinMon.</v>
      </c>
    </row>
    <row r="460" spans="1:8" x14ac:dyDescent="0.25">
      <c r="A460" s="3" t="s">
        <v>6983</v>
      </c>
      <c r="B460" s="3" t="s">
        <v>6990</v>
      </c>
      <c r="C460" s="3" t="s">
        <v>6985</v>
      </c>
      <c r="D460" s="3" t="s">
        <v>1138</v>
      </c>
      <c r="E460" s="3">
        <v>459</v>
      </c>
      <c r="F460" s="3" t="s">
        <v>6203</v>
      </c>
      <c r="G460" s="3" t="s">
        <v>1093</v>
      </c>
      <c r="H460" s="3" t="str">
        <f t="shared" si="6"/>
        <v>Data QA applied on BAL-SW1-TS Level, computed by BMT WinMon.</v>
      </c>
    </row>
    <row r="461" spans="1:8" x14ac:dyDescent="0.25">
      <c r="A461" s="3" t="s">
        <v>6983</v>
      </c>
      <c r="B461" s="3" t="s">
        <v>6990</v>
      </c>
      <c r="C461" s="3" t="s">
        <v>6985</v>
      </c>
      <c r="D461" s="3" t="s">
        <v>1138</v>
      </c>
      <c r="E461" s="3">
        <v>460</v>
      </c>
      <c r="F461" s="3" t="s">
        <v>6204</v>
      </c>
      <c r="G461" s="3" t="s">
        <v>1093</v>
      </c>
      <c r="H461" s="3" t="str">
        <f t="shared" si="6"/>
        <v>Data QA applied on BAL-SW1-TW Level, computed by BMT WinMon.</v>
      </c>
    </row>
    <row r="462" spans="1:8" x14ac:dyDescent="0.25">
      <c r="A462" s="3" t="s">
        <v>6983</v>
      </c>
      <c r="B462" s="3" t="s">
        <v>6990</v>
      </c>
      <c r="C462" s="3" t="s">
        <v>6985</v>
      </c>
      <c r="D462" s="3" t="s">
        <v>1138</v>
      </c>
      <c r="E462" s="3">
        <v>461</v>
      </c>
      <c r="F462" s="3" t="s">
        <v>6205</v>
      </c>
      <c r="G462" s="3" t="s">
        <v>1093</v>
      </c>
      <c r="H462" s="3" t="str">
        <f t="shared" si="6"/>
        <v>Data QA applied on ABJ-SE4-51 Level, computed by BMT WinMon.</v>
      </c>
    </row>
    <row r="463" spans="1:8" x14ac:dyDescent="0.25">
      <c r="A463" s="3" t="s">
        <v>6983</v>
      </c>
      <c r="B463" s="3" t="s">
        <v>6990</v>
      </c>
      <c r="C463" s="3" t="s">
        <v>6985</v>
      </c>
      <c r="D463" s="3" t="s">
        <v>1138</v>
      </c>
      <c r="E463" s="3">
        <v>462</v>
      </c>
      <c r="F463" s="3" t="s">
        <v>6206</v>
      </c>
      <c r="G463" s="3" t="s">
        <v>1093</v>
      </c>
      <c r="H463" s="3" t="str">
        <f t="shared" si="6"/>
        <v>Data QA applied on ABJ-SE4-61 Level, computed by BMT WinMon.</v>
      </c>
    </row>
    <row r="464" spans="1:8" x14ac:dyDescent="0.25">
      <c r="A464" s="3" t="s">
        <v>6983</v>
      </c>
      <c r="B464" s="3" t="s">
        <v>6990</v>
      </c>
      <c r="C464" s="3" t="s">
        <v>6985</v>
      </c>
      <c r="D464" s="3" t="s">
        <v>1138</v>
      </c>
      <c r="E464" s="3">
        <v>463</v>
      </c>
      <c r="F464" s="3" t="s">
        <v>6207</v>
      </c>
      <c r="G464" s="3" t="s">
        <v>1093</v>
      </c>
      <c r="H464" s="3" t="str">
        <f t="shared" si="6"/>
        <v>Data QA applied on ABJ-SW4-01 Level, computed by BMT WinMon.</v>
      </c>
    </row>
    <row r="465" spans="1:8" x14ac:dyDescent="0.25">
      <c r="A465" s="3" t="s">
        <v>6983</v>
      </c>
      <c r="B465" s="3" t="s">
        <v>6990</v>
      </c>
      <c r="C465" s="3" t="s">
        <v>6985</v>
      </c>
      <c r="D465" s="3" t="s">
        <v>1138</v>
      </c>
      <c r="E465" s="3">
        <v>464</v>
      </c>
      <c r="F465" s="3" t="s">
        <v>6208</v>
      </c>
      <c r="G465" s="3" t="s">
        <v>1093</v>
      </c>
      <c r="H465" s="3" t="str">
        <f t="shared" si="6"/>
        <v>Data QA applied on ABJ-SW4-02 Level, computed by BMT WinMon.</v>
      </c>
    </row>
    <row r="466" spans="1:8" x14ac:dyDescent="0.25">
      <c r="A466" s="3" t="s">
        <v>6983</v>
      </c>
      <c r="B466" s="3" t="s">
        <v>6990</v>
      </c>
      <c r="C466" s="3" t="s">
        <v>6985</v>
      </c>
      <c r="D466" s="3" t="s">
        <v>1138</v>
      </c>
      <c r="E466" s="3">
        <v>465</v>
      </c>
      <c r="F466" s="3" t="s">
        <v>6209</v>
      </c>
      <c r="G466" s="3" t="s">
        <v>1093</v>
      </c>
      <c r="H466" s="3" t="str">
        <f t="shared" si="6"/>
        <v>Data QA applied on ABJ-SW4-03 Level, computed by BMT WinMon.</v>
      </c>
    </row>
    <row r="467" spans="1:8" x14ac:dyDescent="0.25">
      <c r="A467" s="3" t="s">
        <v>6983</v>
      </c>
      <c r="B467" s="3" t="s">
        <v>6990</v>
      </c>
      <c r="C467" s="3" t="s">
        <v>6985</v>
      </c>
      <c r="D467" s="3" t="s">
        <v>1138</v>
      </c>
      <c r="E467" s="3">
        <v>466</v>
      </c>
      <c r="F467" s="3" t="s">
        <v>6210</v>
      </c>
      <c r="G467" s="3" t="s">
        <v>1093</v>
      </c>
      <c r="H467" s="3" t="str">
        <f t="shared" si="6"/>
        <v>Data QA applied on SW Draft, computed by BMT WinMon.</v>
      </c>
    </row>
    <row r="468" spans="1:8" x14ac:dyDescent="0.25">
      <c r="A468" s="3" t="s">
        <v>6983</v>
      </c>
      <c r="B468" s="3" t="s">
        <v>6990</v>
      </c>
      <c r="C468" s="3" t="s">
        <v>6985</v>
      </c>
      <c r="D468" s="3" t="s">
        <v>1138</v>
      </c>
      <c r="E468" s="3">
        <v>467</v>
      </c>
      <c r="F468" s="3" t="s">
        <v>6211</v>
      </c>
      <c r="G468" s="3" t="s">
        <v>1093</v>
      </c>
      <c r="H468" s="3" t="str">
        <f t="shared" si="6"/>
        <v>Data QA applied on SE Draft, computed by BMT WinMon.</v>
      </c>
    </row>
    <row r="469" spans="1:8" x14ac:dyDescent="0.25">
      <c r="A469" s="3" t="s">
        <v>6983</v>
      </c>
      <c r="B469" s="3" t="s">
        <v>6990</v>
      </c>
      <c r="C469" s="3" t="s">
        <v>6985</v>
      </c>
      <c r="D469" s="3" t="s">
        <v>1138</v>
      </c>
      <c r="E469" s="3">
        <v>468</v>
      </c>
      <c r="F469" s="3" t="s">
        <v>886</v>
      </c>
      <c r="G469" s="3" t="s">
        <v>1093</v>
      </c>
      <c r="H469" s="3" t="str">
        <f t="shared" si="6"/>
        <v>Data QA applied on North Draft, computed by BMT WinMon.</v>
      </c>
    </row>
    <row r="470" spans="1:8" x14ac:dyDescent="0.25">
      <c r="A470" s="3" t="s">
        <v>6983</v>
      </c>
      <c r="B470" s="3" t="s">
        <v>6990</v>
      </c>
      <c r="C470" s="3" t="s">
        <v>6985</v>
      </c>
      <c r="D470" s="3" t="s">
        <v>1138</v>
      </c>
      <c r="E470" s="3">
        <v>469</v>
      </c>
      <c r="F470" s="3" t="s">
        <v>887</v>
      </c>
      <c r="G470" s="3" t="s">
        <v>1093</v>
      </c>
      <c r="H470" s="3" t="str">
        <f t="shared" si="6"/>
        <v>Data QA applied on East Draft, computed by BMT WinMon.</v>
      </c>
    </row>
    <row r="471" spans="1:8" x14ac:dyDescent="0.25">
      <c r="A471" s="3" t="s">
        <v>6983</v>
      </c>
      <c r="B471" s="3" t="s">
        <v>6990</v>
      </c>
      <c r="C471" s="3" t="s">
        <v>6985</v>
      </c>
      <c r="D471" s="3" t="s">
        <v>1138</v>
      </c>
      <c r="E471" s="3">
        <v>470</v>
      </c>
      <c r="F471" s="3" t="s">
        <v>888</v>
      </c>
      <c r="G471" s="3" t="s">
        <v>1093</v>
      </c>
      <c r="H471" s="3" t="str">
        <f t="shared" si="6"/>
        <v>Data QA applied on South Draft, computed by BMT WinMon.</v>
      </c>
    </row>
    <row r="472" spans="1:8" x14ac:dyDescent="0.25">
      <c r="A472" s="3" t="s">
        <v>6983</v>
      </c>
      <c r="B472" s="3" t="s">
        <v>6990</v>
      </c>
      <c r="C472" s="3" t="s">
        <v>6985</v>
      </c>
      <c r="D472" s="3" t="s">
        <v>1138</v>
      </c>
      <c r="E472" s="3">
        <v>471</v>
      </c>
      <c r="F472" s="3" t="s">
        <v>889</v>
      </c>
      <c r="G472" s="3" t="s">
        <v>1093</v>
      </c>
      <c r="H472" s="3" t="str">
        <f t="shared" si="6"/>
        <v>Data QA applied on West Draft, computed by BMT WinMon.</v>
      </c>
    </row>
    <row r="473" spans="1:8" x14ac:dyDescent="0.25">
      <c r="A473" s="3" t="s">
        <v>6983</v>
      </c>
      <c r="B473" s="3" t="s">
        <v>6990</v>
      </c>
      <c r="C473" s="3" t="s">
        <v>6985</v>
      </c>
      <c r="D473" s="3" t="s">
        <v>1138</v>
      </c>
      <c r="E473" s="3">
        <v>472</v>
      </c>
      <c r="F473" s="3" t="s">
        <v>2095</v>
      </c>
      <c r="G473" s="3" t="s">
        <v>16</v>
      </c>
      <c r="H473" s="3" t="s">
        <v>6969</v>
      </c>
    </row>
    <row r="474" spans="1:8" x14ac:dyDescent="0.25">
      <c r="A474" s="3" t="s">
        <v>6983</v>
      </c>
      <c r="B474" s="3" t="s">
        <v>6990</v>
      </c>
      <c r="C474" s="3" t="s">
        <v>6985</v>
      </c>
      <c r="D474" s="3" t="s">
        <v>1138</v>
      </c>
      <c r="E474" s="3">
        <v>473</v>
      </c>
      <c r="F474" s="3" t="s">
        <v>6212</v>
      </c>
      <c r="G474" s="3" t="s">
        <v>13</v>
      </c>
      <c r="H474" s="4" t="s">
        <v>2146</v>
      </c>
    </row>
    <row r="475" spans="1:8" x14ac:dyDescent="0.25">
      <c r="A475" s="3" t="s">
        <v>6983</v>
      </c>
      <c r="B475" s="3" t="s">
        <v>6990</v>
      </c>
      <c r="C475" s="3" t="s">
        <v>6985</v>
      </c>
      <c r="D475" s="3" t="s">
        <v>1138</v>
      </c>
      <c r="E475" s="3">
        <v>474</v>
      </c>
      <c r="F475" s="3" t="s">
        <v>6213</v>
      </c>
      <c r="G475" s="3" t="s">
        <v>9</v>
      </c>
      <c r="H475" s="4" t="s">
        <v>2147</v>
      </c>
    </row>
    <row r="476" spans="1:8" x14ac:dyDescent="0.25">
      <c r="A476" s="3" t="s">
        <v>6983</v>
      </c>
      <c r="B476" s="3" t="s">
        <v>6990</v>
      </c>
      <c r="C476" s="3" t="s">
        <v>6985</v>
      </c>
      <c r="D476" s="3" t="s">
        <v>1138</v>
      </c>
      <c r="E476" s="3">
        <v>475</v>
      </c>
      <c r="F476" s="3" t="s">
        <v>6214</v>
      </c>
      <c r="G476" s="3" t="s">
        <v>13</v>
      </c>
      <c r="H476" s="4" t="s">
        <v>6724</v>
      </c>
    </row>
    <row r="477" spans="1:8" x14ac:dyDescent="0.25">
      <c r="A477" s="3" t="s">
        <v>6983</v>
      </c>
      <c r="B477" s="3" t="s">
        <v>6990</v>
      </c>
      <c r="C477" s="3" t="s">
        <v>6985</v>
      </c>
      <c r="D477" s="3" t="s">
        <v>1138</v>
      </c>
      <c r="E477" s="3">
        <v>476</v>
      </c>
      <c r="F477" s="3" t="s">
        <v>6215</v>
      </c>
      <c r="G477" s="3" t="s">
        <v>13</v>
      </c>
      <c r="H477" s="3" t="s">
        <v>6725</v>
      </c>
    </row>
    <row r="478" spans="1:8" x14ac:dyDescent="0.25">
      <c r="A478" s="3" t="s">
        <v>6983</v>
      </c>
      <c r="B478" s="3" t="s">
        <v>6990</v>
      </c>
      <c r="C478" s="3" t="s">
        <v>6985</v>
      </c>
      <c r="D478" s="3" t="s">
        <v>1138</v>
      </c>
      <c r="E478" s="3">
        <v>477</v>
      </c>
      <c r="F478" s="3" t="s">
        <v>6216</v>
      </c>
      <c r="G478" s="3" t="s">
        <v>13</v>
      </c>
      <c r="H478" s="4" t="s">
        <v>6726</v>
      </c>
    </row>
    <row r="479" spans="1:8" x14ac:dyDescent="0.25">
      <c r="A479" s="3" t="s">
        <v>6983</v>
      </c>
      <c r="B479" s="3" t="s">
        <v>6990</v>
      </c>
      <c r="C479" s="3" t="s">
        <v>6985</v>
      </c>
      <c r="D479" s="3" t="s">
        <v>1138</v>
      </c>
      <c r="E479" s="3">
        <v>478</v>
      </c>
      <c r="F479" s="3" t="s">
        <v>6217</v>
      </c>
      <c r="G479" s="3" t="s">
        <v>9</v>
      </c>
      <c r="H479" s="4" t="s">
        <v>6727</v>
      </c>
    </row>
    <row r="480" spans="1:8" x14ac:dyDescent="0.25">
      <c r="A480" s="3" t="s">
        <v>6983</v>
      </c>
      <c r="B480" s="3" t="s">
        <v>6990</v>
      </c>
      <c r="C480" s="3" t="s">
        <v>6985</v>
      </c>
      <c r="D480" s="3" t="s">
        <v>1138</v>
      </c>
      <c r="E480" s="3">
        <v>479</v>
      </c>
      <c r="F480" s="3" t="s">
        <v>6218</v>
      </c>
      <c r="G480" s="3" t="s">
        <v>13</v>
      </c>
      <c r="H480" s="4" t="s">
        <v>6728</v>
      </c>
    </row>
    <row r="481" spans="1:8" x14ac:dyDescent="0.25">
      <c r="A481" s="3" t="s">
        <v>6983</v>
      </c>
      <c r="B481" s="3" t="s">
        <v>6990</v>
      </c>
      <c r="C481" s="3" t="s">
        <v>6985</v>
      </c>
      <c r="D481" s="3" t="s">
        <v>1138</v>
      </c>
      <c r="E481" s="3">
        <v>480</v>
      </c>
      <c r="F481" s="3" t="s">
        <v>6219</v>
      </c>
      <c r="G481" s="3" t="s">
        <v>9</v>
      </c>
      <c r="H481" s="4" t="s">
        <v>6729</v>
      </c>
    </row>
    <row r="482" spans="1:8" x14ac:dyDescent="0.25">
      <c r="A482" s="3" t="s">
        <v>6983</v>
      </c>
      <c r="B482" s="3" t="s">
        <v>6990</v>
      </c>
      <c r="C482" s="3" t="s">
        <v>6985</v>
      </c>
      <c r="D482" s="3" t="s">
        <v>1138</v>
      </c>
      <c r="E482" s="3">
        <v>481</v>
      </c>
      <c r="F482" s="3" t="s">
        <v>883</v>
      </c>
      <c r="G482" s="3" t="s">
        <v>13</v>
      </c>
      <c r="H482" s="4" t="s">
        <v>1254</v>
      </c>
    </row>
    <row r="483" spans="1:8" x14ac:dyDescent="0.25">
      <c r="A483" s="3" t="s">
        <v>6983</v>
      </c>
      <c r="B483" s="3" t="s">
        <v>6990</v>
      </c>
      <c r="C483" s="3" t="s">
        <v>6985</v>
      </c>
      <c r="D483" s="3" t="s">
        <v>1138</v>
      </c>
      <c r="E483" s="3">
        <v>482</v>
      </c>
      <c r="F483" s="3" t="s">
        <v>884</v>
      </c>
      <c r="G483" s="3" t="s">
        <v>13</v>
      </c>
      <c r="H483" s="4" t="s">
        <v>1253</v>
      </c>
    </row>
    <row r="484" spans="1:8" x14ac:dyDescent="0.25">
      <c r="A484" s="3" t="s">
        <v>6983</v>
      </c>
      <c r="B484" s="3" t="s">
        <v>6990</v>
      </c>
      <c r="C484" s="3" t="s">
        <v>6985</v>
      </c>
      <c r="D484" s="3" t="s">
        <v>1138</v>
      </c>
      <c r="E484" s="3">
        <v>483</v>
      </c>
      <c r="F484" s="3" t="s">
        <v>885</v>
      </c>
      <c r="G484" s="3" t="s">
        <v>13</v>
      </c>
      <c r="H484" s="4" t="s">
        <v>1255</v>
      </c>
    </row>
    <row r="485" spans="1:8" x14ac:dyDescent="0.25">
      <c r="A485" s="3" t="s">
        <v>6983</v>
      </c>
      <c r="B485" s="3" t="s">
        <v>6990</v>
      </c>
      <c r="C485" s="3" t="s">
        <v>6985</v>
      </c>
      <c r="D485" s="3" t="s">
        <v>1138</v>
      </c>
      <c r="E485" s="3">
        <v>484</v>
      </c>
      <c r="F485" s="4" t="s">
        <v>6220</v>
      </c>
      <c r="G485" s="4" t="s">
        <v>1100</v>
      </c>
      <c r="H485" s="4" t="str">
        <f>_xlfn.CONCAT("Output ",F485, " from 3rd party Herbert-ABS system.")</f>
        <v>Output Ballast Tanks Ttl Wt from 3rd party Herbert-ABS system.</v>
      </c>
    </row>
    <row r="486" spans="1:8" x14ac:dyDescent="0.25">
      <c r="A486" s="3" t="s">
        <v>6983</v>
      </c>
      <c r="B486" s="3" t="s">
        <v>6990</v>
      </c>
      <c r="C486" s="3" t="s">
        <v>6985</v>
      </c>
      <c r="D486" s="3" t="s">
        <v>1138</v>
      </c>
      <c r="E486" s="3">
        <v>485</v>
      </c>
      <c r="F486" s="3" t="s">
        <v>6221</v>
      </c>
      <c r="G486" s="3" t="s">
        <v>1100</v>
      </c>
      <c r="H486" s="4" t="str">
        <f t="shared" ref="H486:H499" si="7">_xlfn.CONCAT("Output ",F486, " from 3rd party Herbert-ABS system.")</f>
        <v>Output Bias Line Ttl Wt from 3rd party Herbert-ABS system.</v>
      </c>
    </row>
    <row r="487" spans="1:8" x14ac:dyDescent="0.25">
      <c r="A487" s="3" t="s">
        <v>6983</v>
      </c>
      <c r="B487" s="3" t="s">
        <v>6990</v>
      </c>
      <c r="C487" s="3" t="s">
        <v>6985</v>
      </c>
      <c r="D487" s="3" t="s">
        <v>1138</v>
      </c>
      <c r="E487" s="3">
        <v>486</v>
      </c>
      <c r="F487" s="3" t="s">
        <v>6222</v>
      </c>
      <c r="G487" s="3" t="s">
        <v>1100</v>
      </c>
      <c r="H487" s="4" t="str">
        <f t="shared" si="7"/>
        <v>Output Column Voids Ttl Wt from 3rd party Herbert-ABS system.</v>
      </c>
    </row>
    <row r="488" spans="1:8" x14ac:dyDescent="0.25">
      <c r="A488" s="3" t="s">
        <v>6983</v>
      </c>
      <c r="B488" s="3" t="s">
        <v>6990</v>
      </c>
      <c r="C488" s="3" t="s">
        <v>6985</v>
      </c>
      <c r="D488" s="3" t="s">
        <v>1138</v>
      </c>
      <c r="E488" s="3">
        <v>487</v>
      </c>
      <c r="F488" s="3" t="s">
        <v>6223</v>
      </c>
      <c r="G488" s="3" t="s">
        <v>1100</v>
      </c>
      <c r="H488" s="4" t="str">
        <f t="shared" si="7"/>
        <v>Output Columns Loads Ttl Wt from 3rd party Herbert-ABS system.</v>
      </c>
    </row>
    <row r="489" spans="1:8" x14ac:dyDescent="0.25">
      <c r="A489" s="3" t="s">
        <v>6983</v>
      </c>
      <c r="B489" s="3" t="s">
        <v>6990</v>
      </c>
      <c r="C489" s="3" t="s">
        <v>6985</v>
      </c>
      <c r="D489" s="3" t="s">
        <v>1138</v>
      </c>
      <c r="E489" s="3">
        <v>488</v>
      </c>
      <c r="F489" s="3" t="s">
        <v>6224</v>
      </c>
      <c r="G489" s="3" t="s">
        <v>1100</v>
      </c>
      <c r="H489" s="4" t="str">
        <f t="shared" si="7"/>
        <v>Output Drilling Loads Ttl Wt from 3rd party Herbert-ABS system.</v>
      </c>
    </row>
    <row r="490" spans="1:8" x14ac:dyDescent="0.25">
      <c r="A490" s="3" t="s">
        <v>6983</v>
      </c>
      <c r="B490" s="3" t="s">
        <v>6990</v>
      </c>
      <c r="C490" s="3" t="s">
        <v>6985</v>
      </c>
      <c r="D490" s="3" t="s">
        <v>1138</v>
      </c>
      <c r="E490" s="3">
        <v>489</v>
      </c>
      <c r="F490" s="3" t="s">
        <v>6225</v>
      </c>
      <c r="G490" s="3" t="s">
        <v>1100</v>
      </c>
      <c r="H490" s="4" t="str">
        <f t="shared" si="7"/>
        <v>Output Hull Consumables Ttl Wt from 3rd party Herbert-ABS system.</v>
      </c>
    </row>
    <row r="491" spans="1:8" x14ac:dyDescent="0.25">
      <c r="A491" s="3" t="s">
        <v>6983</v>
      </c>
      <c r="B491" s="3" t="s">
        <v>6990</v>
      </c>
      <c r="C491" s="3" t="s">
        <v>6985</v>
      </c>
      <c r="D491" s="3" t="s">
        <v>1138</v>
      </c>
      <c r="E491" s="3">
        <v>490</v>
      </c>
      <c r="F491" s="3" t="s">
        <v>6226</v>
      </c>
      <c r="G491" s="3" t="s">
        <v>1100</v>
      </c>
      <c r="H491" s="4" t="str">
        <f t="shared" si="7"/>
        <v>Output Interm Deck Loads Ttl Wt from 3rd party Herbert-ABS system.</v>
      </c>
    </row>
    <row r="492" spans="1:8" x14ac:dyDescent="0.25">
      <c r="A492" s="3" t="s">
        <v>6983</v>
      </c>
      <c r="B492" s="3" t="s">
        <v>6990</v>
      </c>
      <c r="C492" s="3" t="s">
        <v>6985</v>
      </c>
      <c r="D492" s="3" t="s">
        <v>1138</v>
      </c>
      <c r="E492" s="3">
        <v>491</v>
      </c>
      <c r="F492" s="3" t="s">
        <v>1069</v>
      </c>
      <c r="G492" s="3" t="s">
        <v>1100</v>
      </c>
      <c r="H492" s="4" t="str">
        <f t="shared" si="7"/>
        <v>Output Lightship Changes Wt from 3rd party Herbert-ABS system.</v>
      </c>
    </row>
    <row r="493" spans="1:8" x14ac:dyDescent="0.25">
      <c r="A493" s="3" t="s">
        <v>6983</v>
      </c>
      <c r="B493" s="3" t="s">
        <v>6990</v>
      </c>
      <c r="C493" s="3" t="s">
        <v>6985</v>
      </c>
      <c r="D493" s="3" t="s">
        <v>1138</v>
      </c>
      <c r="E493" s="3">
        <v>492</v>
      </c>
      <c r="F493" s="3" t="s">
        <v>6227</v>
      </c>
      <c r="G493" s="3" t="s">
        <v>1100</v>
      </c>
      <c r="H493" s="4" t="str">
        <f t="shared" si="7"/>
        <v>Output Lower Deck Loads Ttl Wt from 3rd party Herbert-ABS system.</v>
      </c>
    </row>
    <row r="494" spans="1:8" x14ac:dyDescent="0.25">
      <c r="A494" s="3" t="s">
        <v>6983</v>
      </c>
      <c r="B494" s="3" t="s">
        <v>6990</v>
      </c>
      <c r="C494" s="3" t="s">
        <v>6985</v>
      </c>
      <c r="D494" s="3" t="s">
        <v>1138</v>
      </c>
      <c r="E494" s="3">
        <v>493</v>
      </c>
      <c r="F494" s="3" t="s">
        <v>6228</v>
      </c>
      <c r="G494" s="3" t="s">
        <v>1100</v>
      </c>
      <c r="H494" s="4" t="str">
        <f t="shared" si="7"/>
        <v>Output Mezz Deck Loads Ttl Wt from 3rd party Herbert-ABS system.</v>
      </c>
    </row>
    <row r="495" spans="1:8" x14ac:dyDescent="0.25">
      <c r="A495" s="3" t="s">
        <v>6983</v>
      </c>
      <c r="B495" s="3" t="s">
        <v>6990</v>
      </c>
      <c r="C495" s="3" t="s">
        <v>6985</v>
      </c>
      <c r="D495" s="3" t="s">
        <v>1138</v>
      </c>
      <c r="E495" s="3">
        <v>494</v>
      </c>
      <c r="F495" s="3" t="s">
        <v>6229</v>
      </c>
      <c r="G495" s="3" t="s">
        <v>1100</v>
      </c>
      <c r="H495" s="4" t="str">
        <f t="shared" si="7"/>
        <v>Output Process Tanks Ttl Wt from 3rd party Herbert-ABS system.</v>
      </c>
    </row>
    <row r="496" spans="1:8" x14ac:dyDescent="0.25">
      <c r="A496" s="3" t="s">
        <v>6983</v>
      </c>
      <c r="B496" s="3" t="s">
        <v>6990</v>
      </c>
      <c r="C496" s="3" t="s">
        <v>6985</v>
      </c>
      <c r="D496" s="3" t="s">
        <v>1138</v>
      </c>
      <c r="E496" s="3">
        <v>495</v>
      </c>
      <c r="F496" s="3" t="s">
        <v>6230</v>
      </c>
      <c r="G496" s="3" t="s">
        <v>1100</v>
      </c>
      <c r="H496" s="4" t="str">
        <f t="shared" si="7"/>
        <v>Output Quarters Loads Ttl Wt from 3rd party Herbert-ABS system.</v>
      </c>
    </row>
    <row r="497" spans="1:8" x14ac:dyDescent="0.25">
      <c r="A497" s="3" t="s">
        <v>6983</v>
      </c>
      <c r="B497" s="3" t="s">
        <v>6990</v>
      </c>
      <c r="C497" s="3" t="s">
        <v>6985</v>
      </c>
      <c r="D497" s="3" t="s">
        <v>1138</v>
      </c>
      <c r="E497" s="3">
        <v>496</v>
      </c>
      <c r="F497" s="3" t="s">
        <v>6231</v>
      </c>
      <c r="G497" s="3" t="s">
        <v>1100</v>
      </c>
      <c r="H497" s="4" t="str">
        <f t="shared" si="7"/>
        <v>Output SCRS Ttl Wt from 3rd party Herbert-ABS system.</v>
      </c>
    </row>
    <row r="498" spans="1:8" x14ac:dyDescent="0.25">
      <c r="A498" s="3" t="s">
        <v>6983</v>
      </c>
      <c r="B498" s="3" t="s">
        <v>6990</v>
      </c>
      <c r="C498" s="3" t="s">
        <v>6985</v>
      </c>
      <c r="D498" s="3" t="s">
        <v>1138</v>
      </c>
      <c r="E498" s="3">
        <v>497</v>
      </c>
      <c r="F498" s="3" t="s">
        <v>6232</v>
      </c>
      <c r="G498" s="3" t="s">
        <v>1100</v>
      </c>
      <c r="H498" s="4" t="str">
        <f t="shared" si="7"/>
        <v>Output TTRS Ttl Wt from 3rd party Herbert-ABS system.</v>
      </c>
    </row>
    <row r="499" spans="1:8" x14ac:dyDescent="0.25">
      <c r="A499" s="3" t="s">
        <v>6983</v>
      </c>
      <c r="B499" s="3" t="s">
        <v>6990</v>
      </c>
      <c r="C499" s="3" t="s">
        <v>6985</v>
      </c>
      <c r="D499" s="3" t="s">
        <v>1138</v>
      </c>
      <c r="E499" s="3">
        <v>498</v>
      </c>
      <c r="F499" s="3" t="s">
        <v>6233</v>
      </c>
      <c r="G499" s="3" t="s">
        <v>1100</v>
      </c>
      <c r="H499" s="4" t="str">
        <f t="shared" si="7"/>
        <v>Output Upper Deck Loads Ttl Wt from 3rd party Herbert-ABS system.</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a84c25f-74a0-4c84-a549-a74d19e76736">
      <Terms xmlns="http://schemas.microsoft.com/office/infopath/2007/PartnerControls"/>
    </lcf76f155ced4ddcb4097134ff3c332f>
    <TaxCatchAll xmlns="9d8edb60-b834-4aa6-bfa0-36bf15969713" xsi:nil="true"/>
    <SharedWithUsers xmlns="9d8edb60-b834-4aa6-bfa0-36bf15969713">
      <UserInfo>
        <DisplayName>Dan Wang</DisplayName>
        <AccountId>23</AccountId>
        <AccountType/>
      </UserInfo>
      <UserInfo>
        <DisplayName>Jimmy Ng</DisplayName>
        <AccountId>8</AccountId>
        <AccountType/>
      </UserInfo>
      <UserInfo>
        <DisplayName>Suvabrata Das</DisplayName>
        <AccountId>17</AccountId>
        <AccountType/>
      </UserInfo>
      <UserInfo>
        <DisplayName>Iliana Jimenez</DisplayName>
        <AccountId>10</AccountId>
        <AccountType/>
      </UserInfo>
      <UserInfo>
        <DisplayName>Soma Maroju</DisplayName>
        <AccountId>3</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F533B2B19C52B4B8BF2004DB0564053" ma:contentTypeVersion="17" ma:contentTypeDescription="Create a new document." ma:contentTypeScope="" ma:versionID="f36dbe144aaed9b3bad615d6984f74e4">
  <xsd:schema xmlns:xsd="http://www.w3.org/2001/XMLSchema" xmlns:xs="http://www.w3.org/2001/XMLSchema" xmlns:p="http://schemas.microsoft.com/office/2006/metadata/properties" xmlns:ns2="ea84c25f-74a0-4c84-a549-a74d19e76736" xmlns:ns3="9d8edb60-b834-4aa6-bfa0-36bf15969713" targetNamespace="http://schemas.microsoft.com/office/2006/metadata/properties" ma:root="true" ma:fieldsID="828fa5bd80064d46f16f7fa84f3d08d3" ns2:_="" ns3:_="">
    <xsd:import namespace="ea84c25f-74a0-4c84-a549-a74d19e76736"/>
    <xsd:import namespace="9d8edb60-b834-4aa6-bfa0-36bf1596971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84c25f-74a0-4c84-a549-a74d19e767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a71898b-5511-472f-84fa-c2f86a276ae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d8edb60-b834-4aa6-bfa0-36bf15969713"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7d8994d-bf20-4656-995f-1160172de793}" ma:internalName="TaxCatchAll" ma:showField="CatchAllData" ma:web="9d8edb60-b834-4aa6-bfa0-36bf159697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D82568-874A-4BD2-872E-35C2E727F64A}">
  <ds:schemaRefs>
    <ds:schemaRef ds:uri="http://purl.org/dc/terms/"/>
    <ds:schemaRef ds:uri="9d8edb60-b834-4aa6-bfa0-36bf15969713"/>
    <ds:schemaRef ds:uri="http://schemas.openxmlformats.org/package/2006/metadata/core-properties"/>
    <ds:schemaRef ds:uri="ea84c25f-74a0-4c84-a549-a74d19e76736"/>
    <ds:schemaRef ds:uri="http://www.w3.org/XML/1998/namespace"/>
    <ds:schemaRef ds:uri="http://schemas.microsoft.com/office/2006/documentManagement/types"/>
    <ds:schemaRef ds:uri="http://schemas.microsoft.com/office/2006/metadata/properties"/>
    <ds:schemaRef ds:uri="http://purl.org/dc/dcmitype/"/>
    <ds:schemaRef ds:uri="http://purl.org/dc/elements/1.1/"/>
    <ds:schemaRef ds:uri="http://schemas.microsoft.com/office/infopath/2007/PartnerControls"/>
  </ds:schemaRefs>
</ds:datastoreItem>
</file>

<file path=customXml/itemProps2.xml><?xml version="1.0" encoding="utf-8"?>
<ds:datastoreItem xmlns:ds="http://schemas.openxmlformats.org/officeDocument/2006/customXml" ds:itemID="{9A68D186-1291-4966-B725-46AA62B716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84c25f-74a0-4c84-a549-a74d19e76736"/>
    <ds:schemaRef ds:uri="9d8edb60-b834-4aa6-bfa0-36bf159697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024E10A-89C2-4F36-BE71-C6B5A3D0EE2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Appomattox MIS Channels Apr2024</vt:lpstr>
      <vt:lpstr>Auger MIS Channels Apr2024</vt:lpstr>
      <vt:lpstr>Mars MIS Channels Apr2024</vt:lpstr>
      <vt:lpstr>Olympus MIS Channels Apr2024</vt:lpstr>
      <vt:lpstr>Perdido MIS Channels Apr2024</vt:lpstr>
      <vt:lpstr>Stones IMMS Channels Apr2024</vt:lpstr>
      <vt:lpstr>Ursa MIS Channels Apr2024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Phan</dc:creator>
  <cp:keywords/>
  <dc:description/>
  <cp:lastModifiedBy>Dan Wang</cp:lastModifiedBy>
  <cp:revision/>
  <dcterms:created xsi:type="dcterms:W3CDTF">2024-02-29T18:44:16Z</dcterms:created>
  <dcterms:modified xsi:type="dcterms:W3CDTF">2024-09-17T02:51:24Z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0x0101007F533B2B19C52B4B8BF2004DB0564053</vt:lpwstr>
  </property>
  <property fmtid="{D5CDD505-2E9C-101B-9397-08002B2CF9AE}" pid="3" name="_dlc_DocIdItemGuid">
    <vt:lpwstr>b4e3233b-dd07-4590-b7b5-661c0cf9ccd2</vt:lpwstr>
  </property>
  <property fmtid="{D5CDD505-2E9C-101B-9397-08002B2CF9AE}" pid="4" name="TaxKeyword">
    <vt:lpwstr/>
  </property>
  <property fmtid="{D5CDD505-2E9C-101B-9397-08002B2CF9AE}" pid="5" name="MediaServiceImageTags">
    <vt:lpwstr/>
  </property>
</Properties>
</file>